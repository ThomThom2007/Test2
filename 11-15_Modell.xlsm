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feffchr\AppData\Roaming\IBM\ILOG\CPLEX_Studio126\workspace\Berlin_Oktober\"/>
    </mc:Choice>
  </mc:AlternateContent>
  <bookViews>
    <workbookView xWindow="-90" yWindow="-165" windowWidth="14175" windowHeight="12750" tabRatio="768" activeTab="9"/>
  </bookViews>
  <sheets>
    <sheet name="Tage" sheetId="1" r:id="rId1"/>
    <sheet name="Personal" sheetId="4" r:id="rId2"/>
    <sheet name="Input" sheetId="8" r:id="rId3"/>
    <sheet name="Dienste" sheetId="5" r:id="rId4"/>
    <sheet name="Nachfrage" sheetId="2" r:id="rId5"/>
    <sheet name="NachfrageFA" sheetId="14" r:id="rId6"/>
    <sheet name="NachfrageOA" sheetId="15" r:id="rId7"/>
    <sheet name="Ergebnis" sheetId="3" r:id="rId8"/>
    <sheet name="Plan1" sheetId="19" r:id="rId9"/>
    <sheet name="Neuplanung" sheetId="18" r:id="rId10"/>
    <sheet name="Verstöße" sheetId="20" r:id="rId11"/>
  </sheets>
  <definedNames>
    <definedName name="_FilterDatabase" localSheetId="3" hidden="1">Dienste!$A$1:$AB$25</definedName>
    <definedName name="_FilterDatabase" localSheetId="7" hidden="1">Ergebnis!$BS$1:$BV$1</definedName>
    <definedName name="_FilterDatabase" localSheetId="2" hidden="1">Input!$A$1:$X$32</definedName>
    <definedName name="_FilterDatabase" localSheetId="8" hidden="1">Plan1!$A$2:$CC$2</definedName>
    <definedName name="AnfangsWoche">Tage!$P$2</definedName>
    <definedName name="AnzahlPersonal">Personal!$AY$1</definedName>
    <definedName name="AnzahlTage">Tage!$I$1</definedName>
    <definedName name="AnzahlWerktage">Tage!$T$2</definedName>
    <definedName name="AnzahlWEs">Tage!$T$3</definedName>
    <definedName name="AnzahlWochen">Tage!$T$1</definedName>
    <definedName name="ATage">OFFSET(Personal!$CH$2,0,0,COUNTA(Personal!$A$2:$A$400),Tage!$T$1+1-AnfangsWoche)</definedName>
    <definedName name="BDTageDazw">Personal!$AY$12</definedName>
    <definedName name="BezahlktoGrenze">Personal!$AY$17</definedName>
    <definedName name="Dienste">OFFSET(Dienste!$A$2,0,0,COUNTA(Dienste!$A$2:$A$99),11)</definedName>
    <definedName name="EintragNeuplanung">OFFSET(Neuplanung!$O$2,0,0,COUNTA(Neuplanung!$O$2:$O$746),4)</definedName>
    <definedName name="FAMin">Personal!$AY$13</definedName>
    <definedName name="Input">OFFSET(Input!$A$2,0,0,COUNTA(Input!$A$2:$A$3000),4)</definedName>
    <definedName name="InputNeuplanung">OFFSET(Neuplanung!$A$2,0,0,COUNTA(Neuplanung!$A$2:$A$746),4)</definedName>
    <definedName name="LetztesWE">Tage!$T$4</definedName>
    <definedName name="MaxWorkstrech">Personal!$AY$10</definedName>
    <definedName name="MinWeFrei">Personal!$AY$11</definedName>
    <definedName name="Nachfrage">OFFSET(Nachfrage!$B$2,0,0,COUNTA(Dienste!$A$2:$A$99),Tage!$I$1+7+Tage!$I$3)</definedName>
    <definedName name="NachfrageFA">OFFSET(NachfrageFA!$B$2,0,0,COUNTA(Dienste!$A$2:$A$99),Tage!$I$1+7+Tage!$I$3)</definedName>
    <definedName name="NachfrageOA">OFFSET(NachfrageOA!$B$2,0,0,COUNTA(Dienste!$A$2:$A$99),Tage!$I$1+7+Tage!$I$3)</definedName>
    <definedName name="NeuplanungJaNein">Neuplanung!$M$2</definedName>
    <definedName name="Personal">OFFSET(Personal!$A$2,0,0,COUNTA(Personal!$A$2:$A$100),14)</definedName>
    <definedName name="PersonalDienste">OFFSET(Personal!$O$2,0,0,COUNTA(Personal!$A$2:$A$100),COUNTA(Dienste!$A$2:$A$100))</definedName>
    <definedName name="Request">OFFSET(Input!$P$2,0,0,COUNTA(Input!$P$2:$P$3000),4)</definedName>
    <definedName name="RequestNeuplanung">OFFSET(Neuplanung!$G$2,0,0,COUNTA(Neuplanung!$G$2:$G$746),4)</definedName>
    <definedName name="SchnittktoGrenze">Personal!$AY$15</definedName>
    <definedName name="SchnittktoOpt">Personal!$AY$16</definedName>
    <definedName name="solver_typ" localSheetId="7" hidden="1">2</definedName>
    <definedName name="solver_typ" localSheetId="2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1" hidden="1">2</definedName>
    <definedName name="solver_typ" localSheetId="0" hidden="1">2</definedName>
    <definedName name="solver_ver" localSheetId="7" hidden="1">14</definedName>
    <definedName name="solver_ver" localSheetId="2" hidden="1">14</definedName>
    <definedName name="solver_ver" localSheetId="4" hidden="1">14</definedName>
    <definedName name="solver_ver" localSheetId="5" hidden="1">14</definedName>
    <definedName name="solver_ver" localSheetId="6" hidden="1">14</definedName>
    <definedName name="solver_ver" localSheetId="1" hidden="1">14</definedName>
    <definedName name="solver_ver" localSheetId="0" hidden="1">14</definedName>
    <definedName name="Tage">OFFSET(Tage!$K$2,0,0,COUNTA(Tage!$K$2:$K$380),6)</definedName>
    <definedName name="tNeuplanung">Neuplanung!$L$4</definedName>
    <definedName name="Wochen">OFFSET(#REF!,0,0,COUNTA(#REF!),1)</definedName>
    <definedName name="ZeitktoGrenze">Personal!$AY$14</definedName>
    <definedName name="ZFBezeichnung">OFFSET(Ergebnis!$BJ$2,0,0,COUNTA(Ergebnis!$BJ$2:$BJ$30),1)</definedName>
    <definedName name="ZFKoeff">OFFSET(Ergebnis!$BK$2,0,0,COUNTA(Ergebnis!$BK$2:$BK$30),1)</definedName>
  </definedNames>
  <calcPr calcId="152511"/>
</workbook>
</file>

<file path=xl/calcChain.xml><?xml version="1.0" encoding="utf-8"?>
<calcChain xmlns="http://schemas.openxmlformats.org/spreadsheetml/2006/main">
  <c r="A29" i="15" l="1"/>
  <c r="A30" i="15"/>
  <c r="A31" i="15"/>
  <c r="A32" i="15"/>
  <c r="A29" i="14"/>
  <c r="A30" i="14"/>
  <c r="A31" i="14"/>
  <c r="A32" i="14"/>
  <c r="A29" i="2"/>
  <c r="A30" i="2"/>
  <c r="A31" i="2"/>
  <c r="A32" i="2"/>
  <c r="E29" i="5"/>
  <c r="E30" i="5"/>
  <c r="E31" i="5"/>
  <c r="E32" i="5"/>
  <c r="E28" i="5"/>
  <c r="J19" i="15" l="1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BA19" i="15"/>
  <c r="BB19" i="15"/>
  <c r="BC19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I19" i="15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I2" i="14"/>
  <c r="CG9" i="4"/>
  <c r="CG10" i="4"/>
  <c r="CG11" i="4"/>
  <c r="CG12" i="4"/>
  <c r="CG13" i="4"/>
  <c r="CG14" i="4"/>
  <c r="CG15" i="4"/>
  <c r="CG16" i="4"/>
  <c r="CG17" i="4"/>
  <c r="CG18" i="4"/>
  <c r="CG19" i="4"/>
  <c r="CG20" i="4"/>
  <c r="CG21" i="4"/>
  <c r="CG22" i="4"/>
  <c r="CG23" i="4"/>
  <c r="CG24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CG38" i="4"/>
  <c r="CG39" i="4"/>
  <c r="CG40" i="4"/>
  <c r="CG41" i="4"/>
  <c r="CG42" i="4"/>
  <c r="BG10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9" i="4"/>
  <c r="AI33" i="4"/>
  <c r="H33" i="4"/>
  <c r="J33" i="4"/>
  <c r="J34" i="4"/>
  <c r="J35" i="4"/>
  <c r="J36" i="4"/>
  <c r="H34" i="4"/>
  <c r="H35" i="4"/>
  <c r="H36" i="4"/>
  <c r="AI36" i="4"/>
  <c r="AI35" i="4"/>
  <c r="AI34" i="4"/>
  <c r="P2" i="1"/>
  <c r="P3" i="1"/>
  <c r="P4" i="1"/>
  <c r="P5" i="1"/>
  <c r="P6" i="1"/>
  <c r="P7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2" i="1"/>
  <c r="N3" i="1"/>
  <c r="N4" i="1"/>
  <c r="N5" i="1"/>
  <c r="N6" i="1"/>
  <c r="N7" i="1"/>
  <c r="N8" i="1"/>
  <c r="N2" i="1"/>
  <c r="J3" i="1"/>
  <c r="R3" i="1" s="1"/>
  <c r="J4" i="1"/>
  <c r="R4" i="1" s="1"/>
  <c r="J5" i="1"/>
  <c r="R5" i="1" s="1"/>
  <c r="J6" i="1"/>
  <c r="R6" i="1" s="1"/>
  <c r="J7" i="1"/>
  <c r="R7" i="1" s="1"/>
  <c r="J8" i="1"/>
  <c r="R8" i="1" s="1"/>
  <c r="J9" i="1"/>
  <c r="R9" i="1" s="1"/>
  <c r="J10" i="1"/>
  <c r="R10" i="1" s="1"/>
  <c r="J11" i="1"/>
  <c r="R11" i="1" s="1"/>
  <c r="J12" i="1"/>
  <c r="R12" i="1" s="1"/>
  <c r="J13" i="1"/>
  <c r="R13" i="1" s="1"/>
  <c r="J14" i="1"/>
  <c r="R14" i="1" s="1"/>
  <c r="J15" i="1"/>
  <c r="R15" i="1" s="1"/>
  <c r="J16" i="1"/>
  <c r="R16" i="1" s="1"/>
  <c r="J17" i="1"/>
  <c r="R17" i="1" s="1"/>
  <c r="J18" i="1"/>
  <c r="R18" i="1" s="1"/>
  <c r="J19" i="1"/>
  <c r="R19" i="1" s="1"/>
  <c r="J20" i="1"/>
  <c r="R20" i="1" s="1"/>
  <c r="J21" i="1"/>
  <c r="R21" i="1" s="1"/>
  <c r="J22" i="1"/>
  <c r="R22" i="1" s="1"/>
  <c r="J23" i="1"/>
  <c r="R23" i="1" s="1"/>
  <c r="J24" i="1"/>
  <c r="R24" i="1" s="1"/>
  <c r="J25" i="1"/>
  <c r="R25" i="1" s="1"/>
  <c r="J26" i="1"/>
  <c r="R26" i="1" s="1"/>
  <c r="J27" i="1"/>
  <c r="R27" i="1" s="1"/>
  <c r="J28" i="1"/>
  <c r="R28" i="1" s="1"/>
  <c r="J29" i="1"/>
  <c r="R29" i="1" s="1"/>
  <c r="J30" i="1"/>
  <c r="R30" i="1" s="1"/>
  <c r="J31" i="1"/>
  <c r="R31" i="1" s="1"/>
  <c r="J32" i="1"/>
  <c r="R32" i="1" s="1"/>
  <c r="J33" i="1"/>
  <c r="R33" i="1" s="1"/>
  <c r="J34" i="1"/>
  <c r="R34" i="1" s="1"/>
  <c r="J35" i="1"/>
  <c r="R35" i="1" s="1"/>
  <c r="J36" i="1"/>
  <c r="R36" i="1" s="1"/>
  <c r="J37" i="1"/>
  <c r="R37" i="1" s="1"/>
  <c r="J38" i="1"/>
  <c r="R38" i="1" s="1"/>
  <c r="J39" i="1"/>
  <c r="R39" i="1" s="1"/>
  <c r="J40" i="1"/>
  <c r="R40" i="1" s="1"/>
  <c r="J41" i="1"/>
  <c r="R41" i="1" s="1"/>
  <c r="J42" i="1"/>
  <c r="R42" i="1" s="1"/>
  <c r="J43" i="1"/>
  <c r="R43" i="1" s="1"/>
  <c r="J44" i="1"/>
  <c r="R44" i="1" s="1"/>
  <c r="J45" i="1"/>
  <c r="R45" i="1" s="1"/>
  <c r="J46" i="1"/>
  <c r="R46" i="1" s="1"/>
  <c r="J2" i="1"/>
  <c r="R2" i="1" s="1"/>
  <c r="BU19" i="15" l="1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CM19" i="15"/>
  <c r="CN19" i="15"/>
  <c r="CO19" i="15"/>
  <c r="CP19" i="15"/>
  <c r="CQ19" i="15"/>
  <c r="CR19" i="15"/>
  <c r="CS19" i="15"/>
  <c r="CT19" i="15"/>
  <c r="CU19" i="15"/>
  <c r="CV19" i="15"/>
  <c r="CW19" i="15"/>
  <c r="CX19" i="15"/>
  <c r="CY19" i="15"/>
  <c r="CZ19" i="15"/>
  <c r="DA19" i="15"/>
  <c r="DB19" i="15"/>
  <c r="DC19" i="15"/>
  <c r="DD19" i="15"/>
  <c r="DE19" i="15"/>
  <c r="DF19" i="15"/>
  <c r="DG19" i="15"/>
  <c r="DH19" i="15"/>
  <c r="DI19" i="15"/>
  <c r="DJ19" i="15"/>
  <c r="DK19" i="15"/>
  <c r="DL19" i="15"/>
  <c r="DM19" i="15"/>
  <c r="DN19" i="15"/>
  <c r="DO19" i="15"/>
  <c r="DP19" i="15"/>
  <c r="DQ19" i="15"/>
  <c r="DR19" i="15"/>
  <c r="DS19" i="15"/>
  <c r="DT19" i="15"/>
  <c r="DU19" i="15"/>
  <c r="DV19" i="15"/>
  <c r="DW19" i="15"/>
  <c r="DX19" i="15"/>
  <c r="DY19" i="15"/>
  <c r="DZ19" i="15"/>
  <c r="EA19" i="15"/>
  <c r="EB19" i="15"/>
  <c r="EC19" i="15"/>
  <c r="ED19" i="15"/>
  <c r="EE19" i="15"/>
  <c r="EF19" i="15"/>
  <c r="EG19" i="15"/>
  <c r="EH19" i="15"/>
  <c r="EI19" i="15"/>
  <c r="EJ19" i="15"/>
  <c r="EK19" i="15"/>
  <c r="EL19" i="15"/>
  <c r="EM19" i="15"/>
  <c r="EN19" i="15"/>
  <c r="EO19" i="15"/>
  <c r="EP19" i="15"/>
  <c r="EQ19" i="15"/>
  <c r="ER19" i="15"/>
  <c r="ES19" i="15"/>
  <c r="ET19" i="15"/>
  <c r="EU19" i="15"/>
  <c r="EV19" i="15"/>
  <c r="EW19" i="15"/>
  <c r="EX19" i="15"/>
  <c r="EY19" i="15"/>
  <c r="EZ19" i="15"/>
  <c r="FA19" i="15"/>
  <c r="FB19" i="15"/>
  <c r="FC19" i="15"/>
  <c r="FD19" i="15"/>
  <c r="FE19" i="15"/>
  <c r="FF19" i="15"/>
  <c r="FG19" i="15"/>
  <c r="FH19" i="15"/>
  <c r="FI19" i="15"/>
  <c r="FJ19" i="15"/>
  <c r="FK19" i="15"/>
  <c r="FL19" i="15"/>
  <c r="FM19" i="15"/>
  <c r="FN19" i="15"/>
  <c r="FO19" i="15"/>
  <c r="FP19" i="15"/>
  <c r="FQ19" i="15"/>
  <c r="FR19" i="15"/>
  <c r="FS19" i="15"/>
  <c r="FT19" i="15"/>
  <c r="FU19" i="15"/>
  <c r="FV19" i="15"/>
  <c r="FW19" i="15"/>
  <c r="FX19" i="15"/>
  <c r="FY19" i="15"/>
  <c r="FZ19" i="15"/>
  <c r="GA19" i="15"/>
  <c r="GB19" i="15"/>
  <c r="GC19" i="15"/>
  <c r="GD19" i="15"/>
  <c r="GE19" i="15"/>
  <c r="GF19" i="15"/>
  <c r="GG19" i="15"/>
  <c r="GH19" i="15"/>
  <c r="GI19" i="15"/>
  <c r="GJ19" i="15"/>
  <c r="GK19" i="15"/>
  <c r="GL19" i="15"/>
  <c r="GM19" i="15"/>
  <c r="GN19" i="15"/>
  <c r="GO19" i="15"/>
  <c r="GP19" i="15"/>
  <c r="GQ19" i="15"/>
  <c r="GR19" i="15"/>
  <c r="GS19" i="15"/>
  <c r="GT19" i="15"/>
  <c r="GU19" i="15"/>
  <c r="GV19" i="15"/>
  <c r="GW19" i="15"/>
  <c r="GX19" i="15"/>
  <c r="GY19" i="15"/>
  <c r="GZ19" i="15"/>
  <c r="HA19" i="15"/>
  <c r="HB19" i="15"/>
  <c r="HC19" i="15"/>
  <c r="HD19" i="15"/>
  <c r="HE19" i="15"/>
  <c r="HF19" i="15"/>
  <c r="HG19" i="15"/>
  <c r="HH19" i="15"/>
  <c r="HI19" i="15"/>
  <c r="HJ19" i="15"/>
  <c r="HK19" i="15"/>
  <c r="HL19" i="15"/>
  <c r="HM19" i="15"/>
  <c r="HN19" i="15"/>
  <c r="HO19" i="15"/>
  <c r="HP19" i="15"/>
  <c r="HQ19" i="15"/>
  <c r="HR19" i="15"/>
  <c r="HS19" i="15"/>
  <c r="HT19" i="15"/>
  <c r="HU19" i="15"/>
  <c r="HV19" i="15"/>
  <c r="HW19" i="15"/>
  <c r="HX19" i="15"/>
  <c r="HY19" i="15"/>
  <c r="HZ19" i="15"/>
  <c r="IA19" i="15"/>
  <c r="IB19" i="15"/>
  <c r="IC19" i="15"/>
  <c r="ID19" i="15"/>
  <c r="IE19" i="15"/>
  <c r="IF19" i="15"/>
  <c r="IG19" i="15"/>
  <c r="IH19" i="15"/>
  <c r="II19" i="15"/>
  <c r="IJ19" i="15"/>
  <c r="IK19" i="15"/>
  <c r="IL19" i="15"/>
  <c r="IM19" i="15"/>
  <c r="IN19" i="15"/>
  <c r="IO19" i="15"/>
  <c r="IP19" i="15"/>
  <c r="IQ19" i="15"/>
  <c r="IR19" i="15"/>
  <c r="IS19" i="15"/>
  <c r="IT19" i="15"/>
  <c r="IU19" i="15"/>
  <c r="IV19" i="15"/>
  <c r="IW19" i="15"/>
  <c r="IX19" i="15"/>
  <c r="IY19" i="15"/>
  <c r="IZ19" i="15"/>
  <c r="JA19" i="15"/>
  <c r="JB19" i="15"/>
  <c r="JC19" i="15"/>
  <c r="JD19" i="15"/>
  <c r="JE19" i="15"/>
  <c r="JF19" i="15"/>
  <c r="JG19" i="15"/>
  <c r="JH19" i="15"/>
  <c r="JI19" i="15"/>
  <c r="JJ19" i="15"/>
  <c r="JK19" i="15"/>
  <c r="JL19" i="15"/>
  <c r="JM19" i="15"/>
  <c r="JN19" i="15"/>
  <c r="JO19" i="15"/>
  <c r="JP19" i="15"/>
  <c r="JQ19" i="15"/>
  <c r="JR19" i="15"/>
  <c r="JS19" i="15"/>
  <c r="JT19" i="15"/>
  <c r="JU19" i="15"/>
  <c r="JV19" i="15"/>
  <c r="JW19" i="15"/>
  <c r="JX19" i="15"/>
  <c r="JY19" i="15"/>
  <c r="JZ19" i="15"/>
  <c r="KA19" i="15"/>
  <c r="KB19" i="15"/>
  <c r="KC19" i="15"/>
  <c r="KD19" i="15"/>
  <c r="KE19" i="15"/>
  <c r="KF19" i="15"/>
  <c r="KG19" i="15"/>
  <c r="KH19" i="15"/>
  <c r="KI19" i="15"/>
  <c r="KJ19" i="15"/>
  <c r="KK19" i="15"/>
  <c r="KL19" i="15"/>
  <c r="KM19" i="15"/>
  <c r="KN19" i="15"/>
  <c r="KO19" i="15"/>
  <c r="KP19" i="15"/>
  <c r="KQ19" i="15"/>
  <c r="KR19" i="15"/>
  <c r="KS19" i="15"/>
  <c r="KT19" i="15"/>
  <c r="KU19" i="15"/>
  <c r="KV19" i="15"/>
  <c r="KW19" i="15"/>
  <c r="KX19" i="15"/>
  <c r="KY19" i="15"/>
  <c r="KZ19" i="15"/>
  <c r="LA19" i="15"/>
  <c r="LB19" i="15"/>
  <c r="LC19" i="15"/>
  <c r="LD19" i="15"/>
  <c r="LE19" i="15"/>
  <c r="LF19" i="15"/>
  <c r="LG19" i="15"/>
  <c r="LH19" i="15"/>
  <c r="LI19" i="15"/>
  <c r="LJ19" i="15"/>
  <c r="LK19" i="15"/>
  <c r="LL19" i="15"/>
  <c r="LM19" i="15"/>
  <c r="LN19" i="15"/>
  <c r="LO19" i="15"/>
  <c r="LP19" i="15"/>
  <c r="LQ19" i="15"/>
  <c r="LR19" i="15"/>
  <c r="LS19" i="15"/>
  <c r="LT19" i="15"/>
  <c r="LU19" i="15"/>
  <c r="LV19" i="15"/>
  <c r="LW19" i="15"/>
  <c r="LX19" i="15"/>
  <c r="LY19" i="15"/>
  <c r="LZ19" i="15"/>
  <c r="MA19" i="15"/>
  <c r="MB19" i="15"/>
  <c r="MC19" i="15"/>
  <c r="MD19" i="15"/>
  <c r="ME19" i="15"/>
  <c r="MF19" i="15"/>
  <c r="MG19" i="15"/>
  <c r="MH19" i="15"/>
  <c r="MI19" i="15"/>
  <c r="MJ19" i="15"/>
  <c r="MK19" i="15"/>
  <c r="ML19" i="15"/>
  <c r="MM19" i="15"/>
  <c r="MN19" i="15"/>
  <c r="MO19" i="15"/>
  <c r="MP19" i="15"/>
  <c r="MQ19" i="15"/>
  <c r="MR19" i="15"/>
  <c r="MS19" i="15"/>
  <c r="MT19" i="15"/>
  <c r="MU19" i="15"/>
  <c r="MV19" i="15"/>
  <c r="MW19" i="15"/>
  <c r="MX19" i="15"/>
  <c r="MY19" i="15"/>
  <c r="MZ19" i="15"/>
  <c r="NA19" i="15"/>
  <c r="NB19" i="15"/>
  <c r="NC19" i="15"/>
  <c r="ND19" i="15"/>
  <c r="NE19" i="15"/>
  <c r="NF19" i="15"/>
  <c r="NG19" i="15"/>
  <c r="NH19" i="15"/>
  <c r="NI19" i="15"/>
  <c r="NJ19" i="15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BU2" i="14"/>
  <c r="BV2" i="14"/>
  <c r="BW2" i="14"/>
  <c r="BX2" i="14"/>
  <c r="BY2" i="14"/>
  <c r="BZ2" i="14"/>
  <c r="CA2" i="14"/>
  <c r="CB2" i="14"/>
  <c r="CC2" i="14"/>
  <c r="CD2" i="14"/>
  <c r="CE2" i="14"/>
  <c r="CF2" i="14"/>
  <c r="CG2" i="14"/>
  <c r="CH2" i="14"/>
  <c r="CI2" i="14"/>
  <c r="CJ2" i="14"/>
  <c r="CK2" i="14"/>
  <c r="CL2" i="14"/>
  <c r="CM2" i="14"/>
  <c r="CN2" i="14"/>
  <c r="CO2" i="14"/>
  <c r="CP2" i="14"/>
  <c r="CQ2" i="14"/>
  <c r="CR2" i="14"/>
  <c r="CS2" i="14"/>
  <c r="CT2" i="14"/>
  <c r="CU2" i="14"/>
  <c r="CV2" i="14"/>
  <c r="CW2" i="14"/>
  <c r="CX2" i="14"/>
  <c r="CY2" i="14"/>
  <c r="CZ2" i="14"/>
  <c r="DA2" i="14"/>
  <c r="DB2" i="14"/>
  <c r="DC2" i="14"/>
  <c r="DD2" i="14"/>
  <c r="DE2" i="14"/>
  <c r="DF2" i="14"/>
  <c r="DG2" i="14"/>
  <c r="DH2" i="14"/>
  <c r="DI2" i="14"/>
  <c r="DJ2" i="14"/>
  <c r="DK2" i="14"/>
  <c r="DL2" i="14"/>
  <c r="DM2" i="14"/>
  <c r="DN2" i="14"/>
  <c r="DO2" i="14"/>
  <c r="DP2" i="14"/>
  <c r="DQ2" i="14"/>
  <c r="DR2" i="14"/>
  <c r="DS2" i="14"/>
  <c r="DT2" i="14"/>
  <c r="DU2" i="14"/>
  <c r="DV2" i="14"/>
  <c r="DW2" i="14"/>
  <c r="DX2" i="14"/>
  <c r="DY2" i="14"/>
  <c r="DZ2" i="14"/>
  <c r="EA2" i="14"/>
  <c r="EB2" i="14"/>
  <c r="EC2" i="14"/>
  <c r="ED2" i="14"/>
  <c r="EE2" i="14"/>
  <c r="EF2" i="14"/>
  <c r="EG2" i="14"/>
  <c r="EH2" i="14"/>
  <c r="EI2" i="14"/>
  <c r="EJ2" i="14"/>
  <c r="EK2" i="14"/>
  <c r="EL2" i="14"/>
  <c r="EM2" i="14"/>
  <c r="EN2" i="14"/>
  <c r="EO2" i="14"/>
  <c r="EP2" i="14"/>
  <c r="EQ2" i="14"/>
  <c r="ER2" i="14"/>
  <c r="ES2" i="14"/>
  <c r="ET2" i="14"/>
  <c r="EU2" i="14"/>
  <c r="EV2" i="14"/>
  <c r="EW2" i="14"/>
  <c r="EX2" i="14"/>
  <c r="EY2" i="14"/>
  <c r="EZ2" i="14"/>
  <c r="FA2" i="14"/>
  <c r="FB2" i="14"/>
  <c r="FC2" i="14"/>
  <c r="FD2" i="14"/>
  <c r="FE2" i="14"/>
  <c r="FF2" i="14"/>
  <c r="FG2" i="14"/>
  <c r="FH2" i="14"/>
  <c r="FI2" i="14"/>
  <c r="FJ2" i="14"/>
  <c r="FK2" i="14"/>
  <c r="FL2" i="14"/>
  <c r="FM2" i="14"/>
  <c r="FN2" i="14"/>
  <c r="FO2" i="14"/>
  <c r="FP2" i="14"/>
  <c r="FQ2" i="14"/>
  <c r="FR2" i="14"/>
  <c r="FS2" i="14"/>
  <c r="FT2" i="14"/>
  <c r="FU2" i="14"/>
  <c r="FV2" i="14"/>
  <c r="FW2" i="14"/>
  <c r="FX2" i="14"/>
  <c r="FY2" i="14"/>
  <c r="FZ2" i="14"/>
  <c r="GA2" i="14"/>
  <c r="GB2" i="14"/>
  <c r="GC2" i="14"/>
  <c r="GD2" i="14"/>
  <c r="GE2" i="14"/>
  <c r="GF2" i="14"/>
  <c r="GG2" i="14"/>
  <c r="GH2" i="14"/>
  <c r="GI2" i="14"/>
  <c r="GJ2" i="14"/>
  <c r="GK2" i="14"/>
  <c r="GL2" i="14"/>
  <c r="GM2" i="14"/>
  <c r="GN2" i="14"/>
  <c r="GO2" i="14"/>
  <c r="GP2" i="14"/>
  <c r="GQ2" i="14"/>
  <c r="GR2" i="14"/>
  <c r="GS2" i="14"/>
  <c r="GT2" i="14"/>
  <c r="GU2" i="14"/>
  <c r="GV2" i="14"/>
  <c r="GW2" i="14"/>
  <c r="GX2" i="14"/>
  <c r="GY2" i="14"/>
  <c r="GZ2" i="14"/>
  <c r="HA2" i="14"/>
  <c r="HB2" i="14"/>
  <c r="HC2" i="14"/>
  <c r="HD2" i="14"/>
  <c r="HE2" i="14"/>
  <c r="HF2" i="14"/>
  <c r="HG2" i="14"/>
  <c r="HH2" i="14"/>
  <c r="HI2" i="14"/>
  <c r="HJ2" i="14"/>
  <c r="HK2" i="14"/>
  <c r="HL2" i="14"/>
  <c r="HM2" i="14"/>
  <c r="HN2" i="14"/>
  <c r="HO2" i="14"/>
  <c r="HP2" i="14"/>
  <c r="HQ2" i="14"/>
  <c r="HR2" i="14"/>
  <c r="HS2" i="14"/>
  <c r="HT2" i="14"/>
  <c r="HU2" i="14"/>
  <c r="HV2" i="14"/>
  <c r="HW2" i="14"/>
  <c r="HX2" i="14"/>
  <c r="HY2" i="14"/>
  <c r="HZ2" i="14"/>
  <c r="IA2" i="14"/>
  <c r="IB2" i="14"/>
  <c r="IC2" i="14"/>
  <c r="ID2" i="14"/>
  <c r="IE2" i="14"/>
  <c r="IF2" i="14"/>
  <c r="IG2" i="14"/>
  <c r="IH2" i="14"/>
  <c r="II2" i="14"/>
  <c r="IJ2" i="14"/>
  <c r="IK2" i="14"/>
  <c r="IL2" i="14"/>
  <c r="IM2" i="14"/>
  <c r="IN2" i="14"/>
  <c r="IO2" i="14"/>
  <c r="IP2" i="14"/>
  <c r="IQ2" i="14"/>
  <c r="IR2" i="14"/>
  <c r="IS2" i="14"/>
  <c r="IT2" i="14"/>
  <c r="IU2" i="14"/>
  <c r="IV2" i="14"/>
  <c r="IW2" i="14"/>
  <c r="IX2" i="14"/>
  <c r="IY2" i="14"/>
  <c r="IZ2" i="14"/>
  <c r="JA2" i="14"/>
  <c r="JB2" i="14"/>
  <c r="JC2" i="14"/>
  <c r="JD2" i="14"/>
  <c r="JE2" i="14"/>
  <c r="JF2" i="14"/>
  <c r="JG2" i="14"/>
  <c r="JH2" i="14"/>
  <c r="JI2" i="14"/>
  <c r="JJ2" i="14"/>
  <c r="JK2" i="14"/>
  <c r="JL2" i="14"/>
  <c r="JM2" i="14"/>
  <c r="JN2" i="14"/>
  <c r="JO2" i="14"/>
  <c r="JP2" i="14"/>
  <c r="JQ2" i="14"/>
  <c r="JR2" i="14"/>
  <c r="JS2" i="14"/>
  <c r="JT2" i="14"/>
  <c r="JU2" i="14"/>
  <c r="JV2" i="14"/>
  <c r="JW2" i="14"/>
  <c r="JX2" i="14"/>
  <c r="JY2" i="14"/>
  <c r="JZ2" i="14"/>
  <c r="KA2" i="14"/>
  <c r="KB2" i="14"/>
  <c r="KC2" i="14"/>
  <c r="KD2" i="14"/>
  <c r="KE2" i="14"/>
  <c r="KF2" i="14"/>
  <c r="KG2" i="14"/>
  <c r="KH2" i="14"/>
  <c r="KI2" i="14"/>
  <c r="KJ2" i="14"/>
  <c r="KK2" i="14"/>
  <c r="KL2" i="14"/>
  <c r="KM2" i="14"/>
  <c r="KN2" i="14"/>
  <c r="KO2" i="14"/>
  <c r="KP2" i="14"/>
  <c r="KQ2" i="14"/>
  <c r="KR2" i="14"/>
  <c r="KS2" i="14"/>
  <c r="KT2" i="14"/>
  <c r="KU2" i="14"/>
  <c r="KV2" i="14"/>
  <c r="KW2" i="14"/>
  <c r="KX2" i="14"/>
  <c r="KY2" i="14"/>
  <c r="KZ2" i="14"/>
  <c r="LA2" i="14"/>
  <c r="LB2" i="14"/>
  <c r="LC2" i="14"/>
  <c r="LD2" i="14"/>
  <c r="LE2" i="14"/>
  <c r="LF2" i="14"/>
  <c r="LG2" i="14"/>
  <c r="LH2" i="14"/>
  <c r="LI2" i="14"/>
  <c r="LJ2" i="14"/>
  <c r="LK2" i="14"/>
  <c r="LL2" i="14"/>
  <c r="LM2" i="14"/>
  <c r="LN2" i="14"/>
  <c r="LO2" i="14"/>
  <c r="LP2" i="14"/>
  <c r="LQ2" i="14"/>
  <c r="LR2" i="14"/>
  <c r="LS2" i="14"/>
  <c r="LT2" i="14"/>
  <c r="LU2" i="14"/>
  <c r="LV2" i="14"/>
  <c r="LW2" i="14"/>
  <c r="LX2" i="14"/>
  <c r="LY2" i="14"/>
  <c r="LZ2" i="14"/>
  <c r="MA2" i="14"/>
  <c r="MB2" i="14"/>
  <c r="MC2" i="14"/>
  <c r="MD2" i="14"/>
  <c r="ME2" i="14"/>
  <c r="MF2" i="14"/>
  <c r="MG2" i="14"/>
  <c r="MH2" i="14"/>
  <c r="MI2" i="14"/>
  <c r="MJ2" i="14"/>
  <c r="MK2" i="14"/>
  <c r="ML2" i="14"/>
  <c r="MM2" i="14"/>
  <c r="MN2" i="14"/>
  <c r="MO2" i="14"/>
  <c r="MP2" i="14"/>
  <c r="MQ2" i="14"/>
  <c r="MR2" i="14"/>
  <c r="MS2" i="14"/>
  <c r="MT2" i="14"/>
  <c r="MU2" i="14"/>
  <c r="MV2" i="14"/>
  <c r="MW2" i="14"/>
  <c r="MX2" i="14"/>
  <c r="MY2" i="14"/>
  <c r="MZ2" i="14"/>
  <c r="NA2" i="14"/>
  <c r="NB2" i="14"/>
  <c r="NC2" i="14"/>
  <c r="ND2" i="14"/>
  <c r="NE2" i="14"/>
  <c r="NF2" i="14"/>
  <c r="NG2" i="14"/>
  <c r="NH2" i="14"/>
  <c r="NI2" i="14"/>
  <c r="NJ2" i="14"/>
  <c r="AU2" i="14"/>
  <c r="AV2" i="14"/>
  <c r="AW2" i="14"/>
  <c r="AX2" i="14"/>
  <c r="BZ22" i="19" l="1"/>
  <c r="CA22" i="19"/>
  <c r="CB22" i="19"/>
  <c r="CC22" i="19"/>
  <c r="BZ4" i="19"/>
  <c r="CA4" i="19"/>
  <c r="CB4" i="19"/>
  <c r="CC4" i="19"/>
  <c r="BZ23" i="19"/>
  <c r="CA23" i="19"/>
  <c r="CB23" i="19"/>
  <c r="CC23" i="19"/>
  <c r="BZ3" i="19"/>
  <c r="CA3" i="19"/>
  <c r="CB3" i="19"/>
  <c r="CC3" i="19"/>
  <c r="BZ9" i="19"/>
  <c r="CA9" i="19"/>
  <c r="CB9" i="19"/>
  <c r="CC9" i="19"/>
  <c r="BZ24" i="19"/>
  <c r="CA24" i="19"/>
  <c r="CB24" i="19"/>
  <c r="CC24" i="19"/>
  <c r="BZ10" i="19"/>
  <c r="CA10" i="19"/>
  <c r="CB10" i="19"/>
  <c r="CC10" i="19"/>
  <c r="BZ11" i="19"/>
  <c r="CA11" i="19"/>
  <c r="CB11" i="19"/>
  <c r="CC11" i="19"/>
  <c r="BZ5" i="19"/>
  <c r="CA5" i="19"/>
  <c r="CB5" i="19"/>
  <c r="CC5" i="19"/>
  <c r="BZ6" i="19"/>
  <c r="CA6" i="19"/>
  <c r="CB6" i="19"/>
  <c r="CC6" i="19"/>
  <c r="BZ25" i="19"/>
  <c r="CA25" i="19"/>
  <c r="CB25" i="19"/>
  <c r="CC25" i="19"/>
  <c r="BZ12" i="19"/>
  <c r="CA12" i="19"/>
  <c r="CB12" i="19"/>
  <c r="CC12" i="19"/>
  <c r="BZ26" i="19"/>
  <c r="CA26" i="19"/>
  <c r="CB26" i="19"/>
  <c r="CC26" i="19"/>
  <c r="BZ13" i="19"/>
  <c r="CA13" i="19"/>
  <c r="CB13" i="19"/>
  <c r="CC13" i="19"/>
  <c r="BZ27" i="19"/>
  <c r="CA27" i="19"/>
  <c r="CB27" i="19"/>
  <c r="CC27" i="19"/>
  <c r="BZ28" i="19"/>
  <c r="CA28" i="19"/>
  <c r="CB28" i="19"/>
  <c r="CC28" i="19"/>
  <c r="BZ7" i="19"/>
  <c r="CA7" i="19"/>
  <c r="CB7" i="19"/>
  <c r="CC7" i="19"/>
  <c r="BZ14" i="19"/>
  <c r="CA14" i="19"/>
  <c r="CB14" i="19"/>
  <c r="CC14" i="19"/>
  <c r="BZ29" i="19"/>
  <c r="CA29" i="19"/>
  <c r="CB29" i="19"/>
  <c r="CC29" i="19"/>
  <c r="BZ8" i="19"/>
  <c r="CA8" i="19"/>
  <c r="CB8" i="19"/>
  <c r="CC8" i="19"/>
  <c r="BZ15" i="19"/>
  <c r="CA15" i="19"/>
  <c r="CB15" i="19"/>
  <c r="CC15" i="19"/>
  <c r="BZ16" i="19"/>
  <c r="CA16" i="19"/>
  <c r="CB16" i="19"/>
  <c r="CC16" i="19"/>
  <c r="BZ17" i="19"/>
  <c r="CA17" i="19"/>
  <c r="CB17" i="19"/>
  <c r="CC17" i="19"/>
  <c r="BZ18" i="19"/>
  <c r="CA18" i="19"/>
  <c r="CB18" i="19"/>
  <c r="CC18" i="19"/>
  <c r="BZ19" i="19"/>
  <c r="CA19" i="19"/>
  <c r="CB19" i="19"/>
  <c r="CC19" i="19"/>
  <c r="BZ30" i="19"/>
  <c r="CA30" i="19"/>
  <c r="CB30" i="19"/>
  <c r="CC30" i="19"/>
  <c r="BZ31" i="19"/>
  <c r="CA31" i="19"/>
  <c r="CB31" i="19"/>
  <c r="CC31" i="19"/>
  <c r="BZ32" i="19"/>
  <c r="CA32" i="19"/>
  <c r="CB32" i="19"/>
  <c r="CC32" i="19"/>
  <c r="BZ20" i="19"/>
  <c r="CA20" i="19"/>
  <c r="CB20" i="19"/>
  <c r="CC20" i="19"/>
  <c r="BZ33" i="19"/>
  <c r="CA33" i="19"/>
  <c r="CB33" i="19"/>
  <c r="CC33" i="19"/>
  <c r="BZ34" i="19"/>
  <c r="CA34" i="19"/>
  <c r="CB34" i="19"/>
  <c r="CC34" i="19"/>
  <c r="BZ35" i="19"/>
  <c r="CA35" i="19"/>
  <c r="CB35" i="19"/>
  <c r="CC35" i="19"/>
  <c r="BZ36" i="19"/>
  <c r="CA36" i="19"/>
  <c r="CB36" i="19"/>
  <c r="CC36" i="19"/>
  <c r="BZ37" i="19"/>
  <c r="CA37" i="19"/>
  <c r="CB37" i="19"/>
  <c r="CC37" i="19"/>
  <c r="BZ38" i="19"/>
  <c r="CA38" i="19"/>
  <c r="CB38" i="19"/>
  <c r="CC38" i="19"/>
  <c r="BZ39" i="19"/>
  <c r="CA39" i="19"/>
  <c r="CB39" i="19"/>
  <c r="CC39" i="19"/>
  <c r="BZ40" i="19"/>
  <c r="CA40" i="19"/>
  <c r="CB40" i="19"/>
  <c r="CC40" i="19"/>
  <c r="BZ41" i="19"/>
  <c r="CA41" i="19"/>
  <c r="CB41" i="19"/>
  <c r="CC41" i="19"/>
  <c r="BZ42" i="19"/>
  <c r="CA42" i="19"/>
  <c r="CB42" i="19"/>
  <c r="CC42" i="19"/>
  <c r="BZ43" i="19"/>
  <c r="CA43" i="19"/>
  <c r="CB43" i="19"/>
  <c r="CC43" i="19"/>
  <c r="BZ44" i="19"/>
  <c r="CA44" i="19"/>
  <c r="CB44" i="19"/>
  <c r="CC44" i="19"/>
  <c r="CA21" i="19"/>
  <c r="CB21" i="19"/>
  <c r="CC21" i="19"/>
  <c r="BK6" i="3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7" i="4"/>
  <c r="H38" i="4"/>
  <c r="H39" i="4"/>
  <c r="H40" i="4"/>
  <c r="H41" i="4"/>
  <c r="H42" i="4"/>
  <c r="H2" i="4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7" i="4"/>
  <c r="J38" i="4"/>
  <c r="J39" i="4"/>
  <c r="J40" i="4"/>
  <c r="J41" i="4"/>
  <c r="J42" i="4"/>
  <c r="J2" i="4"/>
  <c r="BK21" i="3" l="1"/>
  <c r="BK13" i="3"/>
  <c r="T1" i="1" l="1"/>
  <c r="CG3" i="4" l="1"/>
  <c r="CG4" i="4"/>
  <c r="CG5" i="4"/>
  <c r="CG6" i="4"/>
  <c r="CG7" i="4"/>
  <c r="CG8" i="4"/>
  <c r="CG2" i="4"/>
  <c r="CH1" i="4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CV1" i="4" s="1"/>
  <c r="CW1" i="4" s="1"/>
  <c r="CX1" i="4" s="1"/>
  <c r="CY1" i="4" s="1"/>
  <c r="CZ1" i="4" s="1"/>
  <c r="DA1" i="4" s="1"/>
  <c r="DB1" i="4" s="1"/>
  <c r="DC1" i="4" s="1"/>
  <c r="DD1" i="4" s="1"/>
  <c r="DE1" i="4" s="1"/>
  <c r="DF1" i="4" s="1"/>
  <c r="DG1" i="4" s="1"/>
  <c r="DH1" i="4" s="1"/>
  <c r="DI1" i="4" s="1"/>
  <c r="DJ1" i="4" s="1"/>
  <c r="DK1" i="4" s="1"/>
  <c r="DL1" i="4" s="1"/>
  <c r="DM1" i="4" s="1"/>
  <c r="BK15" i="3" l="1"/>
  <c r="BK3" i="3"/>
  <c r="BK12" i="3"/>
  <c r="BK7" i="3"/>
  <c r="BK8" i="3"/>
  <c r="BK16" i="3"/>
  <c r="BK4" i="3"/>
  <c r="BK9" i="3"/>
  <c r="BK2" i="3"/>
  <c r="BK17" i="3"/>
  <c r="BK11" i="3"/>
  <c r="BK5" i="3"/>
  <c r="BK18" i="3"/>
  <c r="BK10" i="3"/>
  <c r="BK19" i="3"/>
  <c r="BK14" i="3"/>
  <c r="BO24" i="3" l="1"/>
  <c r="AY11" i="4"/>
  <c r="AY9" i="4" l="1"/>
  <c r="AY8" i="4"/>
  <c r="AY7" i="4"/>
  <c r="AY6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7" i="4"/>
  <c r="AI38" i="4"/>
  <c r="AI39" i="4"/>
  <c r="AI40" i="4"/>
  <c r="AI41" i="4"/>
  <c r="AI42" i="4"/>
  <c r="AI2" i="4"/>
  <c r="B29" i="5"/>
  <c r="E27" i="5"/>
  <c r="B27" i="5"/>
  <c r="E18" i="5"/>
  <c r="B18" i="5"/>
  <c r="BF43" i="4" l="1"/>
  <c r="BG3" i="4"/>
  <c r="BG4" i="4"/>
  <c r="BG5" i="4"/>
  <c r="BG6" i="4"/>
  <c r="BG7" i="4"/>
  <c r="BG8" i="4"/>
  <c r="BG2" i="4"/>
  <c r="AF63" i="19" l="1"/>
  <c r="AE63" i="19"/>
  <c r="AD63" i="19"/>
  <c r="AC63" i="19"/>
  <c r="AB63" i="19"/>
  <c r="AA63" i="19"/>
  <c r="Z63" i="19"/>
  <c r="Y63" i="19"/>
  <c r="X63" i="19"/>
  <c r="W63" i="19"/>
  <c r="V63" i="19"/>
  <c r="U63" i="19"/>
  <c r="T63" i="19"/>
  <c r="S63" i="19"/>
  <c r="R63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AG62" i="19"/>
  <c r="AH62" i="19"/>
  <c r="AI62" i="19"/>
  <c r="E46" i="19" l="1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E45" i="19"/>
  <c r="AK45" i="19"/>
  <c r="AL45" i="19"/>
  <c r="AM45" i="19"/>
  <c r="AN45" i="19"/>
  <c r="AO45" i="19"/>
  <c r="AP45" i="19"/>
  <c r="AQ45" i="19"/>
  <c r="AJ45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BV21" i="19"/>
  <c r="BW21" i="19"/>
  <c r="BX21" i="19"/>
  <c r="BY21" i="19"/>
  <c r="BZ21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BV22" i="19"/>
  <c r="BW22" i="19"/>
  <c r="BX22" i="19"/>
  <c r="BY22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BV4" i="19"/>
  <c r="BW4" i="19"/>
  <c r="BX4" i="19"/>
  <c r="BY4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BV23" i="19"/>
  <c r="BW23" i="19"/>
  <c r="BX23" i="19"/>
  <c r="BY2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BV3" i="19"/>
  <c r="BW3" i="19"/>
  <c r="BX3" i="19"/>
  <c r="BY3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BV9" i="19"/>
  <c r="BW9" i="19"/>
  <c r="BX9" i="19"/>
  <c r="BY9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BV24" i="19"/>
  <c r="BW24" i="19"/>
  <c r="BX24" i="19"/>
  <c r="BY24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BV10" i="19"/>
  <c r="BW10" i="19"/>
  <c r="BX10" i="19"/>
  <c r="BY10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BV11" i="19"/>
  <c r="BW11" i="19"/>
  <c r="BX11" i="19"/>
  <c r="BY11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BV5" i="19"/>
  <c r="BW5" i="19"/>
  <c r="BX5" i="19"/>
  <c r="BY5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BV6" i="19"/>
  <c r="BW6" i="19"/>
  <c r="BX6" i="19"/>
  <c r="BY6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BV25" i="19"/>
  <c r="BW25" i="19"/>
  <c r="BX25" i="19"/>
  <c r="BY25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BV12" i="19"/>
  <c r="BW12" i="19"/>
  <c r="BX12" i="19"/>
  <c r="BY12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BV26" i="19"/>
  <c r="BW26" i="19"/>
  <c r="BX26" i="19"/>
  <c r="BY26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BV13" i="19"/>
  <c r="BW13" i="19"/>
  <c r="BX13" i="19"/>
  <c r="BY13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BV27" i="19"/>
  <c r="BW27" i="19"/>
  <c r="BX27" i="19"/>
  <c r="BY27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BV28" i="19"/>
  <c r="BW28" i="19"/>
  <c r="BX28" i="19"/>
  <c r="BY28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BV7" i="19"/>
  <c r="BW7" i="19"/>
  <c r="BX7" i="19"/>
  <c r="BY7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BV14" i="19"/>
  <c r="BW14" i="19"/>
  <c r="BX14" i="19"/>
  <c r="BY14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BV29" i="19"/>
  <c r="BW29" i="19"/>
  <c r="BX29" i="19"/>
  <c r="BY29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BV8" i="19"/>
  <c r="BW8" i="19"/>
  <c r="BX8" i="19"/>
  <c r="BY8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BV15" i="19"/>
  <c r="BW15" i="19"/>
  <c r="BX15" i="19"/>
  <c r="BY15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BV16" i="19"/>
  <c r="BW16" i="19"/>
  <c r="BX16" i="19"/>
  <c r="BY16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BV17" i="19"/>
  <c r="BW17" i="19"/>
  <c r="BX17" i="19"/>
  <c r="BY17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BV18" i="19"/>
  <c r="BW18" i="19"/>
  <c r="BX18" i="19"/>
  <c r="BY18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BV19" i="19"/>
  <c r="BW19" i="19"/>
  <c r="BX19" i="19"/>
  <c r="BY19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BV30" i="19"/>
  <c r="BW30" i="19"/>
  <c r="BX30" i="19"/>
  <c r="BY30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BV31" i="19"/>
  <c r="BW31" i="19"/>
  <c r="BX31" i="19"/>
  <c r="BY31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BV32" i="19"/>
  <c r="BW32" i="19"/>
  <c r="BX32" i="19"/>
  <c r="BY32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BV20" i="19"/>
  <c r="BW20" i="19"/>
  <c r="BX20" i="19"/>
  <c r="BY20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BV33" i="19"/>
  <c r="BW33" i="19"/>
  <c r="BX33" i="19"/>
  <c r="BY33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BV34" i="19"/>
  <c r="BW34" i="19"/>
  <c r="BX34" i="19"/>
  <c r="BY34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BV35" i="19"/>
  <c r="BW35" i="19"/>
  <c r="BX35" i="19"/>
  <c r="BY35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BV36" i="19"/>
  <c r="BW36" i="19"/>
  <c r="BX36" i="19"/>
  <c r="BY36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BV37" i="19"/>
  <c r="BW37" i="19"/>
  <c r="BX37" i="19"/>
  <c r="BY37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BV38" i="19"/>
  <c r="BW38" i="19"/>
  <c r="BX38" i="19"/>
  <c r="BY38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BV39" i="19"/>
  <c r="BW39" i="19"/>
  <c r="BX39" i="19"/>
  <c r="BY39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BV40" i="19"/>
  <c r="BW40" i="19"/>
  <c r="BX40" i="19"/>
  <c r="BY40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BV41" i="19"/>
  <c r="BW41" i="19"/>
  <c r="BX41" i="19"/>
  <c r="BY41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BV42" i="19"/>
  <c r="BW42" i="19"/>
  <c r="BX42" i="19"/>
  <c r="BY42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BV43" i="19"/>
  <c r="BW43" i="19"/>
  <c r="BX43" i="19"/>
  <c r="BY43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BV44" i="19"/>
  <c r="BW44" i="19"/>
  <c r="BX44" i="19"/>
  <c r="BY44" i="19"/>
  <c r="AY34" i="19"/>
  <c r="AY35" i="19"/>
  <c r="AY36" i="19"/>
  <c r="AY37" i="19"/>
  <c r="AY38" i="19"/>
  <c r="AY39" i="19"/>
  <c r="AY40" i="19"/>
  <c r="AY41" i="19"/>
  <c r="AY42" i="19"/>
  <c r="AY43" i="19"/>
  <c r="AY44" i="19"/>
  <c r="AU3" i="19" l="1"/>
  <c r="AW3" i="19" s="1"/>
  <c r="AV3" i="19" s="1"/>
  <c r="AU37" i="19"/>
  <c r="AW37" i="19" s="1"/>
  <c r="AV37" i="19" s="1"/>
  <c r="AU35" i="19"/>
  <c r="AW35" i="19" s="1"/>
  <c r="AV35" i="19" s="1"/>
  <c r="AU39" i="19"/>
  <c r="AW39" i="19" s="1"/>
  <c r="AV39" i="19" s="1"/>
  <c r="AU42" i="19"/>
  <c r="AW42" i="19" s="1"/>
  <c r="AV42" i="19" s="1"/>
  <c r="AU40" i="19"/>
  <c r="AW40" i="19" s="1"/>
  <c r="AV40" i="19" s="1"/>
  <c r="AU36" i="19"/>
  <c r="AW36" i="19" s="1"/>
  <c r="AV36" i="19" s="1"/>
  <c r="AU43" i="19"/>
  <c r="AW43" i="19" s="1"/>
  <c r="AV43" i="19" s="1"/>
  <c r="AU41" i="19"/>
  <c r="AW41" i="19" s="1"/>
  <c r="AV41" i="19" s="1"/>
  <c r="AU44" i="19"/>
  <c r="AW44" i="19" s="1"/>
  <c r="AV44" i="19" s="1"/>
  <c r="AU21" i="19"/>
  <c r="AU38" i="19"/>
  <c r="AW38" i="19" s="1"/>
  <c r="AV38" i="19" s="1"/>
  <c r="AU34" i="19"/>
  <c r="AW34" i="19" s="1"/>
  <c r="AV34" i="19" s="1"/>
  <c r="AU33" i="19"/>
  <c r="AW33" i="19" s="1"/>
  <c r="AV33" i="19" s="1"/>
  <c r="AU20" i="19"/>
  <c r="AW20" i="19" s="1"/>
  <c r="AV20" i="19" s="1"/>
  <c r="AU32" i="19"/>
  <c r="AW32" i="19" s="1"/>
  <c r="AV32" i="19" s="1"/>
  <c r="AU31" i="19"/>
  <c r="AW31" i="19" s="1"/>
  <c r="AV31" i="19" s="1"/>
  <c r="AU30" i="19"/>
  <c r="AW30" i="19" s="1"/>
  <c r="AV30" i="19" s="1"/>
  <c r="AU19" i="19"/>
  <c r="AW19" i="19" s="1"/>
  <c r="AV19" i="19" s="1"/>
  <c r="AU18" i="19"/>
  <c r="AW18" i="19" s="1"/>
  <c r="AV18" i="19" s="1"/>
  <c r="AU17" i="19"/>
  <c r="AW17" i="19" s="1"/>
  <c r="AV17" i="19" s="1"/>
  <c r="AU16" i="19"/>
  <c r="AW16" i="19" s="1"/>
  <c r="AV16" i="19" s="1"/>
  <c r="AU15" i="19"/>
  <c r="AW15" i="19" s="1"/>
  <c r="AV15" i="19" s="1"/>
  <c r="AU8" i="19"/>
  <c r="AW8" i="19" s="1"/>
  <c r="AV8" i="19" s="1"/>
  <c r="AU29" i="19"/>
  <c r="AW29" i="19" s="1"/>
  <c r="AV29" i="19" s="1"/>
  <c r="AU14" i="19"/>
  <c r="AW14" i="19" s="1"/>
  <c r="AV14" i="19" s="1"/>
  <c r="AU7" i="19"/>
  <c r="AW7" i="19" s="1"/>
  <c r="AV7" i="19" s="1"/>
  <c r="AU28" i="19"/>
  <c r="AW28" i="19" s="1"/>
  <c r="AV28" i="19" s="1"/>
  <c r="AU27" i="19"/>
  <c r="AW27" i="19" s="1"/>
  <c r="AV27" i="19" s="1"/>
  <c r="AU13" i="19"/>
  <c r="AW13" i="19" s="1"/>
  <c r="AV13" i="19" s="1"/>
  <c r="AU26" i="19"/>
  <c r="AW26" i="19" s="1"/>
  <c r="AV26" i="19" s="1"/>
  <c r="AU12" i="19"/>
  <c r="AW12" i="19" s="1"/>
  <c r="AV12" i="19" s="1"/>
  <c r="AU25" i="19"/>
  <c r="AW25" i="19" s="1"/>
  <c r="AV25" i="19" s="1"/>
  <c r="AU6" i="19"/>
  <c r="AW6" i="19" s="1"/>
  <c r="AV6" i="19" s="1"/>
  <c r="AU5" i="19"/>
  <c r="AW5" i="19" s="1"/>
  <c r="AV5" i="19" s="1"/>
  <c r="AU11" i="19"/>
  <c r="AW11" i="19" s="1"/>
  <c r="AV11" i="19" s="1"/>
  <c r="AU10" i="19"/>
  <c r="AW10" i="19" s="1"/>
  <c r="AV10" i="19" s="1"/>
  <c r="AU24" i="19"/>
  <c r="AW24" i="19" s="1"/>
  <c r="AV24" i="19" s="1"/>
  <c r="AU9" i="19"/>
  <c r="AW9" i="19" s="1"/>
  <c r="AV9" i="19" s="1"/>
  <c r="AU23" i="19"/>
  <c r="AW23" i="19" s="1"/>
  <c r="AV23" i="19" s="1"/>
  <c r="AU4" i="19"/>
  <c r="AW4" i="19" s="1"/>
  <c r="AV4" i="19" s="1"/>
  <c r="AU22" i="19"/>
  <c r="AW22" i="19" s="1"/>
  <c r="AV22" i="19" s="1"/>
  <c r="AU45" i="19" l="1"/>
  <c r="AW21" i="19"/>
  <c r="AW45" i="19" s="1"/>
  <c r="AV21" i="19" l="1"/>
  <c r="AV45" i="19" s="1"/>
  <c r="D58" i="3" l="1"/>
  <c r="E58" i="3"/>
  <c r="F58" i="3"/>
  <c r="G58" i="3"/>
  <c r="H58" i="3"/>
  <c r="I58" i="3"/>
  <c r="C58" i="3"/>
  <c r="C1" i="3" l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G58" i="3" l="1"/>
  <c r="BH58" i="3"/>
  <c r="BG59" i="3"/>
  <c r="BH59" i="3"/>
  <c r="BF59" i="3"/>
  <c r="BF58" i="3"/>
  <c r="H5" i="1"/>
  <c r="D1" i="19" s="1"/>
  <c r="G5" i="1"/>
  <c r="B1" i="19" s="1"/>
  <c r="E5" i="1" l="1"/>
  <c r="E6" i="1"/>
  <c r="E9" i="1"/>
  <c r="I3" i="1" s="1"/>
  <c r="E8" i="1"/>
  <c r="G1" i="1" s="1"/>
  <c r="BI3" i="3"/>
  <c r="BI4" i="3"/>
  <c r="BI5" i="3"/>
  <c r="BI6" i="3"/>
  <c r="BI7" i="3"/>
  <c r="BI8" i="3"/>
  <c r="BI9" i="3"/>
  <c r="BI10" i="3"/>
  <c r="BI11" i="3"/>
  <c r="BI12" i="3"/>
  <c r="BI13" i="3"/>
  <c r="BI14" i="3"/>
  <c r="BI15" i="3"/>
  <c r="BI16" i="3"/>
  <c r="BI17" i="3"/>
  <c r="BI18" i="3"/>
  <c r="BI19" i="3"/>
  <c r="BI20" i="3"/>
  <c r="BI21" i="3"/>
  <c r="BI22" i="3"/>
  <c r="BI23" i="3"/>
  <c r="BI24" i="3"/>
  <c r="BI25" i="3"/>
  <c r="BI26" i="3"/>
  <c r="BI27" i="3"/>
  <c r="BI28" i="3"/>
  <c r="BI29" i="3"/>
  <c r="BI30" i="3"/>
  <c r="BI31" i="3"/>
  <c r="BI32" i="3"/>
  <c r="BI2" i="3"/>
  <c r="I4" i="1" l="1"/>
  <c r="BI59" i="3"/>
  <c r="BI58" i="3"/>
  <c r="E7" i="1"/>
  <c r="I1" i="1" l="1"/>
  <c r="E10" i="1"/>
  <c r="N12" i="1" l="1"/>
  <c r="N16" i="1"/>
  <c r="N20" i="1"/>
  <c r="N24" i="1"/>
  <c r="N28" i="1"/>
  <c r="N32" i="1"/>
  <c r="N36" i="1"/>
  <c r="N40" i="1"/>
  <c r="N44" i="1"/>
  <c r="U8" i="1"/>
  <c r="U20" i="1"/>
  <c r="U32" i="1"/>
  <c r="N23" i="1"/>
  <c r="N35" i="1"/>
  <c r="N9" i="1"/>
  <c r="N13" i="1"/>
  <c r="N17" i="1"/>
  <c r="N21" i="1"/>
  <c r="N25" i="1"/>
  <c r="N29" i="1"/>
  <c r="N33" i="1"/>
  <c r="N37" i="1"/>
  <c r="N41" i="1"/>
  <c r="N45" i="1"/>
  <c r="U4" i="1"/>
  <c r="U16" i="1"/>
  <c r="U24" i="1"/>
  <c r="U36" i="1"/>
  <c r="N15" i="1"/>
  <c r="N27" i="1"/>
  <c r="N43" i="1"/>
  <c r="N10" i="1"/>
  <c r="N14" i="1"/>
  <c r="N18" i="1"/>
  <c r="N22" i="1"/>
  <c r="N26" i="1"/>
  <c r="N30" i="1"/>
  <c r="N34" i="1"/>
  <c r="N38" i="1"/>
  <c r="N42" i="1"/>
  <c r="N46" i="1"/>
  <c r="U12" i="1"/>
  <c r="U28" i="1"/>
  <c r="N11" i="1"/>
  <c r="N19" i="1"/>
  <c r="N31" i="1"/>
  <c r="N39" i="1"/>
  <c r="U34" i="1"/>
  <c r="U10" i="1"/>
  <c r="U29" i="1"/>
  <c r="U13" i="1"/>
  <c r="U30" i="1"/>
  <c r="U27" i="1"/>
  <c r="U11" i="1"/>
  <c r="U26" i="1"/>
  <c r="U6" i="1"/>
  <c r="U25" i="1"/>
  <c r="U9" i="1"/>
  <c r="U18" i="1"/>
  <c r="U23" i="1"/>
  <c r="U7" i="1"/>
  <c r="U22" i="1"/>
  <c r="U37" i="1"/>
  <c r="U21" i="1"/>
  <c r="U5" i="1"/>
  <c r="U35" i="1"/>
  <c r="U19" i="1"/>
  <c r="U14" i="1"/>
  <c r="U33" i="1"/>
  <c r="U17" i="1"/>
  <c r="U38" i="1"/>
  <c r="U31" i="1"/>
  <c r="U15" i="1"/>
  <c r="BY1" i="3"/>
  <c r="U2" i="1"/>
  <c r="AY2" i="4"/>
  <c r="K43" i="4"/>
  <c r="E33" i="5"/>
  <c r="E34" i="5"/>
  <c r="E35" i="5"/>
  <c r="E36" i="5"/>
  <c r="E26" i="5"/>
  <c r="T4" i="1" l="1"/>
  <c r="T2" i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9" i="5"/>
  <c r="E20" i="5"/>
  <c r="E21" i="5"/>
  <c r="E22" i="5"/>
  <c r="E23" i="5"/>
  <c r="E24" i="5"/>
  <c r="E25" i="5"/>
  <c r="E3" i="5"/>
  <c r="E2" i="5"/>
  <c r="N28" i="4"/>
  <c r="N7" i="4"/>
  <c r="N13" i="4"/>
  <c r="N39" i="4"/>
  <c r="N10" i="4"/>
  <c r="M3" i="4"/>
  <c r="N33" i="4"/>
  <c r="M2" i="4"/>
  <c r="M7" i="4"/>
  <c r="N20" i="4"/>
  <c r="N22" i="4"/>
  <c r="N42" i="4"/>
  <c r="N12" i="4"/>
  <c r="N8" i="4"/>
  <c r="M16" i="4"/>
  <c r="N31" i="4"/>
  <c r="M12" i="4"/>
  <c r="M10" i="4"/>
  <c r="M11" i="4"/>
  <c r="N24" i="4"/>
  <c r="N25" i="4"/>
  <c r="M36" i="4"/>
  <c r="N37" i="4"/>
  <c r="M15" i="4"/>
  <c r="N14" i="4"/>
  <c r="M24" i="4"/>
  <c r="M6" i="4"/>
  <c r="M42" i="4"/>
  <c r="M28" i="4"/>
  <c r="M29" i="4"/>
  <c r="N38" i="4"/>
  <c r="M41" i="4"/>
  <c r="N34" i="4"/>
  <c r="M9" i="4"/>
  <c r="N16" i="4"/>
  <c r="N27" i="4"/>
  <c r="M21" i="4"/>
  <c r="N35" i="4"/>
  <c r="N29" i="4"/>
  <c r="N15" i="4"/>
  <c r="N5" i="4"/>
  <c r="N36" i="4"/>
  <c r="M18" i="4"/>
  <c r="M20" i="4"/>
  <c r="N17" i="4"/>
  <c r="N40" i="4"/>
  <c r="M27" i="4"/>
  <c r="M26" i="4"/>
  <c r="M4" i="4"/>
  <c r="M17" i="4"/>
  <c r="N19" i="4"/>
  <c r="N26" i="4"/>
  <c r="M23" i="4"/>
  <c r="M34" i="4"/>
  <c r="N21" i="4"/>
  <c r="N2" i="4"/>
  <c r="N6" i="4"/>
  <c r="M22" i="4"/>
  <c r="N9" i="4"/>
  <c r="M8" i="4"/>
  <c r="M13" i="4"/>
  <c r="N18" i="4"/>
  <c r="N23" i="4"/>
  <c r="M38" i="4"/>
  <c r="N3" i="4"/>
  <c r="M37" i="4"/>
  <c r="M14" i="4"/>
  <c r="M25" i="4"/>
  <c r="N11" i="4"/>
  <c r="N32" i="4"/>
  <c r="M35" i="4"/>
  <c r="M32" i="4"/>
  <c r="N41" i="4"/>
  <c r="N4" i="4"/>
  <c r="M19" i="4"/>
  <c r="N30" i="4"/>
  <c r="BE42" i="4" l="1"/>
  <c r="BE41" i="4"/>
  <c r="BE38" i="4"/>
  <c r="BE37" i="4"/>
  <c r="BE36" i="4"/>
  <c r="BE35" i="4"/>
  <c r="BE34" i="4"/>
  <c r="BE32" i="4"/>
  <c r="BE29" i="4"/>
  <c r="BE28" i="4"/>
  <c r="BE27" i="4"/>
  <c r="BE26" i="4"/>
  <c r="BE25" i="4"/>
  <c r="BE24" i="4"/>
  <c r="BE23" i="4"/>
  <c r="BE22" i="4"/>
  <c r="BE21" i="4"/>
  <c r="BE19" i="4"/>
  <c r="BE18" i="4"/>
  <c r="BE17" i="4"/>
  <c r="BE16" i="4"/>
  <c r="BE15" i="4"/>
  <c r="BE14" i="4"/>
  <c r="BE13" i="4"/>
  <c r="BE12" i="4"/>
  <c r="BE11" i="4"/>
  <c r="BE10" i="4"/>
  <c r="BE9" i="4"/>
  <c r="BE8" i="4"/>
  <c r="BE7" i="4"/>
  <c r="BE6" i="4"/>
  <c r="BE4" i="4"/>
  <c r="BE3" i="4"/>
  <c r="T3" i="1"/>
  <c r="P9" i="1"/>
  <c r="U3" i="1" s="1"/>
  <c r="M30" i="4"/>
  <c r="M5" i="4"/>
  <c r="M31" i="4"/>
  <c r="M33" i="4"/>
  <c r="M39" i="4"/>
  <c r="M40" i="4"/>
  <c r="BE30" i="4" l="1"/>
  <c r="BE39" i="4"/>
  <c r="BE40" i="4"/>
  <c r="BE31" i="4"/>
  <c r="BE5" i="4"/>
  <c r="BE33" i="4"/>
  <c r="BE2" i="4"/>
  <c r="BE20" i="4"/>
  <c r="BE43" i="4" l="1"/>
  <c r="B36" i="5"/>
  <c r="B28" i="5"/>
  <c r="B30" i="5"/>
  <c r="B31" i="5"/>
  <c r="B32" i="5"/>
  <c r="B33" i="5"/>
  <c r="B34" i="5"/>
  <c r="B35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9" i="5"/>
  <c r="B20" i="5"/>
  <c r="B21" i="5"/>
  <c r="B22" i="5"/>
  <c r="B23" i="5"/>
  <c r="B24" i="5"/>
  <c r="B25" i="5"/>
  <c r="B2" i="5"/>
  <c r="B33" i="3" l="1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A52" i="3"/>
  <c r="A53" i="3"/>
  <c r="A54" i="3"/>
  <c r="A55" i="3"/>
  <c r="A56" i="3"/>
  <c r="A57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2" i="3"/>
  <c r="A36" i="15" l="1"/>
  <c r="A35" i="15"/>
  <c r="A34" i="15"/>
  <c r="A33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36" i="14"/>
  <c r="A35" i="14"/>
  <c r="A34" i="14"/>
  <c r="A33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26" i="2"/>
  <c r="A27" i="2"/>
  <c r="A28" i="2"/>
  <c r="A33" i="2"/>
  <c r="A34" i="2"/>
  <c r="A35" i="2"/>
  <c r="A36" i="2"/>
  <c r="O1" i="4" l="1" a="1"/>
  <c r="O1" i="4" s="1"/>
  <c r="AY1" i="4"/>
  <c r="E62" i="19" l="1"/>
  <c r="I62" i="19"/>
  <c r="M62" i="19"/>
  <c r="Q62" i="19"/>
  <c r="U62" i="19"/>
  <c r="Y62" i="19"/>
  <c r="AC62" i="19"/>
  <c r="AH63" i="19"/>
  <c r="AG63" i="19"/>
  <c r="H62" i="19"/>
  <c r="L62" i="19"/>
  <c r="P62" i="19"/>
  <c r="T62" i="19"/>
  <c r="X62" i="19"/>
  <c r="AB62" i="19"/>
  <c r="AF62" i="19"/>
  <c r="G62" i="19"/>
  <c r="K62" i="19"/>
  <c r="O62" i="19"/>
  <c r="S62" i="19"/>
  <c r="W62" i="19"/>
  <c r="AA62" i="19"/>
  <c r="AE62" i="19"/>
  <c r="AI63" i="19"/>
  <c r="F62" i="19"/>
  <c r="J62" i="19"/>
  <c r="N62" i="19"/>
  <c r="R62" i="19"/>
  <c r="V62" i="19"/>
  <c r="Z62" i="19"/>
  <c r="AD62" i="19"/>
  <c r="AV1" i="4"/>
  <c r="AT1" i="4"/>
  <c r="AR1" i="4"/>
  <c r="AP1" i="4"/>
  <c r="AN1" i="4"/>
  <c r="AL1" i="4"/>
  <c r="AJ1" i="4"/>
  <c r="AH1" i="4"/>
  <c r="AF1" i="4"/>
  <c r="AD1" i="4"/>
  <c r="AB1" i="4"/>
  <c r="Z1" i="4"/>
  <c r="X1" i="4"/>
  <c r="V1" i="4"/>
  <c r="T1" i="4"/>
  <c r="R1" i="4"/>
  <c r="P1" i="4"/>
  <c r="AW1" i="4"/>
  <c r="AU1" i="4"/>
  <c r="AS1" i="4"/>
  <c r="AQ1" i="4"/>
  <c r="AO1" i="4"/>
  <c r="AM1" i="4"/>
  <c r="AK1" i="4"/>
  <c r="AI1" i="4"/>
  <c r="AG1" i="4"/>
  <c r="AE1" i="4"/>
  <c r="AC1" i="4"/>
  <c r="AA1" i="4"/>
  <c r="Y1" i="4"/>
  <c r="W1" i="4"/>
  <c r="U1" i="4"/>
  <c r="S1" i="4"/>
  <c r="Q1" i="4"/>
  <c r="AY5" i="4" l="1"/>
  <c r="G1" i="8"/>
  <c r="A20" i="2" l="1"/>
  <c r="A21" i="2"/>
  <c r="A22" i="2"/>
  <c r="A23" i="2"/>
  <c r="A24" i="2"/>
  <c r="A25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3" i="2"/>
  <c r="A2" i="2"/>
  <c r="AD1" i="5" l="1"/>
  <c r="BY2" i="3" l="1"/>
  <c r="AY3" i="4" l="1"/>
  <c r="AY4" i="4" s="1"/>
</calcChain>
</file>

<file path=xl/comments1.xml><?xml version="1.0" encoding="utf-8"?>
<comments xmlns="http://schemas.openxmlformats.org/spreadsheetml/2006/main">
  <authors>
    <author>Christian Pfefferlen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Wenn ein Feiertag im aktuellen Monat ist, dann bitte am entsprechenden Tag eine 1 eintragen (im blauen Bereich). 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Bitte Monat und Jahr im blauen Bereich eintragen. Anschließend erst auf Löschen klicken, dann auf Tage Befüllen klicken.</t>
        </r>
      </text>
    </comment>
  </commentList>
</comments>
</file>

<file path=xl/comments2.xml><?xml version="1.0" encoding="utf-8"?>
<comments xmlns="http://schemas.openxmlformats.org/spreadsheetml/2006/main">
  <authors>
    <author>Christian Pfefferlen</author>
  </authors>
  <commentList>
    <comment ref="BH1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0 entspricht der jüngstenWoche (letzte ganze Woche des Vormonats), 22 ist die älteste Woche also vor 22 Wochen</t>
        </r>
      </text>
    </comment>
    <comment ref="AB23" authorId="0" shapeId="0">
      <text>
        <r>
          <rPr>
            <b/>
            <sz val="9"/>
            <color indexed="81"/>
            <rFont val="Segoe UI"/>
            <charset val="1"/>
          </rPr>
          <t>Christian Pfefferlen:</t>
        </r>
        <r>
          <rPr>
            <sz val="9"/>
            <color indexed="81"/>
            <rFont val="Segoe UI"/>
            <charset val="1"/>
          </rPr>
          <t xml:space="preserve">
ab Dezember NEF</t>
        </r>
      </text>
    </comment>
  </commentList>
</comments>
</file>

<file path=xl/comments3.xml><?xml version="1.0" encoding="utf-8"?>
<comments xmlns="http://schemas.openxmlformats.org/spreadsheetml/2006/main">
  <authors>
    <author>Christian Pfefferlen</author>
  </authors>
  <commentList>
    <comment ref="I38" authorId="0" shapeId="0">
      <text>
        <r>
          <rPr>
            <b/>
            <sz val="9"/>
            <color indexed="81"/>
            <rFont val="Tahoma"/>
            <charset val="1"/>
          </rPr>
          <t>Christian Pfefferlen:</t>
        </r>
        <r>
          <rPr>
            <sz val="9"/>
            <color indexed="81"/>
            <rFont val="Tahoma"/>
            <charset val="1"/>
          </rPr>
          <t xml:space="preserve">
Nicht jeden Tag zu besetzen, Gerd fragen wann</t>
        </r>
      </text>
    </comment>
  </commentList>
</comments>
</file>

<file path=xl/sharedStrings.xml><?xml version="1.0" encoding="utf-8"?>
<sst xmlns="http://schemas.openxmlformats.org/spreadsheetml/2006/main" count="8701" uniqueCount="374">
  <si>
    <t>Name</t>
  </si>
  <si>
    <t>Qualifikation</t>
  </si>
  <si>
    <t>Gruppe</t>
  </si>
  <si>
    <t>Stunden/Woche</t>
  </si>
  <si>
    <t>Opt-Out</t>
  </si>
  <si>
    <t>A</t>
  </si>
  <si>
    <t>ZD</t>
  </si>
  <si>
    <t>Bezeichnung</t>
  </si>
  <si>
    <t>Erklärung</t>
  </si>
  <si>
    <t>Tage</t>
  </si>
  <si>
    <t>Wieviele Ärzte</t>
  </si>
  <si>
    <t>Zusammensetzung</t>
  </si>
  <si>
    <t>REGELZEIT</t>
  </si>
  <si>
    <t>BD</t>
  </si>
  <si>
    <t>RB</t>
  </si>
  <si>
    <t>FZA?</t>
  </si>
  <si>
    <t>A93</t>
  </si>
  <si>
    <t>S1</t>
  </si>
  <si>
    <t>08:00-16:00</t>
  </si>
  <si>
    <t>BD1</t>
  </si>
  <si>
    <t>Wochenende OP Samstag</t>
  </si>
  <si>
    <t>Sa</t>
  </si>
  <si>
    <t>08:00-08:00</t>
  </si>
  <si>
    <t>BD3</t>
  </si>
  <si>
    <t>Wochenende OP Sonntag</t>
  </si>
  <si>
    <t>So</t>
  </si>
  <si>
    <t>IOP</t>
  </si>
  <si>
    <t>Mo-So</t>
  </si>
  <si>
    <t>Mo-Fr</t>
  </si>
  <si>
    <t>Sa-So</t>
  </si>
  <si>
    <t>07:30-16:00</t>
  </si>
  <si>
    <t>OP</t>
  </si>
  <si>
    <t>PM</t>
  </si>
  <si>
    <t>Prämediaktionsdienst</t>
  </si>
  <si>
    <t>09:00-17:30</t>
  </si>
  <si>
    <t>RB3</t>
  </si>
  <si>
    <t>Rufdienst Samstag</t>
  </si>
  <si>
    <t>10:00-10:00</t>
  </si>
  <si>
    <t>RB4</t>
  </si>
  <si>
    <t>Rufdienst Sonntag</t>
  </si>
  <si>
    <t>10:00-07:30</t>
  </si>
  <si>
    <t>V93</t>
  </si>
  <si>
    <t>16:00-08:00</t>
  </si>
  <si>
    <t>Z4</t>
  </si>
  <si>
    <t>Regeldienst Mo-Do</t>
  </si>
  <si>
    <t>Mo-Do</t>
  </si>
  <si>
    <t>11:30-20:00</t>
  </si>
  <si>
    <t>20:00-07:30</t>
  </si>
  <si>
    <t>Regeldienst Fr</t>
  </si>
  <si>
    <t>Fr</t>
  </si>
  <si>
    <t>20:00-10:00</t>
  </si>
  <si>
    <t>Regeldienst</t>
  </si>
  <si>
    <t>1-2</t>
  </si>
  <si>
    <t>A73</t>
  </si>
  <si>
    <t>14:42-23:42</t>
  </si>
  <si>
    <t>23:42-08:30</t>
  </si>
  <si>
    <t>Hausdienst</t>
  </si>
  <si>
    <t>20:00-07:45</t>
  </si>
  <si>
    <t>AO</t>
  </si>
  <si>
    <t>CA</t>
  </si>
  <si>
    <t>IO</t>
  </si>
  <si>
    <t>OA</t>
  </si>
  <si>
    <t>07:30-18:15</t>
  </si>
  <si>
    <t>UR</t>
  </si>
  <si>
    <t>Urlaub</t>
  </si>
  <si>
    <t>XBD</t>
  </si>
  <si>
    <t>Frei für Bereitschaftsdienst</t>
  </si>
  <si>
    <t>KR</t>
  </si>
  <si>
    <t>Krank</t>
  </si>
  <si>
    <t>FW</t>
  </si>
  <si>
    <t>Tag</t>
  </si>
  <si>
    <t>Wochentag</t>
  </si>
  <si>
    <t>Donnerstag</t>
  </si>
  <si>
    <t>Freitag</t>
  </si>
  <si>
    <t>Samstag</t>
  </si>
  <si>
    <t>Sonntag</t>
  </si>
  <si>
    <t>Montag</t>
  </si>
  <si>
    <t>Dienstag</t>
  </si>
  <si>
    <t>Mittwoch</t>
  </si>
  <si>
    <t>c_st</t>
  </si>
  <si>
    <t>Z4F</t>
  </si>
  <si>
    <t>Woche</t>
  </si>
  <si>
    <t>Dienst</t>
  </si>
  <si>
    <t>Frei</t>
  </si>
  <si>
    <t>UR0</t>
  </si>
  <si>
    <t>Wert</t>
  </si>
  <si>
    <t>Anzahl Tage</t>
  </si>
  <si>
    <t>Anzahl Wochen</t>
  </si>
  <si>
    <t>Größe des Teams</t>
  </si>
  <si>
    <t>0</t>
  </si>
  <si>
    <t>Monat</t>
  </si>
  <si>
    <t>Jahr</t>
  </si>
  <si>
    <t>Personal</t>
  </si>
  <si>
    <t>Fort und Weiterbildung</t>
  </si>
  <si>
    <t>Notarzt Frühdienst</t>
  </si>
  <si>
    <t>Notarzt Spätdienst</t>
  </si>
  <si>
    <t>15:45-23:24</t>
  </si>
  <si>
    <t>unregelmäßig!</t>
  </si>
  <si>
    <t>alle Tage</t>
  </si>
  <si>
    <t>A91</t>
  </si>
  <si>
    <t>mind. 1 OA Mo-Fr</t>
  </si>
  <si>
    <t>mind. 4 FA oder höher</t>
  </si>
  <si>
    <t>selten</t>
  </si>
  <si>
    <t>Anzahl Dienste</t>
  </si>
  <si>
    <t>Anzahl Einträge</t>
  </si>
  <si>
    <t>Anzahl A-Tage Einträge</t>
  </si>
  <si>
    <t>Teilzeit Ärzte</t>
  </si>
  <si>
    <t>WE Dienste ja/nein?</t>
  </si>
  <si>
    <t>Anzahl Werktage</t>
  </si>
  <si>
    <t>Unterstunden</t>
  </si>
  <si>
    <t>FZA: Ja/Nein</t>
  </si>
  <si>
    <t>So-Do ja, Fr-Sa nein</t>
  </si>
  <si>
    <t>Max. Workstrech</t>
  </si>
  <si>
    <t>Summe</t>
  </si>
  <si>
    <t>Überstunden</t>
  </si>
  <si>
    <t>Unechte Dienste</t>
  </si>
  <si>
    <t>Stundenkonto Monatsanfang</t>
  </si>
  <si>
    <t>Wöchentliche Höchstarbeitszeit</t>
  </si>
  <si>
    <t>Dienste die Freitags mit zum WE gehören</t>
  </si>
  <si>
    <t>Dienste denen täglich ein FA zugeordnet werden muss</t>
  </si>
  <si>
    <t>Stdkto Neu</t>
  </si>
  <si>
    <t>Tag für Neuplanung</t>
  </si>
  <si>
    <t>A_CA</t>
  </si>
  <si>
    <t>C_GB</t>
  </si>
  <si>
    <t>D_VB</t>
  </si>
  <si>
    <t>E_MG</t>
  </si>
  <si>
    <t>F_AG</t>
  </si>
  <si>
    <t>I_CG</t>
  </si>
  <si>
    <t>J_JH</t>
  </si>
  <si>
    <t>K_TH</t>
  </si>
  <si>
    <t>M_BJ</t>
  </si>
  <si>
    <t>O_CK</t>
  </si>
  <si>
    <t>P_AK</t>
  </si>
  <si>
    <t>Q_CK</t>
  </si>
  <si>
    <t>R_RK</t>
  </si>
  <si>
    <t>S_DL</t>
  </si>
  <si>
    <t>T_TM</t>
  </si>
  <si>
    <t>U_KM</t>
  </si>
  <si>
    <t>W_BP</t>
  </si>
  <si>
    <t>X_AP</t>
  </si>
  <si>
    <t>Y_DS</t>
  </si>
  <si>
    <t>Z_HS</t>
  </si>
  <si>
    <t>ZB_TW</t>
  </si>
  <si>
    <t>ZC_CZ</t>
  </si>
  <si>
    <t>ZD_JZ</t>
  </si>
  <si>
    <t>ZZ_AF</t>
  </si>
  <si>
    <t>V_UP</t>
  </si>
  <si>
    <t>BD-Dienste</t>
  </si>
  <si>
    <t>BD-Dienste ja/nein</t>
  </si>
  <si>
    <t>Max BD-Dienste</t>
  </si>
  <si>
    <t>Feiertag</t>
  </si>
  <si>
    <t>Arbeitszeit</t>
  </si>
  <si>
    <t>Bezahlkto</t>
  </si>
  <si>
    <t>Zeitkto</t>
  </si>
  <si>
    <t>assignments1</t>
  </si>
  <si>
    <t>assignments2</t>
  </si>
  <si>
    <t>undertime</t>
  </si>
  <si>
    <t>overtimeTZ</t>
  </si>
  <si>
    <t>overtimeVZ</t>
  </si>
  <si>
    <t>violationsIOPFolge</t>
  </si>
  <si>
    <t>Wünsche</t>
  </si>
  <si>
    <t>Folgemonat</t>
  </si>
  <si>
    <t>XYZ</t>
  </si>
  <si>
    <t>Neuplanung JA oder NEIN?</t>
  </si>
  <si>
    <t>Dummy</t>
  </si>
  <si>
    <t>Input hart (&lt;TagFürNeuplanung)</t>
  </si>
  <si>
    <t>Input soft (&gt;=TagFürNeuplanung)</t>
  </si>
  <si>
    <t>Input hart (&gt;=TagFürNeuplanung)</t>
  </si>
  <si>
    <t>IOPL</t>
  </si>
  <si>
    <t>TBA</t>
  </si>
  <si>
    <t>S0</t>
  </si>
  <si>
    <t>+/- Stunden</t>
  </si>
  <si>
    <t>Standardabweichung</t>
  </si>
  <si>
    <t>Zeitraum</t>
  </si>
  <si>
    <t>KW</t>
  </si>
  <si>
    <t>Planungshorizont Monate</t>
  </si>
  <si>
    <t>Datum</t>
  </si>
  <si>
    <t>#Tage</t>
  </si>
  <si>
    <t>Erster Wochentag</t>
  </si>
  <si>
    <t>Letzter Wochentag</t>
  </si>
  <si>
    <t>assignments0</t>
  </si>
  <si>
    <t>ZF-Koeff</t>
  </si>
  <si>
    <t>Ergebnis</t>
  </si>
  <si>
    <t>violationsWorkstrech</t>
  </si>
  <si>
    <t>violationsFAanwesend</t>
  </si>
  <si>
    <t>violationsZeitkonto</t>
  </si>
  <si>
    <t>violationsUnbesetzt</t>
  </si>
  <si>
    <t>violationsFrei</t>
  </si>
  <si>
    <t>violationsQualifikation</t>
  </si>
  <si>
    <t>violationsAtage</t>
  </si>
  <si>
    <t>violationsWEDienst</t>
  </si>
  <si>
    <t>violationsMaxarbeitszeit</t>
  </si>
  <si>
    <t>bdrange</t>
  </si>
  <si>
    <t>ZF-Term</t>
  </si>
  <si>
    <t>Wochenende</t>
  </si>
  <si>
    <t>Max Überstunden</t>
  </si>
  <si>
    <t>HO</t>
  </si>
  <si>
    <t>Intensivstation Früh</t>
  </si>
  <si>
    <t>Intensivstation Spät/Nacht</t>
  </si>
  <si>
    <t>Notarzt 24h</t>
  </si>
  <si>
    <t>Außen Organistor</t>
  </si>
  <si>
    <t>Innen Organisator</t>
  </si>
  <si>
    <t>Urlaub an Wochenendtag</t>
  </si>
  <si>
    <t>Ausgleichstag für Teilzeit</t>
  </si>
  <si>
    <t>Lange Woche Intensiv</t>
  </si>
  <si>
    <t>Pufferdienst</t>
  </si>
  <si>
    <t>Feiertagausgleich (Holiday)</t>
  </si>
  <si>
    <t>Feiertag ausgleich</t>
  </si>
  <si>
    <t>violationsBDDienst</t>
  </si>
  <si>
    <t>Index für Matrix "WE's"</t>
  </si>
  <si>
    <t>Anzahl ganze WE's</t>
  </si>
  <si>
    <t>Letztes Woche mit ganzem WE: w=</t>
  </si>
  <si>
    <t>TBA und AO dürfen unbesetzt bleiben</t>
  </si>
  <si>
    <t>sind sogenannte Reserve Dienste</t>
  </si>
  <si>
    <t>Vertrag</t>
  </si>
  <si>
    <t>Optout</t>
  </si>
  <si>
    <t>Z.Kto. Vor.Mo.</t>
  </si>
  <si>
    <t>Soll-Std.</t>
  </si>
  <si>
    <t>Ist-Std.</t>
  </si>
  <si>
    <t>Z.Kto.</t>
  </si>
  <si>
    <t>Bez.Std.</t>
  </si>
  <si>
    <t>BD Anzahl</t>
  </si>
  <si>
    <t>Bedingte Formatierung</t>
  </si>
  <si>
    <t>Abwesend</t>
  </si>
  <si>
    <t>Anwesend</t>
  </si>
  <si>
    <t>Plan Vorschlag</t>
  </si>
  <si>
    <t>Tatsächlicher Plan</t>
  </si>
  <si>
    <t>Hilfsmatrix für die Berechnung der Stunden</t>
  </si>
  <si>
    <t>bis</t>
  </si>
  <si>
    <t>ja</t>
  </si>
  <si>
    <t>AA</t>
  </si>
  <si>
    <t>FA</t>
  </si>
  <si>
    <t>Anz. Wochen</t>
  </si>
  <si>
    <t>22/21 Wochen Stunden</t>
  </si>
  <si>
    <t>Schnitt ZZ</t>
  </si>
  <si>
    <t>Schnitt Original Mai</t>
  </si>
  <si>
    <t>Letzten 22 Wochen</t>
  </si>
  <si>
    <t>HöchstAZ durchschn.</t>
  </si>
  <si>
    <t>AzSchutz 26 Wochen</t>
  </si>
  <si>
    <t>23:24-08:00</t>
  </si>
  <si>
    <t>Min. Wochenenden Frei</t>
  </si>
  <si>
    <t>Tage zw. 2 Ber.-Diensten</t>
  </si>
  <si>
    <t>&lt;=7</t>
  </si>
  <si>
    <t>&gt;=1</t>
  </si>
  <si>
    <t>&lt;=AnzahlGanzeWEs (4 oder 5)</t>
  </si>
  <si>
    <t>Skala</t>
  </si>
  <si>
    <t>sehr klein</t>
  </si>
  <si>
    <t>klein</t>
  </si>
  <si>
    <t>mittel</t>
  </si>
  <si>
    <t>hoch</t>
  </si>
  <si>
    <t>sehr hoch</t>
  </si>
  <si>
    <t>wenig wichtig</t>
  </si>
  <si>
    <t>sehr wichtig</t>
  </si>
  <si>
    <t>wichtig</t>
  </si>
  <si>
    <t>unwichtig</t>
  </si>
  <si>
    <t>relevant</t>
  </si>
  <si>
    <t>Gewicht</t>
  </si>
  <si>
    <t>Bedeutung</t>
  </si>
  <si>
    <t>*</t>
  </si>
  <si>
    <t>Anzahl Tage Folgemonat</t>
  </si>
  <si>
    <t>Atage/Woche</t>
  </si>
  <si>
    <t>Anzahl Tage Vormonat</t>
  </si>
  <si>
    <t>Arbeitet WE in Woche 0?</t>
  </si>
  <si>
    <t>BH2:CC2</t>
  </si>
  <si>
    <t>BH3:CC3</t>
  </si>
  <si>
    <t>BH4:CC4</t>
  </si>
  <si>
    <t>BH5:CC5</t>
  </si>
  <si>
    <t>BH6:CC6</t>
  </si>
  <si>
    <t>BH7:CC7</t>
  </si>
  <si>
    <t>BH8:CC8</t>
  </si>
  <si>
    <t>BH9:CC9</t>
  </si>
  <si>
    <t>BH10:CC10</t>
  </si>
  <si>
    <t>BH11:CC11</t>
  </si>
  <si>
    <t>BH12:CC12</t>
  </si>
  <si>
    <t>BH13:CC13</t>
  </si>
  <si>
    <t>BH14:CC14</t>
  </si>
  <si>
    <t>BH15:CC15</t>
  </si>
  <si>
    <t>BH16:CC16</t>
  </si>
  <si>
    <t>BH17:CC17</t>
  </si>
  <si>
    <t>BH18:CC18</t>
  </si>
  <si>
    <t>BH19:CC19</t>
  </si>
  <si>
    <t>BH20:CC20</t>
  </si>
  <si>
    <t>BH21:CC21</t>
  </si>
  <si>
    <t>BH22:CC22</t>
  </si>
  <si>
    <t>BH23:CC23</t>
  </si>
  <si>
    <t>BH24:CC24</t>
  </si>
  <si>
    <t>BH25:CC25</t>
  </si>
  <si>
    <t>BH26:CC26</t>
  </si>
  <si>
    <t>BH27:CC27</t>
  </si>
  <si>
    <t>BH28:CC28</t>
  </si>
  <si>
    <t>BH29:CC29</t>
  </si>
  <si>
    <t>BH30:CC30</t>
  </si>
  <si>
    <t>BH31:CC31</t>
  </si>
  <si>
    <t>BH32:CC32</t>
  </si>
  <si>
    <t>BH33:CC33</t>
  </si>
  <si>
    <t>BH34:CC34</t>
  </si>
  <si>
    <t>BH35:CC35</t>
  </si>
  <si>
    <t>BH36:CC36</t>
  </si>
  <si>
    <t>BH37:CC37</t>
  </si>
  <si>
    <t>BH38:CC38</t>
  </si>
  <si>
    <t>BH39:CC39</t>
  </si>
  <si>
    <t>BH40:CC40</t>
  </si>
  <si>
    <t>BH41:CC41</t>
  </si>
  <si>
    <t>BH42:CC42</t>
  </si>
  <si>
    <t>WE's Frei</t>
  </si>
  <si>
    <t>violationsWunsch</t>
  </si>
  <si>
    <t>violationsPersoStruktur</t>
  </si>
  <si>
    <t>violationsWEFolge</t>
  </si>
  <si>
    <t>violationsIOrgFolge</t>
  </si>
  <si>
    <t>FA mindestens Nachts</t>
  </si>
  <si>
    <t>Zeitkonto Grenze</t>
  </si>
  <si>
    <t>26 Wochenschnitt AZ Grenze</t>
  </si>
  <si>
    <t>26 Wochenschnitt AZ OptOut</t>
  </si>
  <si>
    <t>grün(&lt;1), rot (&gt;1,5)</t>
  </si>
  <si>
    <t>VZ: 48</t>
  </si>
  <si>
    <t>VZ: 64</t>
  </si>
  <si>
    <t>&lt;=2</t>
  </si>
  <si>
    <t>Bezahlkonto Grenze in h</t>
  </si>
  <si>
    <t>Erweiterung (ca. &gt;20)</t>
  </si>
  <si>
    <t>Woche 0 an Feiertag gearbeitet?</t>
  </si>
  <si>
    <t>Ass. Ärzte [AA]</t>
  </si>
  <si>
    <t>Fachärzte [FA]</t>
  </si>
  <si>
    <t>Oberärzte [OA]</t>
  </si>
  <si>
    <t>Chefärzte [CA]</t>
  </si>
  <si>
    <t>violationsUnbesetztPuffer</t>
  </si>
  <si>
    <t>10:00-18:30</t>
  </si>
  <si>
    <t>Wünsche nicht gewährt</t>
  </si>
  <si>
    <t>Freien Tag nicht gewährt</t>
  </si>
  <si>
    <t>Nicht besetzte Dienste</t>
  </si>
  <si>
    <t>Wochenende in Folge Arbeit</t>
  </si>
  <si>
    <t>= Letztes Aug WE</t>
  </si>
  <si>
    <t>=Erstes Sep WE</t>
  </si>
  <si>
    <t>Schicht</t>
  </si>
  <si>
    <t>ZF-Wert</t>
  </si>
  <si>
    <t>A_1JA</t>
  </si>
  <si>
    <t>Z1_TT</t>
  </si>
  <si>
    <t>ZB1_LW</t>
  </si>
  <si>
    <t>T1_JS</t>
  </si>
  <si>
    <t>Vormonat</t>
  </si>
  <si>
    <t>Vorschläge zur Änderung</t>
  </si>
  <si>
    <t>Rechenzeit</t>
  </si>
  <si>
    <t>MA_SJ</t>
  </si>
  <si>
    <t>T0_PS</t>
  </si>
  <si>
    <t>07:00-15:00</t>
  </si>
  <si>
    <t>Regelzeit</t>
  </si>
  <si>
    <t>15:00-19:00</t>
  </si>
  <si>
    <t>11: 00-19:30</t>
  </si>
  <si>
    <t>19:30-07:15</t>
  </si>
  <si>
    <t>BN1</t>
  </si>
  <si>
    <t>19:00-07:00</t>
  </si>
  <si>
    <t>07:00-19:00</t>
  </si>
  <si>
    <t>Fr-So</t>
  </si>
  <si>
    <t>A21</t>
  </si>
  <si>
    <t>AZ3</t>
  </si>
  <si>
    <t>NEF FD</t>
  </si>
  <si>
    <t>NEF ND</t>
  </si>
  <si>
    <t>kein HD</t>
  </si>
  <si>
    <t>kein ZD</t>
  </si>
  <si>
    <t>Urlaub/A/FW</t>
  </si>
  <si>
    <t>1. Lauf:</t>
  </si>
  <si>
    <t>1h 13 min</t>
  </si>
  <si>
    <t>4. Lauf</t>
  </si>
  <si>
    <t>4,5 min</t>
  </si>
  <si>
    <t>Telefonat mit Gerd</t>
  </si>
  <si>
    <t>Z3</t>
  </si>
  <si>
    <t>Y21</t>
  </si>
  <si>
    <t>ND (ZD+NEF-BD)</t>
  </si>
  <si>
    <t>FD (NEF+NEF-BD)</t>
  </si>
  <si>
    <t>ND (NEF-BD)</t>
  </si>
  <si>
    <t>FD (NEF-BD)</t>
  </si>
  <si>
    <t>BD34</t>
  </si>
  <si>
    <t>BD5</t>
  </si>
  <si>
    <t>BD2</t>
  </si>
  <si>
    <t>fixierte Dienste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</si>
</sst>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5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8" xfId="0" applyFill="1" applyBorder="1" applyAlignment="1">
      <alignment horizontal="center"/>
    </xf>
    <xf numFmtId="0" fontId="0" fillId="0" borderId="1" xfId="0" applyFill="1" applyBorder="1"/>
    <xf numFmtId="0" fontId="0" fillId="0" borderId="9" xfId="0" applyFill="1" applyBorder="1"/>
    <xf numFmtId="0" fontId="0" fillId="0" borderId="0" xfId="0" applyFill="1" applyBorder="1"/>
    <xf numFmtId="0" fontId="0" fillId="3" borderId="0" xfId="0" applyFill="1"/>
    <xf numFmtId="0" fontId="0" fillId="0" borderId="15" xfId="0" applyBorder="1"/>
    <xf numFmtId="0" fontId="0" fillId="2" borderId="0" xfId="0" applyFill="1"/>
    <xf numFmtId="0" fontId="0" fillId="0" borderId="20" xfId="0" applyBorder="1"/>
    <xf numFmtId="0" fontId="0" fillId="0" borderId="9" xfId="0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2" borderId="17" xfId="0" applyFill="1" applyBorder="1"/>
    <xf numFmtId="0" fontId="0" fillId="2" borderId="15" xfId="0" applyFill="1" applyBorder="1"/>
    <xf numFmtId="0" fontId="0" fillId="2" borderId="9" xfId="0" applyFill="1" applyBorder="1"/>
    <xf numFmtId="0" fontId="0" fillId="2" borderId="20" xfId="0" applyFill="1" applyBorder="1"/>
    <xf numFmtId="0" fontId="0" fillId="2" borderId="0" xfId="0" applyFill="1" applyBorder="1"/>
    <xf numFmtId="0" fontId="0" fillId="0" borderId="16" xfId="0" applyBorder="1"/>
    <xf numFmtId="0" fontId="0" fillId="2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/>
    <xf numFmtId="0" fontId="0" fillId="4" borderId="0" xfId="0" applyFill="1"/>
    <xf numFmtId="0" fontId="0" fillId="2" borderId="0" xfId="0" applyFill="1" applyBorder="1" applyAlignment="1"/>
    <xf numFmtId="0" fontId="0" fillId="5" borderId="0" xfId="0" applyFill="1"/>
    <xf numFmtId="0" fontId="0" fillId="5" borderId="1" xfId="0" applyFill="1" applyBorder="1"/>
    <xf numFmtId="0" fontId="0" fillId="5" borderId="9" xfId="0" applyFill="1" applyBorder="1"/>
    <xf numFmtId="0" fontId="0" fillId="2" borderId="19" xfId="0" applyFill="1" applyBorder="1"/>
    <xf numFmtId="0" fontId="0" fillId="2" borderId="13" xfId="0" quotePrefix="1" applyFill="1" applyBorder="1"/>
    <xf numFmtId="49" fontId="0" fillId="2" borderId="0" xfId="0" applyNumberFormat="1" applyFill="1"/>
    <xf numFmtId="0" fontId="0" fillId="0" borderId="0" xfId="0" applyFill="1"/>
    <xf numFmtId="49" fontId="0" fillId="0" borderId="0" xfId="0" applyNumberFormat="1" applyFill="1"/>
    <xf numFmtId="0" fontId="0" fillId="4" borderId="1" xfId="0" applyFill="1" applyBorder="1"/>
    <xf numFmtId="0" fontId="0" fillId="4" borderId="0" xfId="0" applyFill="1" applyBorder="1"/>
    <xf numFmtId="0" fontId="0" fillId="4" borderId="13" xfId="0" applyFill="1" applyBorder="1"/>
    <xf numFmtId="0" fontId="0" fillId="5" borderId="16" xfId="0" applyFill="1" applyBorder="1"/>
    <xf numFmtId="0" fontId="0" fillId="5" borderId="17" xfId="0" applyFill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23" xfId="0" applyBorder="1"/>
    <xf numFmtId="0" fontId="0" fillId="0" borderId="13" xfId="0" applyFill="1" applyBorder="1"/>
    <xf numFmtId="0" fontId="0" fillId="5" borderId="18" xfId="0" applyFill="1" applyBorder="1"/>
    <xf numFmtId="0" fontId="0" fillId="0" borderId="23" xfId="0" applyFill="1" applyBorder="1"/>
    <xf numFmtId="0" fontId="0" fillId="5" borderId="0" xfId="0" applyFill="1" applyBorder="1"/>
    <xf numFmtId="0" fontId="0" fillId="6" borderId="0" xfId="0" applyFill="1"/>
    <xf numFmtId="0" fontId="0" fillId="6" borderId="0" xfId="0" applyFill="1" applyBorder="1"/>
    <xf numFmtId="0" fontId="0" fillId="6" borderId="13" xfId="0" applyFill="1" applyBorder="1"/>
    <xf numFmtId="0" fontId="0" fillId="2" borderId="25" xfId="0" applyFill="1" applyBorder="1"/>
    <xf numFmtId="0" fontId="0" fillId="3" borderId="0" xfId="0" applyFill="1" applyBorder="1"/>
    <xf numFmtId="0" fontId="0" fillId="2" borderId="26" xfId="0" applyFill="1" applyBorder="1"/>
    <xf numFmtId="0" fontId="0" fillId="0" borderId="27" xfId="0" applyFill="1" applyBorder="1"/>
    <xf numFmtId="2" fontId="0" fillId="0" borderId="0" xfId="0" applyNumberFormat="1"/>
    <xf numFmtId="0" fontId="0" fillId="3" borderId="13" xfId="0" applyFill="1" applyBorder="1"/>
    <xf numFmtId="14" fontId="0" fillId="0" borderId="0" xfId="0" applyNumberFormat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2" borderId="31" xfId="0" applyFill="1" applyBorder="1"/>
    <xf numFmtId="0" fontId="0" fillId="3" borderId="33" xfId="0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0" fillId="3" borderId="32" xfId="0" applyFill="1" applyBorder="1"/>
    <xf numFmtId="0" fontId="0" fillId="3" borderId="19" xfId="0" applyFill="1" applyBorder="1"/>
    <xf numFmtId="0" fontId="0" fillId="3" borderId="1" xfId="0" applyFill="1" applyBorder="1"/>
    <xf numFmtId="0" fontId="0" fillId="3" borderId="14" xfId="0" applyFill="1" applyBorder="1"/>
    <xf numFmtId="0" fontId="0" fillId="3" borderId="14" xfId="0" quotePrefix="1" applyFill="1" applyBorder="1"/>
    <xf numFmtId="0" fontId="0" fillId="3" borderId="18" xfId="0" applyFill="1" applyBorder="1"/>
    <xf numFmtId="0" fontId="0" fillId="0" borderId="36" xfId="0" applyFill="1" applyBorder="1"/>
    <xf numFmtId="2" fontId="0" fillId="0" borderId="18" xfId="0" applyNumberFormat="1" applyBorder="1"/>
    <xf numFmtId="0" fontId="0" fillId="2" borderId="6" xfId="0" applyFill="1" applyBorder="1"/>
    <xf numFmtId="0" fontId="0" fillId="2" borderId="7" xfId="0" applyFill="1" applyBorder="1"/>
    <xf numFmtId="0" fontId="0" fillId="2" borderId="12" xfId="0" applyFill="1" applyBorder="1"/>
    <xf numFmtId="0" fontId="0" fillId="2" borderId="9" xfId="0" quotePrefix="1" applyNumberFormat="1" applyFill="1" applyBorder="1" applyAlignment="1">
      <alignment horizontal="right"/>
    </xf>
    <xf numFmtId="0" fontId="0" fillId="2" borderId="10" xfId="0" applyFill="1" applyBorder="1"/>
    <xf numFmtId="0" fontId="0" fillId="2" borderId="11" xfId="0" applyFill="1" applyBorder="1" applyAlignment="1">
      <alignment horizontal="right"/>
    </xf>
    <xf numFmtId="0" fontId="0" fillId="2" borderId="11" xfId="0" applyFill="1" applyBorder="1"/>
    <xf numFmtId="0" fontId="0" fillId="2" borderId="24" xfId="0" applyFill="1" applyBorder="1"/>
    <xf numFmtId="16" fontId="0" fillId="2" borderId="9" xfId="0" quotePrefix="1" applyNumberFormat="1" applyFill="1" applyBorder="1" applyAlignment="1">
      <alignment horizontal="right"/>
    </xf>
    <xf numFmtId="20" fontId="0" fillId="2" borderId="1" xfId="0" applyNumberFormat="1" applyFill="1" applyBorder="1"/>
    <xf numFmtId="0" fontId="0" fillId="2" borderId="37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39" xfId="0" applyFill="1" applyBorder="1"/>
    <xf numFmtId="0" fontId="0" fillId="2" borderId="40" xfId="0" applyFill="1" applyBorder="1"/>
    <xf numFmtId="0" fontId="0" fillId="2" borderId="38" xfId="0" applyFill="1" applyBorder="1"/>
    <xf numFmtId="0" fontId="0" fillId="3" borderId="31" xfId="0" applyFill="1" applyBorder="1"/>
    <xf numFmtId="0" fontId="0" fillId="3" borderId="0" xfId="0" applyFill="1" applyAlignment="1">
      <alignment horizontal="right"/>
    </xf>
    <xf numFmtId="14" fontId="0" fillId="3" borderId="0" xfId="0" applyNumberFormat="1" applyFill="1"/>
    <xf numFmtId="0" fontId="0" fillId="0" borderId="0" xfId="0" quotePrefix="1"/>
    <xf numFmtId="0" fontId="0" fillId="0" borderId="0" xfId="0" applyAlignment="1"/>
    <xf numFmtId="0" fontId="0" fillId="0" borderId="0" xfId="0" applyBorder="1" applyAlignment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26" xfId="0" applyBorder="1"/>
    <xf numFmtId="0" fontId="0" fillId="0" borderId="44" xfId="0" applyBorder="1"/>
    <xf numFmtId="0" fontId="0" fillId="0" borderId="34" xfId="0" quotePrefix="1" applyBorder="1"/>
    <xf numFmtId="0" fontId="0" fillId="0" borderId="34" xfId="0" applyBorder="1" applyAlignment="1"/>
    <xf numFmtId="0" fontId="0" fillId="0" borderId="29" xfId="0" applyBorder="1"/>
    <xf numFmtId="0" fontId="0" fillId="0" borderId="31" xfId="0" applyBorder="1"/>
    <xf numFmtId="0" fontId="0" fillId="0" borderId="33" xfId="0" applyBorder="1"/>
    <xf numFmtId="2" fontId="0" fillId="0" borderId="34" xfId="0" applyNumberForma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14" fontId="0" fillId="0" borderId="0" xfId="0" applyNumberFormat="1" applyBorder="1"/>
    <xf numFmtId="14" fontId="0" fillId="0" borderId="0" xfId="0" applyNumberFormat="1" applyBorder="1" applyAlignment="1">
      <alignment horizontal="center"/>
    </xf>
    <xf numFmtId="164" fontId="0" fillId="2" borderId="0" xfId="0" applyNumberFormat="1" applyFill="1"/>
    <xf numFmtId="164" fontId="0" fillId="2" borderId="27" xfId="0" applyNumberFormat="1" applyFill="1" applyBorder="1"/>
    <xf numFmtId="0" fontId="0" fillId="7" borderId="0" xfId="0" applyFill="1"/>
    <xf numFmtId="0" fontId="0" fillId="7" borderId="1" xfId="0" applyFill="1" applyBorder="1"/>
    <xf numFmtId="0" fontId="0" fillId="7" borderId="9" xfId="0" applyFill="1" applyBorder="1"/>
    <xf numFmtId="0" fontId="0" fillId="7" borderId="10" xfId="0" applyFill="1" applyBorder="1"/>
    <xf numFmtId="0" fontId="0" fillId="2" borderId="23" xfId="0" applyFill="1" applyBorder="1"/>
    <xf numFmtId="0" fontId="0" fillId="4" borderId="49" xfId="0" applyFill="1" applyBorder="1"/>
    <xf numFmtId="0" fontId="0" fillId="4" borderId="48" xfId="0" applyFill="1" applyBorder="1"/>
    <xf numFmtId="0" fontId="0" fillId="2" borderId="49" xfId="0" applyFill="1" applyBorder="1"/>
    <xf numFmtId="0" fontId="0" fillId="2" borderId="48" xfId="0" applyFill="1" applyBorder="1"/>
    <xf numFmtId="0" fontId="0" fillId="2" borderId="28" xfId="0" applyFill="1" applyBorder="1"/>
    <xf numFmtId="0" fontId="0" fillId="2" borderId="29" xfId="0" applyFill="1" applyBorder="1"/>
    <xf numFmtId="0" fontId="0" fillId="2" borderId="30" xfId="0" applyFill="1" applyBorder="1"/>
    <xf numFmtId="0" fontId="0" fillId="4" borderId="34" xfId="0" applyFill="1" applyBorder="1"/>
    <xf numFmtId="164" fontId="0" fillId="2" borderId="13" xfId="0" applyNumberFormat="1" applyFill="1" applyBorder="1"/>
    <xf numFmtId="49" fontId="0" fillId="4" borderId="0" xfId="0" applyNumberFormat="1" applyFill="1"/>
    <xf numFmtId="14" fontId="0" fillId="0" borderId="0" xfId="0" applyNumberFormat="1" applyFill="1"/>
    <xf numFmtId="0" fontId="0" fillId="3" borderId="50" xfId="0" applyFill="1" applyBorder="1"/>
    <xf numFmtId="0" fontId="0" fillId="3" borderId="51" xfId="0" applyFill="1" applyBorder="1"/>
    <xf numFmtId="0" fontId="0" fillId="3" borderId="52" xfId="0" applyFill="1" applyBorder="1"/>
    <xf numFmtId="0" fontId="3" fillId="0" borderId="43" xfId="0" applyFont="1" applyBorder="1" applyAlignment="1">
      <alignment vertical="center"/>
    </xf>
    <xf numFmtId="0" fontId="4" fillId="0" borderId="35" xfId="0" applyFont="1" applyBorder="1" applyAlignment="1">
      <alignment vertical="center" wrapText="1"/>
    </xf>
    <xf numFmtId="0" fontId="3" fillId="0" borderId="35" xfId="0" applyFont="1" applyBorder="1" applyAlignment="1">
      <alignment vertical="center" wrapText="1"/>
    </xf>
    <xf numFmtId="0" fontId="0" fillId="2" borderId="54" xfId="0" applyFill="1" applyBorder="1"/>
    <xf numFmtId="0" fontId="0" fillId="5" borderId="32" xfId="0" applyFill="1" applyBorder="1"/>
    <xf numFmtId="0" fontId="0" fillId="2" borderId="55" xfId="0" applyFill="1" applyBorder="1"/>
    <xf numFmtId="0" fontId="0" fillId="8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left"/>
    </xf>
    <xf numFmtId="0" fontId="0" fillId="0" borderId="15" xfId="0" quotePrefix="1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Fill="1" applyBorder="1"/>
    <xf numFmtId="0" fontId="0" fillId="0" borderId="14" xfId="0" applyFill="1" applyBorder="1"/>
    <xf numFmtId="0" fontId="0" fillId="0" borderId="20" xfId="0" applyFill="1" applyBorder="1"/>
    <xf numFmtId="0" fontId="0" fillId="4" borderId="15" xfId="0" applyFill="1" applyBorder="1"/>
    <xf numFmtId="0" fontId="0" fillId="0" borderId="26" xfId="0" applyFill="1" applyBorder="1"/>
    <xf numFmtId="0" fontId="0" fillId="4" borderId="53" xfId="0" applyFill="1" applyBorder="1"/>
    <xf numFmtId="0" fontId="0" fillId="4" borderId="54" xfId="0" applyFill="1" applyBorder="1"/>
    <xf numFmtId="0" fontId="0" fillId="4" borderId="55" xfId="0" applyFill="1" applyBorder="1"/>
    <xf numFmtId="0" fontId="0" fillId="5" borderId="14" xfId="0" applyFill="1" applyBorder="1"/>
    <xf numFmtId="0" fontId="0" fillId="5" borderId="13" xfId="0" applyFill="1" applyBorder="1"/>
    <xf numFmtId="0" fontId="0" fillId="10" borderId="15" xfId="0" applyFill="1" applyBorder="1"/>
    <xf numFmtId="164" fontId="0" fillId="2" borderId="0" xfId="0" applyNumberFormat="1" applyFill="1" applyBorder="1"/>
    <xf numFmtId="0" fontId="0" fillId="9" borderId="1" xfId="0" applyFill="1" applyBorder="1"/>
    <xf numFmtId="0" fontId="3" fillId="0" borderId="0" xfId="0" applyFont="1" applyBorder="1" applyAlignment="1">
      <alignment vertical="center"/>
    </xf>
    <xf numFmtId="2" fontId="0" fillId="0" borderId="0" xfId="0" applyNumberFormat="1" applyBorder="1"/>
    <xf numFmtId="0" fontId="0" fillId="0" borderId="28" xfId="0" applyBorder="1"/>
    <xf numFmtId="0" fontId="0" fillId="0" borderId="30" xfId="0" applyBorder="1"/>
    <xf numFmtId="0" fontId="0" fillId="0" borderId="35" xfId="0" quotePrefix="1" applyBorder="1"/>
    <xf numFmtId="0" fontId="0" fillId="0" borderId="31" xfId="0" applyFill="1" applyBorder="1"/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8" borderId="0" xfId="0" applyFill="1" applyBorder="1"/>
    <xf numFmtId="0" fontId="0" fillId="11" borderId="0" xfId="0" applyFill="1"/>
    <xf numFmtId="0" fontId="0" fillId="11" borderId="0" xfId="0" applyFill="1" applyBorder="1"/>
    <xf numFmtId="0" fontId="5" fillId="0" borderId="15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26" xfId="0" applyFont="1" applyBorder="1" applyAlignment="1">
      <alignment horizontal="center"/>
    </xf>
  </cellXfs>
  <cellStyles count="1">
    <cellStyle name="Standard" xfId="0" builtinId="0"/>
  </cellStyles>
  <dxfs count="41">
    <dxf>
      <font>
        <color theme="0"/>
      </font>
      <fill>
        <patternFill>
          <bgColor rgb="FFFF0066"/>
        </patternFill>
      </fill>
    </dxf>
    <dxf>
      <font>
        <color auto="1"/>
      </font>
      <fill>
        <patternFill>
          <bgColor rgb="FFFFB7B7"/>
        </patternFill>
      </fill>
    </dxf>
    <dxf>
      <font>
        <color theme="0"/>
      </font>
      <fill>
        <patternFill>
          <bgColor rgb="FF00B0F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4F8A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6" tint="-0.24994659260841701"/>
        </patternFill>
      </fill>
    </dxf>
    <dxf>
      <fill>
        <patternFill>
          <bgColor theme="8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0066"/>
        </patternFill>
      </fill>
    </dxf>
    <dxf>
      <font>
        <color auto="1"/>
      </font>
      <fill>
        <patternFill>
          <bgColor rgb="FFFFB7B7"/>
        </patternFill>
      </fill>
    </dxf>
    <dxf>
      <font>
        <color theme="0"/>
      </font>
      <fill>
        <patternFill>
          <bgColor rgb="FF00B0F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4F8A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6" tint="-0.24994659260841701"/>
        </patternFill>
      </fill>
    </dxf>
    <dxf>
      <fill>
        <patternFill>
          <bgColor theme="8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15</xdr:row>
      <xdr:rowOff>11890</xdr:rowOff>
    </xdr:from>
    <xdr:to>
      <xdr:col>9</xdr:col>
      <xdr:colOff>0</xdr:colOff>
      <xdr:row>19</xdr:row>
      <xdr:rowOff>11890</xdr:rowOff>
    </xdr:to>
    <xdr:sp macro="[0]!TageBefüllen" textlink="">
      <xdr:nvSpPr>
        <xdr:cNvPr id="2" name="TextBox 1"/>
        <xdr:cNvSpPr txBox="1"/>
      </xdr:nvSpPr>
      <xdr:spPr>
        <a:xfrm>
          <a:off x="2286000" y="2893203"/>
          <a:ext cx="5691188" cy="7620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800">
              <a:solidFill>
                <a:schemeClr val="dk1"/>
              </a:solidFill>
              <a:latin typeface="+mn-lt"/>
              <a:ea typeface="+mn-ea"/>
              <a:cs typeface="+mn-cs"/>
            </a:rPr>
            <a:t>Tage Befüllen</a:t>
          </a:r>
        </a:p>
      </xdr:txBody>
    </xdr:sp>
    <xdr:clientData/>
  </xdr:twoCellAnchor>
  <xdr:twoCellAnchor>
    <xdr:from>
      <xdr:col>3</xdr:col>
      <xdr:colOff>0</xdr:colOff>
      <xdr:row>10</xdr:row>
      <xdr:rowOff>11891</xdr:rowOff>
    </xdr:from>
    <xdr:to>
      <xdr:col>9</xdr:col>
      <xdr:colOff>1</xdr:colOff>
      <xdr:row>14</xdr:row>
      <xdr:rowOff>11891</xdr:rowOff>
    </xdr:to>
    <xdr:sp macro="[0]!TageLöschen" textlink="">
      <xdr:nvSpPr>
        <xdr:cNvPr id="3" name="Textfeld 2"/>
        <xdr:cNvSpPr txBox="1"/>
      </xdr:nvSpPr>
      <xdr:spPr>
        <a:xfrm>
          <a:off x="2286000" y="1940704"/>
          <a:ext cx="5691189" cy="7620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800"/>
            <a:t>Löschen</a:t>
          </a:r>
          <a:endParaRPr lang="de-DE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0</xdr:colOff>
      <xdr:row>1</xdr:row>
      <xdr:rowOff>0</xdr:rowOff>
    </xdr:from>
    <xdr:to>
      <xdr:col>69</xdr:col>
      <xdr:colOff>0</xdr:colOff>
      <xdr:row>4</xdr:row>
      <xdr:rowOff>0</xdr:rowOff>
    </xdr:to>
    <xdr:sp macro="[0]!PlanErstellung" textlink="">
      <xdr:nvSpPr>
        <xdr:cNvPr id="4" name="Textfeld 3"/>
        <xdr:cNvSpPr txBox="1"/>
      </xdr:nvSpPr>
      <xdr:spPr>
        <a:xfrm>
          <a:off x="10300607" y="190500"/>
          <a:ext cx="3048000" cy="571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Plan erstellen</a:t>
          </a:r>
        </a:p>
      </xdr:txBody>
    </xdr:sp>
    <xdr:clientData/>
  </xdr:twoCellAnchor>
  <xdr:twoCellAnchor>
    <xdr:from>
      <xdr:col>65</xdr:col>
      <xdr:colOff>0</xdr:colOff>
      <xdr:row>5</xdr:row>
      <xdr:rowOff>1</xdr:rowOff>
    </xdr:from>
    <xdr:to>
      <xdr:col>69</xdr:col>
      <xdr:colOff>0</xdr:colOff>
      <xdr:row>8</xdr:row>
      <xdr:rowOff>1</xdr:rowOff>
    </xdr:to>
    <xdr:sp macro="[0]!PlanLöschen" textlink="">
      <xdr:nvSpPr>
        <xdr:cNvPr id="5" name="Textfeld 4"/>
        <xdr:cNvSpPr txBox="1"/>
      </xdr:nvSpPr>
      <xdr:spPr>
        <a:xfrm>
          <a:off x="10300607" y="952501"/>
          <a:ext cx="3048000" cy="571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Plan löschen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12</xdr:row>
      <xdr:rowOff>0</xdr:rowOff>
    </xdr:from>
    <xdr:to>
      <xdr:col>13</xdr:col>
      <xdr:colOff>250031</xdr:colOff>
      <xdr:row>17</xdr:row>
      <xdr:rowOff>0</xdr:rowOff>
    </xdr:to>
    <xdr:sp macro="[0]!PreprocessingNeuplanung" textlink="">
      <xdr:nvSpPr>
        <xdr:cNvPr id="3" name="Textfeld 2"/>
        <xdr:cNvSpPr txBox="1"/>
      </xdr:nvSpPr>
      <xdr:spPr>
        <a:xfrm>
          <a:off x="8382000" y="2286000"/>
          <a:ext cx="1774031" cy="952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Neuplanung vorbereiten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F0"/>
    <pageSetUpPr fitToPage="1"/>
  </sheetPr>
  <dimension ref="A1:AD400"/>
  <sheetViews>
    <sheetView zoomScale="85" zoomScaleNormal="85" workbookViewId="0">
      <selection activeCell="L35" sqref="L35"/>
    </sheetView>
  </sheetViews>
  <sheetFormatPr baseColWidth="10" defaultColWidth="11.42578125" defaultRowHeight="15" x14ac:dyDescent="0.25"/>
  <cols>
    <col min="1" max="3" width="11.42578125" customWidth="1"/>
    <col min="4" max="5" width="11.42578125" hidden="1" customWidth="1"/>
    <col min="6" max="6" width="26.5703125" bestFit="1" customWidth="1"/>
    <col min="8" max="8" width="23.5703125" customWidth="1"/>
    <col min="9" max="9" width="3.140625" bestFit="1" customWidth="1"/>
    <col min="10" max="10" width="10.85546875" bestFit="1" customWidth="1"/>
    <col min="13" max="14" width="11.42578125" style="27"/>
    <col min="15" max="15" width="8.42578125" bestFit="1" customWidth="1"/>
    <col min="16" max="16" width="7.85546875" style="27" bestFit="1" customWidth="1"/>
    <col min="17" max="17" width="11.42578125" style="27" hidden="1" customWidth="1"/>
    <col min="18" max="18" width="4.28515625" bestFit="1" customWidth="1"/>
    <col min="19" max="19" width="35" bestFit="1" customWidth="1"/>
    <col min="21" max="21" width="11.42578125" hidden="1" customWidth="1"/>
    <col min="22" max="22" width="33.7109375" customWidth="1"/>
    <col min="23" max="26" width="11.42578125" customWidth="1"/>
  </cols>
  <sheetData>
    <row r="1" spans="1:30" x14ac:dyDescent="0.25">
      <c r="A1" s="36"/>
      <c r="B1" s="36"/>
      <c r="C1" s="36"/>
      <c r="D1" s="36"/>
      <c r="F1" s="61" t="s">
        <v>178</v>
      </c>
      <c r="G1" s="135" t="str">
        <f>IF(E8=1,"Montag",IF(E8=2,"Dienstag",IF(E8=3,"Mittwoch",IF(E8=4,"Donnerstag",IF(E8=5,"Freitag",IF(E8=6,"Samstag",IF(E8=7,"Sonntag","FEHLER")))))))</f>
        <v>Sonntag</v>
      </c>
      <c r="H1" s="62" t="s">
        <v>86</v>
      </c>
      <c r="I1" s="63">
        <f>E7</f>
        <v>30</v>
      </c>
      <c r="J1" s="93" t="s">
        <v>176</v>
      </c>
      <c r="K1" s="8" t="s">
        <v>70</v>
      </c>
      <c r="L1" s="8" t="s">
        <v>71</v>
      </c>
      <c r="M1" s="8" t="s">
        <v>150</v>
      </c>
      <c r="N1" s="8" t="s">
        <v>90</v>
      </c>
      <c r="O1" s="8" t="s">
        <v>2</v>
      </c>
      <c r="P1" s="8" t="s">
        <v>81</v>
      </c>
      <c r="Q1" s="8"/>
      <c r="R1" s="8" t="s">
        <v>174</v>
      </c>
      <c r="S1" s="61" t="s">
        <v>87</v>
      </c>
      <c r="T1" s="63">
        <f>MAX(Q5:Q400)</f>
        <v>7</v>
      </c>
      <c r="V1" s="36"/>
      <c r="W1" s="36"/>
      <c r="X1" s="36"/>
      <c r="Y1" s="36"/>
      <c r="Z1" s="36"/>
    </row>
    <row r="2" spans="1:30" ht="15.75" thickBot="1" x14ac:dyDescent="0.3">
      <c r="F2" s="64" t="s">
        <v>90</v>
      </c>
      <c r="G2" s="38">
        <v>11</v>
      </c>
      <c r="H2" s="55"/>
      <c r="I2" s="68"/>
      <c r="J2" s="94">
        <f>DATE($G$3,$G$2,K2)</f>
        <v>42302</v>
      </c>
      <c r="K2" s="10">
        <v>-6</v>
      </c>
      <c r="L2" s="35" t="s">
        <v>75</v>
      </c>
      <c r="M2" s="28"/>
      <c r="N2" s="10" t="str">
        <f t="shared" ref="N2:N46" si="0">IF(K2&lt;=0,"VM",IF(K2&gt;AnzahlTage,"FM","AM"))</f>
        <v>VM</v>
      </c>
      <c r="O2" s="10" t="str">
        <f>IF(AND(OR(M2="",M2=0),OR(L2="Montag",L2="Dienstag",L2="Mittwoch",L2="Donnerstag",L2="Freitag")),"WT","RT")</f>
        <v>RT</v>
      </c>
      <c r="P2" s="10">
        <f>IF(Q2="",IF(Q1="",IF(#REF!="",IF(#REF!="",IF(#REF!="",IF(#REF!="",#REF!,#REF!),#REF!),#REF!),#REF!),Q1),Q2)</f>
        <v>0</v>
      </c>
      <c r="Q2" s="8">
        <v>0</v>
      </c>
      <c r="R2" s="8">
        <f>WEEKNUM(J2,21)</f>
        <v>43</v>
      </c>
      <c r="S2" s="92" t="s">
        <v>108</v>
      </c>
      <c r="T2" s="68">
        <f>COUNTIFS(N9:N400,"AM",O9:O400,"WT")</f>
        <v>21</v>
      </c>
      <c r="U2" s="27">
        <f t="shared" ref="U2:U38" si="1">IF(AND(Q2=P8,K8&lt;=AnzahlTage),Q2,0)</f>
        <v>0</v>
      </c>
      <c r="V2" s="36"/>
      <c r="W2" s="27"/>
      <c r="X2" s="27"/>
      <c r="Y2" s="27"/>
      <c r="Z2" s="27"/>
    </row>
    <row r="3" spans="1:30" x14ac:dyDescent="0.25">
      <c r="F3" s="64" t="s">
        <v>91</v>
      </c>
      <c r="G3" s="38">
        <v>2015</v>
      </c>
      <c r="H3" s="55" t="s">
        <v>259</v>
      </c>
      <c r="I3" s="68">
        <f>7-E9+2</f>
        <v>8</v>
      </c>
      <c r="J3" s="94">
        <f t="shared" ref="J3:J46" si="2">DATE($G$3,$G$2,K3)</f>
        <v>42303</v>
      </c>
      <c r="K3" s="10">
        <v>-5</v>
      </c>
      <c r="L3" s="35" t="s">
        <v>76</v>
      </c>
      <c r="M3" s="28"/>
      <c r="N3" s="10" t="str">
        <f t="shared" si="0"/>
        <v>VM</v>
      </c>
      <c r="O3" s="10" t="str">
        <f t="shared" ref="O3:O46" si="3">IF(AND(OR(M3="",M3=0),OR(L3="Montag",L3="Dienstag",L3="Mittwoch",L3="Donnerstag",L3="Freitag")),"WT","RT")</f>
        <v>WT</v>
      </c>
      <c r="P3" s="10">
        <f>IF(Q3="",IF(Q2="",IF(Q1="",IF(#REF!="",IF(#REF!="",IF(#REF!="",#REF!,#REF!),#REF!),#REF!),Q1),Q2),Q3)</f>
        <v>1</v>
      </c>
      <c r="Q3" s="8">
        <v>1</v>
      </c>
      <c r="R3" s="8">
        <f t="shared" ref="R3:R46" si="4">WEEKNUM(J3,21)</f>
        <v>44</v>
      </c>
      <c r="S3" s="61" t="s">
        <v>210</v>
      </c>
      <c r="T3" s="63">
        <f>T4</f>
        <v>5</v>
      </c>
      <c r="U3" s="27">
        <f t="shared" si="1"/>
        <v>1</v>
      </c>
      <c r="V3" s="36"/>
      <c r="W3" s="27"/>
      <c r="X3" s="27"/>
      <c r="Y3" s="27"/>
      <c r="Z3" s="27"/>
    </row>
    <row r="4" spans="1:30" ht="15.75" thickBot="1" x14ac:dyDescent="0.3">
      <c r="F4" s="136" t="s">
        <v>175</v>
      </c>
      <c r="G4" s="71">
        <v>1</v>
      </c>
      <c r="H4" s="59" t="s">
        <v>261</v>
      </c>
      <c r="I4" s="137">
        <f>IF(G1="Samstag",1,IF(G1="Sonntag",2,0))+7</f>
        <v>9</v>
      </c>
      <c r="J4" s="94">
        <f t="shared" si="2"/>
        <v>42304</v>
      </c>
      <c r="K4" s="10">
        <v>-4</v>
      </c>
      <c r="L4" s="35" t="s">
        <v>77</v>
      </c>
      <c r="M4" s="28"/>
      <c r="N4" s="10" t="str">
        <f t="shared" si="0"/>
        <v>VM</v>
      </c>
      <c r="O4" s="10" t="str">
        <f t="shared" si="3"/>
        <v>WT</v>
      </c>
      <c r="P4" s="10">
        <f>IF(Q4="",IF(Q3="",IF(Q2="",IF(Q1="",IF(#REF!="",IF(#REF!="",#REF!,#REF!),#REF!),Q1),Q2),Q3),Q4)</f>
        <v>1</v>
      </c>
      <c r="Q4" s="8"/>
      <c r="R4" s="8">
        <f t="shared" si="4"/>
        <v>44</v>
      </c>
      <c r="S4" s="65" t="s">
        <v>211</v>
      </c>
      <c r="T4" s="67">
        <f>MAX(U6:U380)</f>
        <v>5</v>
      </c>
      <c r="U4" s="27">
        <f t="shared" si="1"/>
        <v>0</v>
      </c>
      <c r="V4" s="36"/>
      <c r="W4" s="27"/>
      <c r="X4" s="27"/>
      <c r="Y4" s="27"/>
      <c r="Z4" s="27"/>
    </row>
    <row r="5" spans="1:30" ht="15.75" thickBot="1" x14ac:dyDescent="0.3">
      <c r="D5" s="27"/>
      <c r="E5">
        <f>EDATE(G5,G4)</f>
        <v>42339</v>
      </c>
      <c r="F5" s="65" t="s">
        <v>173</v>
      </c>
      <c r="G5" s="66">
        <f>DATE(G3,G2,1)</f>
        <v>42309</v>
      </c>
      <c r="H5" s="66">
        <f>DATE(G3,G2+G4,0)</f>
        <v>42338</v>
      </c>
      <c r="I5" s="67"/>
      <c r="J5" s="94">
        <f t="shared" si="2"/>
        <v>42305</v>
      </c>
      <c r="K5" s="10">
        <v>-3</v>
      </c>
      <c r="L5" s="35" t="s">
        <v>78</v>
      </c>
      <c r="M5" s="28"/>
      <c r="N5" s="10" t="str">
        <f t="shared" si="0"/>
        <v>VM</v>
      </c>
      <c r="O5" s="10" t="str">
        <f t="shared" si="3"/>
        <v>WT</v>
      </c>
      <c r="P5" s="10">
        <f>IF(Q5="",IF(Q4="",IF(Q3="",IF(Q2="",IF(Q1="",IF(#REF!="",#REF!,#REF!),Q1),Q2),Q3),Q4),Q5)</f>
        <v>1</v>
      </c>
      <c r="Q5" s="8"/>
      <c r="R5" s="8">
        <f t="shared" si="4"/>
        <v>44</v>
      </c>
      <c r="U5" s="27">
        <f t="shared" si="1"/>
        <v>0</v>
      </c>
      <c r="V5" s="36"/>
      <c r="W5" s="27"/>
      <c r="X5" s="27"/>
      <c r="Y5" s="27"/>
      <c r="Z5" s="27"/>
    </row>
    <row r="6" spans="1:30" x14ac:dyDescent="0.25">
      <c r="E6">
        <f>EDATE(G5,0)</f>
        <v>42309</v>
      </c>
      <c r="J6" s="94">
        <f t="shared" si="2"/>
        <v>42306</v>
      </c>
      <c r="K6" s="10">
        <v>-2</v>
      </c>
      <c r="L6" s="35" t="s">
        <v>72</v>
      </c>
      <c r="M6" s="28"/>
      <c r="N6" s="10" t="str">
        <f t="shared" si="0"/>
        <v>VM</v>
      </c>
      <c r="O6" s="10" t="str">
        <f t="shared" si="3"/>
        <v>WT</v>
      </c>
      <c r="P6" s="10">
        <f>IF(Q6="",IF(Q5="",IF(Q4="",IF(Q3="",IF(Q2="",IF(Q1="",#REF!,Q1),Q2),Q3),Q4),Q5),Q6)</f>
        <v>1</v>
      </c>
      <c r="Q6" s="8"/>
      <c r="R6" s="8">
        <f t="shared" si="4"/>
        <v>44</v>
      </c>
      <c r="U6" s="27">
        <f t="shared" si="1"/>
        <v>0</v>
      </c>
      <c r="V6" s="36"/>
      <c r="W6" s="27"/>
      <c r="X6" s="27"/>
      <c r="Y6" s="27"/>
      <c r="Z6" s="27"/>
    </row>
    <row r="7" spans="1:30" x14ac:dyDescent="0.25">
      <c r="D7" t="s">
        <v>177</v>
      </c>
      <c r="E7">
        <f>(E5-E6)</f>
        <v>30</v>
      </c>
      <c r="J7" s="94">
        <f t="shared" si="2"/>
        <v>42307</v>
      </c>
      <c r="K7" s="10">
        <v>-1</v>
      </c>
      <c r="L7" s="35" t="s">
        <v>73</v>
      </c>
      <c r="M7" s="28"/>
      <c r="N7" s="10" t="str">
        <f t="shared" si="0"/>
        <v>VM</v>
      </c>
      <c r="O7" s="10" t="str">
        <f t="shared" si="3"/>
        <v>WT</v>
      </c>
      <c r="P7" s="10">
        <f t="shared" ref="P7:P8" si="5">IF(Q7="",IF(Q6="",IF(Q5="",IF(Q4="",IF(Q3="",IF(Q2="",Q1,Q2),Q3),Q4),Q5),Q6),Q7)</f>
        <v>1</v>
      </c>
      <c r="Q7" s="8"/>
      <c r="R7" s="8">
        <f t="shared" si="4"/>
        <v>44</v>
      </c>
      <c r="S7" s="7"/>
      <c r="T7" s="7"/>
      <c r="U7" s="27">
        <f t="shared" si="1"/>
        <v>0</v>
      </c>
      <c r="V7" s="36"/>
      <c r="W7" s="27"/>
      <c r="X7" s="27"/>
      <c r="Y7" s="27"/>
      <c r="Z7" s="27"/>
      <c r="AC7" s="27"/>
      <c r="AD7" s="27"/>
    </row>
    <row r="8" spans="1:30" x14ac:dyDescent="0.25">
      <c r="D8" s="8" t="s">
        <v>178</v>
      </c>
      <c r="E8" s="8">
        <f>WEEKDAY(G5,2)</f>
        <v>7</v>
      </c>
      <c r="I8" s="27"/>
      <c r="J8" s="94">
        <f t="shared" si="2"/>
        <v>42308</v>
      </c>
      <c r="K8" s="10">
        <v>0</v>
      </c>
      <c r="L8" s="35" t="s">
        <v>74</v>
      </c>
      <c r="M8" s="28"/>
      <c r="N8" s="10" t="str">
        <f t="shared" si="0"/>
        <v>VM</v>
      </c>
      <c r="O8" s="10" t="str">
        <f t="shared" si="3"/>
        <v>RT</v>
      </c>
      <c r="P8" s="10">
        <f t="shared" si="5"/>
        <v>1</v>
      </c>
      <c r="Q8" s="8"/>
      <c r="R8" s="8">
        <f t="shared" si="4"/>
        <v>44</v>
      </c>
      <c r="S8" s="7"/>
      <c r="T8" s="7"/>
      <c r="U8" s="27">
        <f t="shared" si="1"/>
        <v>0</v>
      </c>
      <c r="V8" s="36"/>
      <c r="W8" s="27"/>
      <c r="X8" s="27"/>
      <c r="Y8" s="27"/>
      <c r="Z8" s="27"/>
      <c r="AC8" s="27"/>
      <c r="AD8" s="27"/>
    </row>
    <row r="9" spans="1:30" x14ac:dyDescent="0.25">
      <c r="D9" t="s">
        <v>179</v>
      </c>
      <c r="E9" s="8">
        <f>WEEKDAY(H5,2)</f>
        <v>1</v>
      </c>
      <c r="I9" s="27"/>
      <c r="J9" s="94">
        <f t="shared" si="2"/>
        <v>42309</v>
      </c>
      <c r="K9" s="10">
        <v>1</v>
      </c>
      <c r="L9" s="35" t="s">
        <v>75</v>
      </c>
      <c r="M9" s="28"/>
      <c r="N9" s="10" t="str">
        <f t="shared" si="0"/>
        <v>AM</v>
      </c>
      <c r="O9" s="10" t="str">
        <f t="shared" si="3"/>
        <v>RT</v>
      </c>
      <c r="P9" s="10">
        <f>IF(Q9="",IF(Q8="",IF(Q7="",IF(Q6="",IF(Q5="",IF(Q4="",Q3,Q4),Q5),Q6),Q7),Q8),Q9)</f>
        <v>1</v>
      </c>
      <c r="Q9" s="8"/>
      <c r="R9" s="8">
        <f t="shared" si="4"/>
        <v>44</v>
      </c>
      <c r="S9" s="7"/>
      <c r="T9" s="7"/>
      <c r="U9" s="27">
        <f t="shared" si="1"/>
        <v>0</v>
      </c>
      <c r="V9" s="36"/>
      <c r="W9" s="27"/>
      <c r="X9" s="27"/>
      <c r="Y9" s="27"/>
      <c r="Z9" s="27"/>
      <c r="AC9" s="27"/>
      <c r="AD9" s="27"/>
    </row>
    <row r="10" spans="1:30" x14ac:dyDescent="0.25">
      <c r="D10" t="s">
        <v>209</v>
      </c>
      <c r="E10" s="36">
        <f>IF(E7=28,1,IF(E7=29,2,IF(E7=30,3,IF(E7=31,4,5))))</f>
        <v>3</v>
      </c>
      <c r="I10" s="27"/>
      <c r="J10" s="94">
        <f t="shared" si="2"/>
        <v>42310</v>
      </c>
      <c r="K10" s="10">
        <v>2</v>
      </c>
      <c r="L10" s="35" t="s">
        <v>76</v>
      </c>
      <c r="M10" s="28"/>
      <c r="N10" s="10" t="str">
        <f t="shared" si="0"/>
        <v>AM</v>
      </c>
      <c r="O10" s="10" t="str">
        <f t="shared" si="3"/>
        <v>WT</v>
      </c>
      <c r="P10" s="10">
        <f t="shared" ref="P10:P46" si="6">IF(Q10="",IF(Q9="",IF(Q8="",IF(Q7="",IF(Q6="",IF(Q5="",Q4,Q5),Q6),Q7),Q8),Q9),Q10)</f>
        <v>2</v>
      </c>
      <c r="Q10" s="8">
        <v>2</v>
      </c>
      <c r="R10" s="8">
        <f t="shared" si="4"/>
        <v>45</v>
      </c>
      <c r="U10" s="27">
        <f t="shared" si="1"/>
        <v>2</v>
      </c>
      <c r="V10" s="36"/>
      <c r="W10" s="27"/>
      <c r="X10" s="27"/>
      <c r="Y10" s="27"/>
      <c r="Z10" s="27"/>
      <c r="AC10" s="27"/>
      <c r="AD10" s="27"/>
    </row>
    <row r="11" spans="1:30" x14ac:dyDescent="0.25">
      <c r="C11" s="13"/>
      <c r="I11" s="27"/>
      <c r="J11" s="94">
        <f t="shared" si="2"/>
        <v>42311</v>
      </c>
      <c r="K11" s="10">
        <v>3</v>
      </c>
      <c r="L11" s="35" t="s">
        <v>77</v>
      </c>
      <c r="M11" s="28"/>
      <c r="N11" s="10" t="str">
        <f t="shared" si="0"/>
        <v>AM</v>
      </c>
      <c r="O11" s="10" t="str">
        <f t="shared" si="3"/>
        <v>WT</v>
      </c>
      <c r="P11" s="10">
        <f t="shared" si="6"/>
        <v>2</v>
      </c>
      <c r="Q11" s="8"/>
      <c r="R11" s="8">
        <f t="shared" si="4"/>
        <v>45</v>
      </c>
      <c r="S11" s="27"/>
      <c r="U11" s="27">
        <f t="shared" si="1"/>
        <v>0</v>
      </c>
      <c r="V11" s="36"/>
      <c r="W11" s="27"/>
      <c r="X11" s="27"/>
      <c r="Y11" s="27"/>
      <c r="Z11" s="27"/>
      <c r="AC11" s="27"/>
      <c r="AD11" s="27"/>
    </row>
    <row r="12" spans="1:30" x14ac:dyDescent="0.25">
      <c r="C12" s="13"/>
      <c r="I12" s="27"/>
      <c r="J12" s="94">
        <f t="shared" si="2"/>
        <v>42312</v>
      </c>
      <c r="K12" s="10">
        <v>4</v>
      </c>
      <c r="L12" s="35" t="s">
        <v>78</v>
      </c>
      <c r="M12" s="28"/>
      <c r="N12" s="10" t="str">
        <f t="shared" si="0"/>
        <v>AM</v>
      </c>
      <c r="O12" s="10" t="str">
        <f t="shared" si="3"/>
        <v>WT</v>
      </c>
      <c r="P12" s="10">
        <f t="shared" si="6"/>
        <v>2</v>
      </c>
      <c r="Q12" s="8"/>
      <c r="R12" s="8">
        <f t="shared" si="4"/>
        <v>45</v>
      </c>
      <c r="S12" s="27"/>
      <c r="U12" s="27">
        <f t="shared" si="1"/>
        <v>0</v>
      </c>
      <c r="V12" s="36"/>
      <c r="W12" s="27"/>
      <c r="X12" s="27"/>
      <c r="Y12" s="27"/>
      <c r="Z12" s="27"/>
      <c r="AC12" s="27"/>
      <c r="AD12" s="27"/>
    </row>
    <row r="13" spans="1:30" x14ac:dyDescent="0.25">
      <c r="C13" s="13"/>
      <c r="D13" s="13"/>
      <c r="F13" s="36"/>
      <c r="J13" s="94">
        <f t="shared" si="2"/>
        <v>42313</v>
      </c>
      <c r="K13" s="10">
        <v>5</v>
      </c>
      <c r="L13" s="35" t="s">
        <v>72</v>
      </c>
      <c r="M13" s="28"/>
      <c r="N13" s="10" t="str">
        <f t="shared" si="0"/>
        <v>AM</v>
      </c>
      <c r="O13" s="10" t="str">
        <f t="shared" si="3"/>
        <v>WT</v>
      </c>
      <c r="P13" s="10">
        <f t="shared" si="6"/>
        <v>2</v>
      </c>
      <c r="Q13" s="8"/>
      <c r="R13" s="8">
        <f t="shared" si="4"/>
        <v>45</v>
      </c>
      <c r="S13" s="27"/>
      <c r="T13" s="27"/>
      <c r="U13" s="27">
        <f t="shared" si="1"/>
        <v>0</v>
      </c>
      <c r="V13" s="36"/>
      <c r="W13" s="27"/>
      <c r="X13" s="27"/>
      <c r="Y13" s="27"/>
      <c r="Z13" s="27"/>
      <c r="AC13" s="27"/>
      <c r="AD13" s="27"/>
    </row>
    <row r="14" spans="1:30" x14ac:dyDescent="0.25">
      <c r="C14" s="13"/>
      <c r="D14" s="13"/>
      <c r="J14" s="94">
        <f t="shared" si="2"/>
        <v>42314</v>
      </c>
      <c r="K14" s="10">
        <v>6</v>
      </c>
      <c r="L14" s="35" t="s">
        <v>73</v>
      </c>
      <c r="M14" s="28"/>
      <c r="N14" s="10" t="str">
        <f t="shared" si="0"/>
        <v>AM</v>
      </c>
      <c r="O14" s="10" t="str">
        <f t="shared" si="3"/>
        <v>WT</v>
      </c>
      <c r="P14" s="10">
        <f t="shared" si="6"/>
        <v>2</v>
      </c>
      <c r="Q14" s="8"/>
      <c r="R14" s="8">
        <f t="shared" si="4"/>
        <v>45</v>
      </c>
      <c r="S14" s="27"/>
      <c r="U14" s="27">
        <f t="shared" si="1"/>
        <v>0</v>
      </c>
      <c r="V14" s="36"/>
      <c r="W14" s="27"/>
      <c r="X14" s="27"/>
      <c r="Y14" s="27"/>
      <c r="Z14" s="27"/>
      <c r="AC14" s="27"/>
      <c r="AD14" s="27"/>
    </row>
    <row r="15" spans="1:30" x14ac:dyDescent="0.25">
      <c r="C15" s="13"/>
      <c r="D15" s="13"/>
      <c r="J15" s="94">
        <f t="shared" si="2"/>
        <v>42315</v>
      </c>
      <c r="K15" s="10">
        <v>7</v>
      </c>
      <c r="L15" s="35" t="s">
        <v>74</v>
      </c>
      <c r="M15" s="28"/>
      <c r="N15" s="10" t="str">
        <f t="shared" si="0"/>
        <v>AM</v>
      </c>
      <c r="O15" s="10" t="str">
        <f t="shared" si="3"/>
        <v>RT</v>
      </c>
      <c r="P15" s="10">
        <f t="shared" si="6"/>
        <v>2</v>
      </c>
      <c r="Q15" s="8"/>
      <c r="R15" s="8">
        <f t="shared" si="4"/>
        <v>45</v>
      </c>
      <c r="S15" s="27"/>
      <c r="U15" s="27">
        <f t="shared" si="1"/>
        <v>0</v>
      </c>
      <c r="V15" s="36"/>
      <c r="W15" s="27"/>
      <c r="X15" s="27"/>
      <c r="Y15" s="27"/>
      <c r="Z15" s="27"/>
      <c r="AC15" s="27"/>
      <c r="AD15" s="27"/>
    </row>
    <row r="16" spans="1:30" x14ac:dyDescent="0.25">
      <c r="J16" s="94">
        <f t="shared" si="2"/>
        <v>42316</v>
      </c>
      <c r="K16" s="10">
        <v>8</v>
      </c>
      <c r="L16" s="35" t="s">
        <v>75</v>
      </c>
      <c r="M16" s="28"/>
      <c r="N16" s="10" t="str">
        <f t="shared" si="0"/>
        <v>AM</v>
      </c>
      <c r="O16" s="10" t="str">
        <f t="shared" si="3"/>
        <v>RT</v>
      </c>
      <c r="P16" s="10">
        <f t="shared" si="6"/>
        <v>2</v>
      </c>
      <c r="Q16" s="8"/>
      <c r="R16" s="8">
        <f t="shared" si="4"/>
        <v>45</v>
      </c>
      <c r="S16" s="27"/>
      <c r="U16" s="27">
        <f t="shared" si="1"/>
        <v>0</v>
      </c>
      <c r="V16" s="36"/>
      <c r="W16" s="27"/>
      <c r="X16" s="27"/>
      <c r="Y16" s="27"/>
      <c r="Z16" s="27"/>
      <c r="AC16" s="27"/>
      <c r="AD16" s="27"/>
    </row>
    <row r="17" spans="3:30" x14ac:dyDescent="0.25">
      <c r="J17" s="94">
        <f t="shared" si="2"/>
        <v>42317</v>
      </c>
      <c r="K17" s="10">
        <v>9</v>
      </c>
      <c r="L17" s="35" t="s">
        <v>76</v>
      </c>
      <c r="M17" s="28"/>
      <c r="N17" s="10" t="str">
        <f t="shared" si="0"/>
        <v>AM</v>
      </c>
      <c r="O17" s="10" t="str">
        <f t="shared" si="3"/>
        <v>WT</v>
      </c>
      <c r="P17" s="10">
        <f t="shared" si="6"/>
        <v>3</v>
      </c>
      <c r="Q17" s="8">
        <v>3</v>
      </c>
      <c r="R17" s="8">
        <f t="shared" si="4"/>
        <v>46</v>
      </c>
      <c r="S17" s="27"/>
      <c r="U17" s="27">
        <f t="shared" si="1"/>
        <v>3</v>
      </c>
      <c r="V17" s="36"/>
      <c r="W17" s="27"/>
      <c r="X17" s="27"/>
      <c r="Y17" s="27"/>
      <c r="Z17" s="27"/>
      <c r="AC17" s="27"/>
      <c r="AD17" s="27"/>
    </row>
    <row r="18" spans="3:30" x14ac:dyDescent="0.25">
      <c r="C18" s="13"/>
      <c r="J18" s="94">
        <f t="shared" si="2"/>
        <v>42318</v>
      </c>
      <c r="K18" s="10">
        <v>10</v>
      </c>
      <c r="L18" s="35" t="s">
        <v>77</v>
      </c>
      <c r="M18" s="28"/>
      <c r="N18" s="10" t="str">
        <f t="shared" si="0"/>
        <v>AM</v>
      </c>
      <c r="O18" s="10" t="str">
        <f t="shared" si="3"/>
        <v>WT</v>
      </c>
      <c r="P18" s="10">
        <f t="shared" si="6"/>
        <v>3</v>
      </c>
      <c r="Q18" s="8"/>
      <c r="R18" s="8">
        <f t="shared" si="4"/>
        <v>46</v>
      </c>
      <c r="S18" s="27"/>
      <c r="U18" s="27">
        <f t="shared" si="1"/>
        <v>0</v>
      </c>
      <c r="V18" s="36"/>
      <c r="W18" s="27"/>
      <c r="X18" s="27"/>
      <c r="Y18" s="27"/>
      <c r="Z18" s="27"/>
      <c r="AD18" s="27"/>
    </row>
    <row r="19" spans="3:30" x14ac:dyDescent="0.25">
      <c r="C19" s="13"/>
      <c r="J19" s="94">
        <f t="shared" si="2"/>
        <v>42319</v>
      </c>
      <c r="K19" s="10">
        <v>11</v>
      </c>
      <c r="L19" s="35" t="s">
        <v>78</v>
      </c>
      <c r="M19" s="28"/>
      <c r="N19" s="10" t="str">
        <f t="shared" si="0"/>
        <v>AM</v>
      </c>
      <c r="O19" s="10" t="str">
        <f t="shared" si="3"/>
        <v>WT</v>
      </c>
      <c r="P19" s="10">
        <f t="shared" si="6"/>
        <v>3</v>
      </c>
      <c r="Q19" s="8"/>
      <c r="R19" s="8">
        <f t="shared" si="4"/>
        <v>46</v>
      </c>
      <c r="S19" s="27"/>
      <c r="U19" s="27">
        <f t="shared" si="1"/>
        <v>0</v>
      </c>
      <c r="V19" s="36"/>
      <c r="W19" s="27"/>
      <c r="X19" s="27"/>
      <c r="Y19" s="27"/>
      <c r="Z19" s="27"/>
    </row>
    <row r="20" spans="3:30" x14ac:dyDescent="0.25">
      <c r="C20" s="13"/>
      <c r="D20" s="13"/>
      <c r="J20" s="94">
        <f t="shared" si="2"/>
        <v>42320</v>
      </c>
      <c r="K20" s="10">
        <v>12</v>
      </c>
      <c r="L20" s="35" t="s">
        <v>72</v>
      </c>
      <c r="M20" s="28"/>
      <c r="N20" s="10" t="str">
        <f t="shared" si="0"/>
        <v>AM</v>
      </c>
      <c r="O20" s="10" t="str">
        <f t="shared" si="3"/>
        <v>WT</v>
      </c>
      <c r="P20" s="10">
        <f t="shared" si="6"/>
        <v>3</v>
      </c>
      <c r="Q20" s="8"/>
      <c r="R20" s="8">
        <f t="shared" si="4"/>
        <v>46</v>
      </c>
      <c r="S20" s="27"/>
      <c r="U20" s="27">
        <f t="shared" si="1"/>
        <v>0</v>
      </c>
      <c r="V20" s="36"/>
      <c r="W20" s="27"/>
      <c r="X20" s="27"/>
      <c r="Y20" s="27"/>
      <c r="Z20" s="27"/>
    </row>
    <row r="21" spans="3:30" x14ac:dyDescent="0.25">
      <c r="C21" s="13"/>
      <c r="D21" s="13"/>
      <c r="J21" s="94">
        <f t="shared" si="2"/>
        <v>42321</v>
      </c>
      <c r="K21" s="10">
        <v>13</v>
      </c>
      <c r="L21" s="35" t="s">
        <v>73</v>
      </c>
      <c r="M21" s="28"/>
      <c r="N21" s="10" t="str">
        <f t="shared" si="0"/>
        <v>AM</v>
      </c>
      <c r="O21" s="10" t="str">
        <f t="shared" si="3"/>
        <v>WT</v>
      </c>
      <c r="P21" s="10">
        <f t="shared" si="6"/>
        <v>3</v>
      </c>
      <c r="Q21" s="8"/>
      <c r="R21" s="8">
        <f t="shared" si="4"/>
        <v>46</v>
      </c>
      <c r="S21" s="27"/>
      <c r="U21" s="27">
        <f t="shared" si="1"/>
        <v>0</v>
      </c>
      <c r="V21" s="36"/>
      <c r="W21" s="27"/>
      <c r="X21" s="27"/>
      <c r="Y21" s="27"/>
      <c r="Z21" s="27"/>
    </row>
    <row r="22" spans="3:30" x14ac:dyDescent="0.25">
      <c r="C22" s="13"/>
      <c r="D22" s="13"/>
      <c r="J22" s="94">
        <f t="shared" si="2"/>
        <v>42322</v>
      </c>
      <c r="K22" s="10">
        <v>14</v>
      </c>
      <c r="L22" s="35" t="s">
        <v>74</v>
      </c>
      <c r="M22" s="28"/>
      <c r="N22" s="10" t="str">
        <f t="shared" si="0"/>
        <v>AM</v>
      </c>
      <c r="O22" s="10" t="str">
        <f t="shared" si="3"/>
        <v>RT</v>
      </c>
      <c r="P22" s="10">
        <f t="shared" si="6"/>
        <v>3</v>
      </c>
      <c r="Q22" s="8"/>
      <c r="R22" s="8">
        <f t="shared" si="4"/>
        <v>46</v>
      </c>
      <c r="S22" s="27"/>
      <c r="U22" s="27">
        <f t="shared" si="1"/>
        <v>0</v>
      </c>
      <c r="V22" s="36"/>
      <c r="W22" s="27"/>
      <c r="X22" s="27"/>
      <c r="Y22" s="27"/>
      <c r="Z22" s="27"/>
    </row>
    <row r="23" spans="3:30" x14ac:dyDescent="0.25">
      <c r="J23" s="94">
        <f t="shared" si="2"/>
        <v>42323</v>
      </c>
      <c r="K23" s="10">
        <v>15</v>
      </c>
      <c r="L23" s="35" t="s">
        <v>75</v>
      </c>
      <c r="M23" s="28"/>
      <c r="N23" s="10" t="str">
        <f t="shared" si="0"/>
        <v>AM</v>
      </c>
      <c r="O23" s="10" t="str">
        <f t="shared" si="3"/>
        <v>RT</v>
      </c>
      <c r="P23" s="10">
        <f t="shared" si="6"/>
        <v>3</v>
      </c>
      <c r="Q23" s="8"/>
      <c r="R23" s="8">
        <f t="shared" si="4"/>
        <v>46</v>
      </c>
      <c r="S23" s="27"/>
      <c r="U23" s="27">
        <f t="shared" si="1"/>
        <v>0</v>
      </c>
      <c r="V23" s="36"/>
      <c r="W23" s="27"/>
      <c r="X23" s="27"/>
      <c r="Y23" s="27"/>
      <c r="Z23" s="27"/>
    </row>
    <row r="24" spans="3:30" x14ac:dyDescent="0.25">
      <c r="J24" s="94">
        <f t="shared" si="2"/>
        <v>42324</v>
      </c>
      <c r="K24" s="10">
        <v>16</v>
      </c>
      <c r="L24" s="35" t="s">
        <v>76</v>
      </c>
      <c r="M24" s="28"/>
      <c r="N24" s="10" t="str">
        <f t="shared" si="0"/>
        <v>AM</v>
      </c>
      <c r="O24" s="10" t="str">
        <f t="shared" si="3"/>
        <v>WT</v>
      </c>
      <c r="P24" s="10">
        <f t="shared" si="6"/>
        <v>4</v>
      </c>
      <c r="Q24" s="8">
        <v>4</v>
      </c>
      <c r="R24" s="8">
        <f t="shared" si="4"/>
        <v>47</v>
      </c>
      <c r="S24" s="27"/>
      <c r="U24" s="27">
        <f t="shared" si="1"/>
        <v>4</v>
      </c>
      <c r="V24" s="36"/>
      <c r="W24" s="27"/>
      <c r="X24" s="27"/>
      <c r="Y24" s="27"/>
      <c r="Z24" s="27"/>
    </row>
    <row r="25" spans="3:30" x14ac:dyDescent="0.25">
      <c r="C25" s="13"/>
      <c r="J25" s="94">
        <f t="shared" si="2"/>
        <v>42325</v>
      </c>
      <c r="K25" s="10">
        <v>17</v>
      </c>
      <c r="L25" s="35" t="s">
        <v>77</v>
      </c>
      <c r="M25" s="28"/>
      <c r="N25" s="10" t="str">
        <f t="shared" si="0"/>
        <v>AM</v>
      </c>
      <c r="O25" s="10" t="str">
        <f t="shared" si="3"/>
        <v>WT</v>
      </c>
      <c r="P25" s="10">
        <f t="shared" si="6"/>
        <v>4</v>
      </c>
      <c r="Q25" s="8"/>
      <c r="R25" s="8">
        <f t="shared" si="4"/>
        <v>47</v>
      </c>
      <c r="S25" s="27"/>
      <c r="U25" s="27">
        <f t="shared" si="1"/>
        <v>0</v>
      </c>
      <c r="V25" s="36"/>
      <c r="W25" s="27"/>
      <c r="X25" s="27"/>
      <c r="Y25" s="27"/>
      <c r="Z25" s="27"/>
    </row>
    <row r="26" spans="3:30" x14ac:dyDescent="0.25">
      <c r="C26" s="13"/>
      <c r="J26" s="94">
        <f t="shared" si="2"/>
        <v>42326</v>
      </c>
      <c r="K26" s="10">
        <v>18</v>
      </c>
      <c r="L26" s="35" t="s">
        <v>78</v>
      </c>
      <c r="M26" s="28"/>
      <c r="N26" s="10" t="str">
        <f t="shared" si="0"/>
        <v>AM</v>
      </c>
      <c r="O26" s="10" t="str">
        <f t="shared" si="3"/>
        <v>WT</v>
      </c>
      <c r="P26" s="10">
        <f t="shared" si="6"/>
        <v>4</v>
      </c>
      <c r="Q26" s="8"/>
      <c r="R26" s="8">
        <f t="shared" si="4"/>
        <v>47</v>
      </c>
      <c r="S26" s="27"/>
      <c r="U26" s="27">
        <f t="shared" si="1"/>
        <v>0</v>
      </c>
      <c r="V26" s="36"/>
      <c r="W26" s="27"/>
      <c r="X26" s="27"/>
      <c r="Y26" s="27"/>
      <c r="Z26" s="27"/>
    </row>
    <row r="27" spans="3:30" x14ac:dyDescent="0.25">
      <c r="C27" s="13"/>
      <c r="D27" s="13"/>
      <c r="J27" s="94">
        <f t="shared" si="2"/>
        <v>42327</v>
      </c>
      <c r="K27" s="10">
        <v>19</v>
      </c>
      <c r="L27" s="35" t="s">
        <v>72</v>
      </c>
      <c r="M27" s="28"/>
      <c r="N27" s="10" t="str">
        <f t="shared" si="0"/>
        <v>AM</v>
      </c>
      <c r="O27" s="10" t="str">
        <f t="shared" si="3"/>
        <v>WT</v>
      </c>
      <c r="P27" s="10">
        <f t="shared" si="6"/>
        <v>4</v>
      </c>
      <c r="Q27" s="8"/>
      <c r="R27" s="8">
        <f t="shared" si="4"/>
        <v>47</v>
      </c>
      <c r="S27" s="27"/>
      <c r="U27" s="27">
        <f t="shared" si="1"/>
        <v>0</v>
      </c>
      <c r="V27" s="36"/>
      <c r="W27" s="27"/>
      <c r="X27" s="27"/>
      <c r="Y27" s="27"/>
      <c r="Z27" s="27"/>
    </row>
    <row r="28" spans="3:30" x14ac:dyDescent="0.25">
      <c r="C28" s="13"/>
      <c r="D28" s="13"/>
      <c r="J28" s="94">
        <f t="shared" si="2"/>
        <v>42328</v>
      </c>
      <c r="K28" s="10">
        <v>20</v>
      </c>
      <c r="L28" s="35" t="s">
        <v>73</v>
      </c>
      <c r="M28" s="28"/>
      <c r="N28" s="10" t="str">
        <f t="shared" si="0"/>
        <v>AM</v>
      </c>
      <c r="O28" s="10" t="str">
        <f t="shared" si="3"/>
        <v>WT</v>
      </c>
      <c r="P28" s="10">
        <f t="shared" si="6"/>
        <v>4</v>
      </c>
      <c r="Q28" s="8"/>
      <c r="R28" s="8">
        <f t="shared" si="4"/>
        <v>47</v>
      </c>
      <c r="S28" s="27"/>
      <c r="U28" s="27">
        <f t="shared" si="1"/>
        <v>0</v>
      </c>
    </row>
    <row r="29" spans="3:30" x14ac:dyDescent="0.25">
      <c r="C29" s="13"/>
      <c r="D29" s="13"/>
      <c r="J29" s="94">
        <f t="shared" si="2"/>
        <v>42329</v>
      </c>
      <c r="K29" s="10">
        <v>21</v>
      </c>
      <c r="L29" s="35" t="s">
        <v>74</v>
      </c>
      <c r="M29" s="28"/>
      <c r="N29" s="10" t="str">
        <f t="shared" si="0"/>
        <v>AM</v>
      </c>
      <c r="O29" s="10" t="str">
        <f t="shared" si="3"/>
        <v>RT</v>
      </c>
      <c r="P29" s="10">
        <f t="shared" si="6"/>
        <v>4</v>
      </c>
      <c r="Q29" s="8"/>
      <c r="R29" s="8">
        <f t="shared" si="4"/>
        <v>47</v>
      </c>
      <c r="S29" s="27"/>
      <c r="U29" s="27">
        <f t="shared" si="1"/>
        <v>0</v>
      </c>
      <c r="V29" s="36"/>
      <c r="W29" s="36"/>
    </row>
    <row r="30" spans="3:30" x14ac:dyDescent="0.25">
      <c r="J30" s="94">
        <f t="shared" si="2"/>
        <v>42330</v>
      </c>
      <c r="K30" s="10">
        <v>22</v>
      </c>
      <c r="L30" s="35" t="s">
        <v>75</v>
      </c>
      <c r="M30" s="28"/>
      <c r="N30" s="10" t="str">
        <f t="shared" si="0"/>
        <v>AM</v>
      </c>
      <c r="O30" s="10" t="str">
        <f t="shared" si="3"/>
        <v>RT</v>
      </c>
      <c r="P30" s="10">
        <f t="shared" si="6"/>
        <v>4</v>
      </c>
      <c r="Q30" s="8"/>
      <c r="R30" s="8">
        <f t="shared" si="4"/>
        <v>47</v>
      </c>
      <c r="S30" s="27"/>
      <c r="U30" s="27">
        <f t="shared" si="1"/>
        <v>0</v>
      </c>
      <c r="V30" s="36"/>
      <c r="W30" s="36"/>
    </row>
    <row r="31" spans="3:30" x14ac:dyDescent="0.25">
      <c r="J31" s="94">
        <f t="shared" si="2"/>
        <v>42331</v>
      </c>
      <c r="K31" s="10">
        <v>23</v>
      </c>
      <c r="L31" s="35" t="s">
        <v>76</v>
      </c>
      <c r="M31" s="28"/>
      <c r="N31" s="10" t="str">
        <f t="shared" si="0"/>
        <v>AM</v>
      </c>
      <c r="O31" s="10" t="str">
        <f t="shared" si="3"/>
        <v>WT</v>
      </c>
      <c r="P31" s="10">
        <f t="shared" si="6"/>
        <v>5</v>
      </c>
      <c r="Q31" s="8">
        <v>5</v>
      </c>
      <c r="R31" s="8">
        <f t="shared" si="4"/>
        <v>48</v>
      </c>
      <c r="S31" s="27"/>
      <c r="U31" s="27">
        <f t="shared" si="1"/>
        <v>5</v>
      </c>
      <c r="V31" s="36"/>
      <c r="W31" s="36"/>
    </row>
    <row r="32" spans="3:30" x14ac:dyDescent="0.25">
      <c r="J32" s="94">
        <f t="shared" si="2"/>
        <v>42332</v>
      </c>
      <c r="K32" s="10">
        <v>24</v>
      </c>
      <c r="L32" s="35" t="s">
        <v>77</v>
      </c>
      <c r="M32" s="28"/>
      <c r="N32" s="10" t="str">
        <f t="shared" si="0"/>
        <v>AM</v>
      </c>
      <c r="O32" s="10" t="str">
        <f t="shared" si="3"/>
        <v>WT</v>
      </c>
      <c r="P32" s="10">
        <f t="shared" si="6"/>
        <v>5</v>
      </c>
      <c r="Q32" s="8"/>
      <c r="R32" s="8">
        <f t="shared" si="4"/>
        <v>48</v>
      </c>
      <c r="S32" s="27"/>
      <c r="U32" s="27">
        <f t="shared" si="1"/>
        <v>0</v>
      </c>
      <c r="V32" s="36"/>
      <c r="W32" s="36"/>
    </row>
    <row r="33" spans="10:23" x14ac:dyDescent="0.25">
      <c r="J33" s="94">
        <f t="shared" si="2"/>
        <v>42333</v>
      </c>
      <c r="K33" s="10">
        <v>25</v>
      </c>
      <c r="L33" s="35" t="s">
        <v>78</v>
      </c>
      <c r="M33" s="28"/>
      <c r="N33" s="10" t="str">
        <f t="shared" si="0"/>
        <v>AM</v>
      </c>
      <c r="O33" s="10" t="str">
        <f t="shared" si="3"/>
        <v>WT</v>
      </c>
      <c r="P33" s="10">
        <f t="shared" si="6"/>
        <v>5</v>
      </c>
      <c r="Q33" s="8"/>
      <c r="R33" s="8">
        <f t="shared" si="4"/>
        <v>48</v>
      </c>
      <c r="S33" s="27"/>
      <c r="U33" s="27">
        <f t="shared" si="1"/>
        <v>0</v>
      </c>
      <c r="V33" s="36"/>
      <c r="W33" s="36"/>
    </row>
    <row r="34" spans="10:23" x14ac:dyDescent="0.25">
      <c r="J34" s="94">
        <f t="shared" si="2"/>
        <v>42334</v>
      </c>
      <c r="K34" s="10">
        <v>26</v>
      </c>
      <c r="L34" s="35" t="s">
        <v>72</v>
      </c>
      <c r="M34" s="28"/>
      <c r="N34" s="10" t="str">
        <f t="shared" si="0"/>
        <v>AM</v>
      </c>
      <c r="O34" s="10" t="str">
        <f t="shared" si="3"/>
        <v>WT</v>
      </c>
      <c r="P34" s="10">
        <f t="shared" si="6"/>
        <v>5</v>
      </c>
      <c r="Q34" s="8"/>
      <c r="R34" s="8">
        <f t="shared" si="4"/>
        <v>48</v>
      </c>
      <c r="S34" s="27"/>
      <c r="U34" s="27">
        <f t="shared" si="1"/>
        <v>0</v>
      </c>
      <c r="V34" s="36"/>
      <c r="W34" s="36"/>
    </row>
    <row r="35" spans="10:23" x14ac:dyDescent="0.25">
      <c r="J35" s="94">
        <f t="shared" si="2"/>
        <v>42335</v>
      </c>
      <c r="K35" s="10">
        <v>27</v>
      </c>
      <c r="L35" s="35" t="s">
        <v>73</v>
      </c>
      <c r="M35" s="28"/>
      <c r="N35" s="10" t="str">
        <f t="shared" si="0"/>
        <v>AM</v>
      </c>
      <c r="O35" s="10" t="str">
        <f t="shared" si="3"/>
        <v>WT</v>
      </c>
      <c r="P35" s="10">
        <f t="shared" si="6"/>
        <v>5</v>
      </c>
      <c r="Q35" s="8"/>
      <c r="R35" s="8">
        <f t="shared" si="4"/>
        <v>48</v>
      </c>
      <c r="S35" s="27"/>
      <c r="U35" s="27">
        <f t="shared" si="1"/>
        <v>0</v>
      </c>
      <c r="V35" s="36"/>
      <c r="W35" s="36"/>
    </row>
    <row r="36" spans="10:23" x14ac:dyDescent="0.25">
      <c r="J36" s="94">
        <f t="shared" si="2"/>
        <v>42336</v>
      </c>
      <c r="K36" s="10">
        <v>28</v>
      </c>
      <c r="L36" s="35" t="s">
        <v>74</v>
      </c>
      <c r="M36" s="28"/>
      <c r="N36" s="10" t="str">
        <f t="shared" si="0"/>
        <v>AM</v>
      </c>
      <c r="O36" s="10" t="str">
        <f t="shared" si="3"/>
        <v>RT</v>
      </c>
      <c r="P36" s="10">
        <f t="shared" si="6"/>
        <v>5</v>
      </c>
      <c r="Q36" s="8"/>
      <c r="R36" s="8">
        <f t="shared" si="4"/>
        <v>48</v>
      </c>
      <c r="S36" s="27"/>
      <c r="U36" s="27">
        <f t="shared" si="1"/>
        <v>0</v>
      </c>
      <c r="V36" s="36"/>
      <c r="W36" s="36"/>
    </row>
    <row r="37" spans="10:23" x14ac:dyDescent="0.25">
      <c r="J37" s="94">
        <f t="shared" si="2"/>
        <v>42337</v>
      </c>
      <c r="K37" s="10">
        <v>29</v>
      </c>
      <c r="L37" s="35" t="s">
        <v>75</v>
      </c>
      <c r="M37" s="28"/>
      <c r="N37" s="10" t="str">
        <f t="shared" si="0"/>
        <v>AM</v>
      </c>
      <c r="O37" s="10" t="str">
        <f t="shared" si="3"/>
        <v>RT</v>
      </c>
      <c r="P37" s="10">
        <f t="shared" si="6"/>
        <v>5</v>
      </c>
      <c r="Q37" s="8"/>
      <c r="R37" s="8">
        <f t="shared" si="4"/>
        <v>48</v>
      </c>
      <c r="S37" s="27"/>
      <c r="U37" s="27">
        <f t="shared" si="1"/>
        <v>0</v>
      </c>
    </row>
    <row r="38" spans="10:23" x14ac:dyDescent="0.25">
      <c r="J38" s="94">
        <f t="shared" si="2"/>
        <v>42338</v>
      </c>
      <c r="K38" s="10">
        <v>30</v>
      </c>
      <c r="L38" s="35" t="s">
        <v>76</v>
      </c>
      <c r="M38" s="28"/>
      <c r="N38" s="10" t="str">
        <f t="shared" si="0"/>
        <v>AM</v>
      </c>
      <c r="O38" s="10" t="str">
        <f t="shared" si="3"/>
        <v>WT</v>
      </c>
      <c r="P38" s="10">
        <f t="shared" si="6"/>
        <v>6</v>
      </c>
      <c r="Q38" s="8">
        <v>6</v>
      </c>
      <c r="R38" s="8">
        <f t="shared" si="4"/>
        <v>49</v>
      </c>
      <c r="U38" s="27">
        <f t="shared" si="1"/>
        <v>0</v>
      </c>
    </row>
    <row r="39" spans="10:23" x14ac:dyDescent="0.25">
      <c r="J39" s="94">
        <f t="shared" si="2"/>
        <v>42339</v>
      </c>
      <c r="K39" s="10">
        <v>31</v>
      </c>
      <c r="L39" s="35" t="s">
        <v>77</v>
      </c>
      <c r="M39" s="133"/>
      <c r="N39" s="10" t="str">
        <f t="shared" si="0"/>
        <v>FM</v>
      </c>
      <c r="O39" s="10" t="str">
        <f t="shared" si="3"/>
        <v>WT</v>
      </c>
      <c r="P39" s="10">
        <f t="shared" si="6"/>
        <v>6</v>
      </c>
      <c r="Q39" s="8"/>
      <c r="R39" s="8">
        <f t="shared" si="4"/>
        <v>49</v>
      </c>
      <c r="U39" s="27"/>
    </row>
    <row r="40" spans="10:23" x14ac:dyDescent="0.25">
      <c r="J40" s="94">
        <f t="shared" si="2"/>
        <v>42340</v>
      </c>
      <c r="K40" s="10">
        <v>32</v>
      </c>
      <c r="L40" s="35" t="s">
        <v>78</v>
      </c>
      <c r="M40" s="133"/>
      <c r="N40" s="10" t="str">
        <f t="shared" si="0"/>
        <v>FM</v>
      </c>
      <c r="O40" s="10" t="str">
        <f t="shared" si="3"/>
        <v>WT</v>
      </c>
      <c r="P40" s="10">
        <f t="shared" si="6"/>
        <v>6</v>
      </c>
      <c r="Q40" s="36"/>
      <c r="R40" s="8">
        <f t="shared" si="4"/>
        <v>49</v>
      </c>
      <c r="U40" s="27"/>
    </row>
    <row r="41" spans="10:23" x14ac:dyDescent="0.25">
      <c r="J41" s="94">
        <f t="shared" si="2"/>
        <v>42341</v>
      </c>
      <c r="K41" s="10">
        <v>33</v>
      </c>
      <c r="L41" s="35" t="s">
        <v>72</v>
      </c>
      <c r="M41" s="133"/>
      <c r="N41" s="10" t="str">
        <f t="shared" si="0"/>
        <v>FM</v>
      </c>
      <c r="O41" s="10" t="str">
        <f t="shared" si="3"/>
        <v>WT</v>
      </c>
      <c r="P41" s="10">
        <f t="shared" si="6"/>
        <v>6</v>
      </c>
      <c r="Q41" s="36"/>
      <c r="R41" s="8">
        <f t="shared" si="4"/>
        <v>49</v>
      </c>
      <c r="U41" s="27"/>
    </row>
    <row r="42" spans="10:23" x14ac:dyDescent="0.25">
      <c r="J42" s="94">
        <f t="shared" si="2"/>
        <v>42342</v>
      </c>
      <c r="K42" s="10">
        <v>34</v>
      </c>
      <c r="L42" s="35" t="s">
        <v>73</v>
      </c>
      <c r="M42" s="133"/>
      <c r="N42" s="10" t="str">
        <f t="shared" si="0"/>
        <v>FM</v>
      </c>
      <c r="O42" s="10" t="str">
        <f t="shared" si="3"/>
        <v>WT</v>
      </c>
      <c r="P42" s="10">
        <f t="shared" si="6"/>
        <v>6</v>
      </c>
      <c r="Q42" s="36"/>
      <c r="R42" s="8">
        <f t="shared" si="4"/>
        <v>49</v>
      </c>
      <c r="U42" s="27"/>
    </row>
    <row r="43" spans="10:23" x14ac:dyDescent="0.25">
      <c r="J43" s="94">
        <f t="shared" si="2"/>
        <v>42343</v>
      </c>
      <c r="K43" s="10">
        <v>35</v>
      </c>
      <c r="L43" s="35" t="s">
        <v>74</v>
      </c>
      <c r="M43" s="133"/>
      <c r="N43" s="10" t="str">
        <f t="shared" si="0"/>
        <v>FM</v>
      </c>
      <c r="O43" s="10" t="str">
        <f t="shared" si="3"/>
        <v>RT</v>
      </c>
      <c r="P43" s="10">
        <f t="shared" si="6"/>
        <v>6</v>
      </c>
      <c r="Q43" s="36"/>
      <c r="R43" s="8">
        <f t="shared" si="4"/>
        <v>49</v>
      </c>
      <c r="U43" s="27"/>
    </row>
    <row r="44" spans="10:23" x14ac:dyDescent="0.25">
      <c r="J44" s="94">
        <f t="shared" si="2"/>
        <v>42344</v>
      </c>
      <c r="K44" s="10">
        <v>36</v>
      </c>
      <c r="L44" s="35" t="s">
        <v>75</v>
      </c>
      <c r="M44" s="133"/>
      <c r="N44" s="10" t="str">
        <f t="shared" si="0"/>
        <v>FM</v>
      </c>
      <c r="O44" s="10" t="str">
        <f t="shared" si="3"/>
        <v>RT</v>
      </c>
      <c r="P44" s="10">
        <f t="shared" si="6"/>
        <v>6</v>
      </c>
      <c r="Q44" s="36"/>
      <c r="R44" s="8">
        <f t="shared" si="4"/>
        <v>49</v>
      </c>
      <c r="U44" s="27"/>
    </row>
    <row r="45" spans="10:23" x14ac:dyDescent="0.25">
      <c r="J45" s="94">
        <f t="shared" si="2"/>
        <v>42345</v>
      </c>
      <c r="K45" s="10">
        <v>37</v>
      </c>
      <c r="L45" s="35" t="s">
        <v>76</v>
      </c>
      <c r="M45" s="133"/>
      <c r="N45" s="10" t="str">
        <f t="shared" si="0"/>
        <v>FM</v>
      </c>
      <c r="O45" s="10" t="str">
        <f t="shared" si="3"/>
        <v>WT</v>
      </c>
      <c r="P45" s="10">
        <f t="shared" si="6"/>
        <v>7</v>
      </c>
      <c r="Q45" s="36">
        <v>7</v>
      </c>
      <c r="R45" s="8">
        <f t="shared" si="4"/>
        <v>50</v>
      </c>
      <c r="U45" s="27"/>
    </row>
    <row r="46" spans="10:23" x14ac:dyDescent="0.25">
      <c r="J46" s="94">
        <f t="shared" si="2"/>
        <v>42346</v>
      </c>
      <c r="K46" s="10">
        <v>38</v>
      </c>
      <c r="L46" s="35" t="s">
        <v>77</v>
      </c>
      <c r="M46" s="133"/>
      <c r="N46" s="10" t="str">
        <f t="shared" si="0"/>
        <v>FM</v>
      </c>
      <c r="O46" s="10" t="str">
        <f t="shared" si="3"/>
        <v>WT</v>
      </c>
      <c r="P46" s="10">
        <f t="shared" si="6"/>
        <v>7</v>
      </c>
      <c r="Q46" s="36"/>
      <c r="R46" s="8">
        <f t="shared" si="4"/>
        <v>50</v>
      </c>
      <c r="U46" s="27"/>
    </row>
    <row r="47" spans="10:23" x14ac:dyDescent="0.25">
      <c r="J47" s="134"/>
      <c r="K47" s="36"/>
      <c r="L47" s="37"/>
      <c r="M47" s="37"/>
      <c r="N47" s="36"/>
      <c r="O47" s="36"/>
      <c r="P47" s="36"/>
      <c r="Q47" s="36"/>
      <c r="R47" s="36"/>
      <c r="U47" s="27"/>
    </row>
    <row r="48" spans="10:23" x14ac:dyDescent="0.25">
      <c r="J48" s="134"/>
      <c r="K48" s="36"/>
      <c r="L48" s="37"/>
      <c r="M48" s="37"/>
      <c r="N48" s="36"/>
      <c r="O48" s="36"/>
      <c r="P48" s="36"/>
      <c r="Q48" s="36"/>
      <c r="R48" s="36"/>
      <c r="U48" s="27"/>
    </row>
    <row r="49" spans="10:21" x14ac:dyDescent="0.25">
      <c r="J49" s="134"/>
      <c r="K49" s="36"/>
      <c r="L49" s="37"/>
      <c r="M49" s="37"/>
      <c r="N49" s="36"/>
      <c r="O49" s="36"/>
      <c r="P49" s="36"/>
      <c r="Q49" s="36"/>
      <c r="R49" s="36"/>
      <c r="U49" s="27"/>
    </row>
    <row r="50" spans="10:21" x14ac:dyDescent="0.25">
      <c r="J50" s="134"/>
      <c r="K50" s="36"/>
      <c r="L50" s="37"/>
      <c r="M50" s="37"/>
      <c r="N50" s="36"/>
      <c r="O50" s="36"/>
      <c r="P50" s="36"/>
      <c r="Q50" s="36"/>
      <c r="R50" s="36"/>
      <c r="U50" s="27"/>
    </row>
    <row r="51" spans="10:21" x14ac:dyDescent="0.25">
      <c r="J51" s="134"/>
      <c r="K51" s="36"/>
      <c r="L51" s="37"/>
      <c r="M51" s="37"/>
      <c r="N51" s="36"/>
      <c r="O51" s="36"/>
      <c r="P51" s="36"/>
      <c r="Q51" s="36"/>
      <c r="R51" s="36"/>
      <c r="U51" s="27"/>
    </row>
    <row r="52" spans="10:21" x14ac:dyDescent="0.25">
      <c r="J52" s="134"/>
      <c r="K52" s="36"/>
      <c r="L52" s="37"/>
      <c r="M52" s="37"/>
      <c r="N52" s="36"/>
      <c r="O52" s="36"/>
      <c r="P52" s="36"/>
      <c r="Q52" s="36"/>
      <c r="R52" s="36"/>
      <c r="U52" s="27"/>
    </row>
    <row r="53" spans="10:21" x14ac:dyDescent="0.25">
      <c r="J53" s="134"/>
      <c r="K53" s="36"/>
      <c r="L53" s="37"/>
      <c r="M53" s="37"/>
      <c r="N53" s="36"/>
      <c r="O53" s="36"/>
      <c r="P53" s="36"/>
      <c r="Q53" s="36"/>
      <c r="R53" s="36"/>
      <c r="U53" s="27"/>
    </row>
    <row r="54" spans="10:21" x14ac:dyDescent="0.25">
      <c r="J54" s="134"/>
      <c r="K54" s="36"/>
      <c r="L54" s="37"/>
      <c r="M54" s="37"/>
      <c r="N54" s="36"/>
      <c r="O54" s="36"/>
      <c r="P54" s="36"/>
      <c r="Q54" s="36"/>
      <c r="R54" s="36"/>
      <c r="U54" s="27"/>
    </row>
    <row r="55" spans="10:21" x14ac:dyDescent="0.25">
      <c r="J55" s="134"/>
      <c r="K55" s="36"/>
      <c r="L55" s="37"/>
      <c r="M55" s="37"/>
      <c r="N55" s="36"/>
      <c r="O55" s="36"/>
      <c r="P55" s="36"/>
      <c r="Q55" s="36"/>
      <c r="R55" s="36"/>
      <c r="U55" s="27"/>
    </row>
    <row r="56" spans="10:21" x14ac:dyDescent="0.25">
      <c r="J56" s="134"/>
      <c r="K56" s="36"/>
      <c r="L56" s="37"/>
      <c r="M56" s="37"/>
      <c r="N56" s="36"/>
      <c r="O56" s="36"/>
      <c r="P56" s="36"/>
      <c r="Q56" s="36"/>
      <c r="R56" s="36"/>
      <c r="U56" s="27"/>
    </row>
    <row r="57" spans="10:21" x14ac:dyDescent="0.25">
      <c r="J57" s="134"/>
      <c r="K57" s="36"/>
      <c r="L57" s="37"/>
      <c r="M57" s="37"/>
      <c r="N57" s="36"/>
      <c r="O57" s="36"/>
      <c r="P57" s="36"/>
      <c r="Q57" s="36"/>
      <c r="R57" s="36"/>
      <c r="U57" s="27"/>
    </row>
    <row r="58" spans="10:21" x14ac:dyDescent="0.25">
      <c r="J58" s="134"/>
      <c r="K58" s="36"/>
      <c r="L58" s="37"/>
      <c r="M58" s="37"/>
      <c r="N58" s="36"/>
      <c r="O58" s="36"/>
      <c r="P58" s="36"/>
      <c r="Q58" s="36"/>
      <c r="R58" s="36"/>
      <c r="U58" s="27"/>
    </row>
    <row r="59" spans="10:21" x14ac:dyDescent="0.25">
      <c r="J59" s="134"/>
      <c r="K59" s="36"/>
      <c r="L59" s="37"/>
      <c r="M59" s="37"/>
      <c r="N59" s="36"/>
      <c r="O59" s="36"/>
      <c r="P59" s="36"/>
      <c r="Q59" s="36"/>
      <c r="R59" s="36"/>
      <c r="U59" s="27"/>
    </row>
    <row r="60" spans="10:21" x14ac:dyDescent="0.25">
      <c r="J60" s="134"/>
      <c r="K60" s="36"/>
      <c r="L60" s="37"/>
      <c r="M60" s="37"/>
      <c r="N60" s="36"/>
      <c r="O60" s="36"/>
      <c r="P60" s="36"/>
      <c r="Q60" s="36"/>
      <c r="R60" s="36"/>
      <c r="U60" s="27"/>
    </row>
    <row r="61" spans="10:21" x14ac:dyDescent="0.25">
      <c r="J61" s="134"/>
      <c r="K61" s="36"/>
      <c r="L61" s="37"/>
      <c r="M61" s="37"/>
      <c r="N61" s="36"/>
      <c r="O61" s="36"/>
      <c r="P61" s="36"/>
      <c r="Q61" s="36"/>
      <c r="R61" s="36"/>
      <c r="U61" s="27"/>
    </row>
    <row r="62" spans="10:21" x14ac:dyDescent="0.25">
      <c r="J62" s="134"/>
      <c r="K62" s="36"/>
      <c r="L62" s="37"/>
      <c r="M62" s="37"/>
      <c r="N62" s="36"/>
      <c r="O62" s="36"/>
      <c r="P62" s="36"/>
      <c r="Q62" s="36"/>
      <c r="R62" s="36"/>
      <c r="U62" s="27"/>
    </row>
    <row r="63" spans="10:21" x14ac:dyDescent="0.25">
      <c r="J63" s="134"/>
      <c r="K63" s="36"/>
      <c r="L63" s="37"/>
      <c r="M63" s="37"/>
      <c r="N63" s="36"/>
      <c r="O63" s="36"/>
      <c r="P63" s="36"/>
      <c r="Q63" s="36"/>
      <c r="R63" s="36"/>
      <c r="U63" s="27"/>
    </row>
    <row r="64" spans="10:21" x14ac:dyDescent="0.25">
      <c r="J64" s="134"/>
      <c r="K64" s="36"/>
      <c r="L64" s="37"/>
      <c r="M64" s="37"/>
      <c r="N64" s="36"/>
      <c r="O64" s="36"/>
      <c r="P64" s="36"/>
      <c r="Q64" s="36"/>
      <c r="R64" s="36"/>
      <c r="U64" s="27"/>
    </row>
    <row r="65" spans="10:21" x14ac:dyDescent="0.25">
      <c r="J65" s="134"/>
      <c r="K65" s="36"/>
      <c r="L65" s="37"/>
      <c r="M65" s="37"/>
      <c r="N65" s="36"/>
      <c r="O65" s="36"/>
      <c r="P65" s="36"/>
      <c r="Q65" s="36"/>
      <c r="R65" s="36"/>
      <c r="U65" s="27"/>
    </row>
    <row r="66" spans="10:21" x14ac:dyDescent="0.25">
      <c r="J66" s="134"/>
      <c r="K66" s="36"/>
      <c r="L66" s="37"/>
      <c r="M66" s="37"/>
      <c r="N66" s="36"/>
      <c r="O66" s="36"/>
      <c r="P66" s="36"/>
      <c r="Q66" s="36"/>
      <c r="R66" s="36"/>
      <c r="U66" s="27"/>
    </row>
    <row r="67" spans="10:21" x14ac:dyDescent="0.25">
      <c r="J67" s="134"/>
      <c r="K67" s="36"/>
      <c r="L67" s="37"/>
      <c r="M67" s="37"/>
      <c r="N67" s="36"/>
      <c r="O67" s="36"/>
      <c r="P67" s="36"/>
      <c r="Q67" s="36"/>
      <c r="R67" s="36"/>
      <c r="U67" s="27"/>
    </row>
    <row r="68" spans="10:21" x14ac:dyDescent="0.25">
      <c r="J68" s="134"/>
      <c r="K68" s="36"/>
      <c r="L68" s="37"/>
      <c r="M68" s="37"/>
      <c r="N68" s="36"/>
      <c r="O68" s="36"/>
      <c r="P68" s="36"/>
      <c r="Q68" s="36"/>
      <c r="R68" s="36"/>
      <c r="U68" s="27"/>
    </row>
    <row r="69" spans="10:21" x14ac:dyDescent="0.25">
      <c r="J69" s="134"/>
      <c r="K69" s="36"/>
      <c r="L69" s="37"/>
      <c r="M69" s="37"/>
      <c r="N69" s="36"/>
      <c r="O69" s="36"/>
      <c r="P69" s="36"/>
      <c r="Q69" s="36"/>
      <c r="R69" s="36"/>
      <c r="U69" s="27"/>
    </row>
    <row r="70" spans="10:21" x14ac:dyDescent="0.25">
      <c r="J70" s="134"/>
      <c r="K70" s="36"/>
      <c r="L70" s="37"/>
      <c r="M70" s="37"/>
      <c r="N70" s="36"/>
      <c r="O70" s="36"/>
      <c r="P70" s="36"/>
      <c r="Q70" s="36"/>
      <c r="R70" s="36"/>
      <c r="U70" s="27"/>
    </row>
    <row r="71" spans="10:21" x14ac:dyDescent="0.25">
      <c r="J71" s="134"/>
      <c r="K71" s="36"/>
      <c r="L71" s="37"/>
      <c r="M71" s="37"/>
      <c r="N71" s="36"/>
      <c r="O71" s="36"/>
      <c r="P71" s="36"/>
      <c r="Q71" s="36"/>
      <c r="R71" s="36"/>
      <c r="U71" s="27"/>
    </row>
    <row r="72" spans="10:21" x14ac:dyDescent="0.25">
      <c r="J72" s="134"/>
      <c r="K72" s="36"/>
      <c r="L72" s="37"/>
      <c r="M72" s="37"/>
      <c r="N72" s="36"/>
      <c r="O72" s="36"/>
      <c r="P72" s="36"/>
      <c r="Q72" s="36"/>
      <c r="R72" s="36"/>
      <c r="U72" s="27"/>
    </row>
    <row r="73" spans="10:21" x14ac:dyDescent="0.25">
      <c r="J73" s="134"/>
      <c r="K73" s="36"/>
      <c r="L73" s="37"/>
      <c r="M73" s="37"/>
      <c r="N73" s="36"/>
      <c r="O73" s="36"/>
      <c r="P73" s="36"/>
      <c r="Q73" s="36"/>
      <c r="R73" s="36"/>
      <c r="U73" s="27"/>
    </row>
    <row r="74" spans="10:21" x14ac:dyDescent="0.25">
      <c r="J74" s="134"/>
      <c r="K74" s="36"/>
      <c r="L74" s="37"/>
      <c r="M74" s="37"/>
      <c r="N74" s="36"/>
      <c r="O74" s="36"/>
      <c r="P74" s="36"/>
      <c r="Q74" s="36"/>
      <c r="R74" s="36"/>
      <c r="U74" s="27"/>
    </row>
    <row r="75" spans="10:21" x14ac:dyDescent="0.25">
      <c r="J75" s="134"/>
      <c r="K75" s="36"/>
      <c r="L75" s="37"/>
      <c r="M75" s="37"/>
      <c r="N75" s="36"/>
      <c r="O75" s="36"/>
      <c r="P75" s="36"/>
      <c r="Q75" s="36"/>
      <c r="R75" s="36"/>
      <c r="U75" s="27"/>
    </row>
    <row r="76" spans="10:21" x14ac:dyDescent="0.25">
      <c r="J76" s="134"/>
      <c r="K76" s="36"/>
      <c r="L76" s="37"/>
      <c r="M76" s="37"/>
      <c r="N76" s="37"/>
      <c r="O76" s="36"/>
      <c r="P76" s="36"/>
      <c r="Q76" s="36"/>
      <c r="R76" s="36"/>
      <c r="U76" s="27"/>
    </row>
    <row r="77" spans="10:21" x14ac:dyDescent="0.25">
      <c r="J77" s="134"/>
      <c r="K77" s="36"/>
      <c r="L77" s="37"/>
      <c r="M77" s="37"/>
      <c r="N77" s="37"/>
      <c r="O77" s="36"/>
      <c r="P77" s="36"/>
      <c r="Q77" s="36"/>
      <c r="R77" s="36"/>
      <c r="U77" s="27"/>
    </row>
    <row r="78" spans="10:21" x14ac:dyDescent="0.25">
      <c r="J78" s="134"/>
      <c r="K78" s="36"/>
      <c r="L78" s="37"/>
      <c r="M78" s="37"/>
      <c r="N78" s="37"/>
      <c r="O78" s="36"/>
      <c r="P78" s="36"/>
      <c r="Q78" s="36"/>
      <c r="R78" s="36"/>
      <c r="U78" s="27"/>
    </row>
    <row r="79" spans="10:21" x14ac:dyDescent="0.25">
      <c r="J79" s="134"/>
      <c r="K79" s="36"/>
      <c r="L79" s="37"/>
      <c r="M79" s="37"/>
      <c r="N79" s="37"/>
      <c r="O79" s="36"/>
      <c r="P79" s="36"/>
      <c r="Q79" s="36"/>
      <c r="R79" s="36"/>
      <c r="U79" s="27"/>
    </row>
    <row r="80" spans="10:21" x14ac:dyDescent="0.25">
      <c r="J80" s="134"/>
      <c r="K80" s="36"/>
      <c r="L80" s="37"/>
      <c r="M80" s="37"/>
      <c r="N80" s="37"/>
      <c r="O80" s="36"/>
      <c r="P80" s="36"/>
      <c r="Q80" s="36"/>
      <c r="R80" s="36"/>
      <c r="U80" s="27"/>
    </row>
    <row r="81" spans="10:21" x14ac:dyDescent="0.25">
      <c r="J81" s="134"/>
      <c r="K81" s="36"/>
      <c r="L81" s="37"/>
      <c r="M81" s="37"/>
      <c r="N81" s="37"/>
      <c r="O81" s="36"/>
      <c r="P81" s="36"/>
      <c r="Q81" s="36"/>
      <c r="R81" s="36"/>
      <c r="U81" s="27"/>
    </row>
    <row r="82" spans="10:21" x14ac:dyDescent="0.25">
      <c r="J82" s="134"/>
      <c r="K82" s="36"/>
      <c r="L82" s="37"/>
      <c r="M82" s="37"/>
      <c r="N82" s="37"/>
      <c r="O82" s="36"/>
      <c r="P82" s="36"/>
      <c r="Q82" s="36"/>
      <c r="R82" s="36"/>
      <c r="U82" s="27"/>
    </row>
    <row r="83" spans="10:21" x14ac:dyDescent="0.25">
      <c r="J83" s="134"/>
      <c r="K83" s="36"/>
      <c r="L83" s="37"/>
      <c r="M83" s="37"/>
      <c r="N83" s="37"/>
      <c r="O83" s="36"/>
      <c r="P83" s="36"/>
      <c r="Q83" s="36"/>
      <c r="R83" s="36"/>
      <c r="U83" s="27"/>
    </row>
    <row r="84" spans="10:21" x14ac:dyDescent="0.25">
      <c r="J84" s="134"/>
      <c r="K84" s="36"/>
      <c r="L84" s="37"/>
      <c r="M84" s="37"/>
      <c r="N84" s="37"/>
      <c r="O84" s="36"/>
      <c r="P84" s="36"/>
      <c r="Q84" s="36"/>
      <c r="R84" s="36"/>
      <c r="U84" s="27"/>
    </row>
    <row r="85" spans="10:21" x14ac:dyDescent="0.25">
      <c r="J85" s="134"/>
      <c r="K85" s="36"/>
      <c r="L85" s="37"/>
      <c r="M85" s="37"/>
      <c r="N85" s="37"/>
      <c r="O85" s="36"/>
      <c r="P85" s="36"/>
      <c r="Q85" s="36"/>
      <c r="R85" s="36"/>
      <c r="U85" s="27"/>
    </row>
    <row r="86" spans="10:21" x14ac:dyDescent="0.25">
      <c r="J86" s="134"/>
      <c r="K86" s="36"/>
      <c r="L86" s="37"/>
      <c r="M86" s="37"/>
      <c r="N86" s="37"/>
      <c r="O86" s="36"/>
      <c r="P86" s="36"/>
      <c r="Q86" s="36"/>
      <c r="R86" s="36"/>
      <c r="U86" s="27"/>
    </row>
    <row r="87" spans="10:21" x14ac:dyDescent="0.25">
      <c r="J87" s="134"/>
      <c r="K87" s="36"/>
      <c r="L87" s="37"/>
      <c r="M87" s="37"/>
      <c r="N87" s="37"/>
      <c r="O87" s="36"/>
      <c r="P87" s="36"/>
      <c r="Q87" s="36"/>
      <c r="R87" s="36"/>
      <c r="U87" s="27"/>
    </row>
    <row r="88" spans="10:21" x14ac:dyDescent="0.25">
      <c r="J88" s="134"/>
      <c r="K88" s="36"/>
      <c r="L88" s="37"/>
      <c r="M88" s="37"/>
      <c r="N88" s="37"/>
      <c r="O88" s="36"/>
      <c r="P88" s="36"/>
      <c r="Q88" s="36"/>
      <c r="R88" s="36"/>
      <c r="U88" s="27"/>
    </row>
    <row r="89" spans="10:21" x14ac:dyDescent="0.25">
      <c r="J89" s="134"/>
      <c r="K89" s="36"/>
      <c r="L89" s="37"/>
      <c r="M89" s="37"/>
      <c r="N89" s="37"/>
      <c r="O89" s="36"/>
      <c r="P89" s="36"/>
      <c r="Q89" s="36"/>
      <c r="R89" s="36"/>
      <c r="U89" s="27"/>
    </row>
    <row r="90" spans="10:21" x14ac:dyDescent="0.25">
      <c r="J90" s="134"/>
      <c r="K90" s="36"/>
      <c r="L90" s="37"/>
      <c r="M90" s="37"/>
      <c r="N90" s="37"/>
      <c r="O90" s="36"/>
      <c r="P90" s="36"/>
      <c r="Q90" s="36"/>
      <c r="R90" s="36"/>
      <c r="U90" s="27"/>
    </row>
    <row r="91" spans="10:21" x14ac:dyDescent="0.25">
      <c r="J91" s="134"/>
      <c r="K91" s="36"/>
      <c r="L91" s="37"/>
      <c r="M91" s="37"/>
      <c r="N91" s="37"/>
      <c r="O91" s="36"/>
      <c r="P91" s="36"/>
      <c r="Q91" s="36"/>
      <c r="R91" s="36"/>
      <c r="U91" s="27"/>
    </row>
    <row r="92" spans="10:21" x14ac:dyDescent="0.25">
      <c r="J92" s="134"/>
      <c r="K92" s="36"/>
      <c r="L92" s="37"/>
      <c r="M92" s="37"/>
      <c r="N92" s="37"/>
      <c r="O92" s="36"/>
      <c r="P92" s="36"/>
      <c r="Q92" s="36"/>
      <c r="R92" s="36"/>
      <c r="U92" s="27"/>
    </row>
    <row r="93" spans="10:21" x14ac:dyDescent="0.25">
      <c r="J93" s="134"/>
      <c r="K93" s="36"/>
      <c r="L93" s="37"/>
      <c r="M93" s="37"/>
      <c r="N93" s="37"/>
      <c r="O93" s="36"/>
      <c r="P93" s="36"/>
      <c r="Q93" s="36"/>
      <c r="R93" s="36"/>
      <c r="U93" s="27"/>
    </row>
    <row r="94" spans="10:21" x14ac:dyDescent="0.25">
      <c r="J94" s="134"/>
      <c r="K94" s="36"/>
      <c r="L94" s="37"/>
      <c r="M94" s="37"/>
      <c r="N94" s="37"/>
      <c r="O94" s="36"/>
      <c r="P94" s="36"/>
      <c r="Q94" s="36"/>
      <c r="R94" s="36"/>
      <c r="U94" s="27"/>
    </row>
    <row r="95" spans="10:21" x14ac:dyDescent="0.25">
      <c r="J95" s="134"/>
      <c r="K95" s="36"/>
      <c r="L95" s="37"/>
      <c r="M95" s="37"/>
      <c r="N95" s="37"/>
      <c r="O95" s="36"/>
      <c r="P95" s="36"/>
      <c r="Q95" s="36"/>
      <c r="R95" s="36"/>
      <c r="U95" s="27"/>
    </row>
    <row r="96" spans="10:21" x14ac:dyDescent="0.25">
      <c r="J96" s="134"/>
      <c r="K96" s="36"/>
      <c r="L96" s="37"/>
      <c r="M96" s="37"/>
      <c r="N96" s="37"/>
      <c r="O96" s="36"/>
      <c r="P96" s="36"/>
      <c r="Q96" s="36"/>
      <c r="R96" s="36"/>
      <c r="U96" s="27"/>
    </row>
    <row r="97" spans="10:21" x14ac:dyDescent="0.25">
      <c r="J97" s="134"/>
      <c r="K97" s="36"/>
      <c r="L97" s="37"/>
      <c r="M97" s="37"/>
      <c r="N97" s="37"/>
      <c r="O97" s="36"/>
      <c r="P97" s="36"/>
      <c r="Q97" s="36"/>
      <c r="R97" s="36"/>
      <c r="U97" s="27"/>
    </row>
    <row r="98" spans="10:21" x14ac:dyDescent="0.25">
      <c r="J98" s="134"/>
      <c r="K98" s="36"/>
      <c r="L98" s="37"/>
      <c r="M98" s="37"/>
      <c r="N98" s="37"/>
      <c r="O98" s="36"/>
      <c r="P98" s="36"/>
      <c r="Q98" s="36"/>
      <c r="R98" s="36"/>
      <c r="U98" s="27"/>
    </row>
    <row r="99" spans="10:21" x14ac:dyDescent="0.25">
      <c r="J99" s="134"/>
      <c r="K99" s="36"/>
      <c r="L99" s="37"/>
      <c r="M99" s="37"/>
      <c r="N99" s="37"/>
      <c r="O99" s="36"/>
      <c r="P99" s="36"/>
      <c r="Q99" s="36"/>
      <c r="R99" s="36"/>
      <c r="U99" s="27"/>
    </row>
    <row r="100" spans="10:21" x14ac:dyDescent="0.25">
      <c r="J100" s="134"/>
      <c r="K100" s="36"/>
      <c r="L100" s="37"/>
      <c r="M100" s="37"/>
      <c r="N100" s="37"/>
      <c r="O100" s="36"/>
      <c r="P100" s="36"/>
      <c r="Q100" s="36"/>
      <c r="R100" s="36"/>
      <c r="U100" s="27"/>
    </row>
    <row r="101" spans="10:21" x14ac:dyDescent="0.25">
      <c r="J101" s="134"/>
      <c r="K101" s="36"/>
      <c r="L101" s="37"/>
      <c r="M101" s="37"/>
      <c r="N101" s="37"/>
      <c r="O101" s="36"/>
      <c r="P101" s="36"/>
      <c r="Q101" s="36"/>
      <c r="R101" s="36"/>
      <c r="U101" s="27"/>
    </row>
    <row r="102" spans="10:21" x14ac:dyDescent="0.25">
      <c r="J102" s="134"/>
      <c r="K102" s="36"/>
      <c r="L102" s="37"/>
      <c r="M102" s="37"/>
      <c r="N102" s="37"/>
      <c r="O102" s="36"/>
      <c r="P102" s="36"/>
      <c r="Q102" s="36"/>
      <c r="R102" s="36"/>
      <c r="U102" s="27"/>
    </row>
    <row r="103" spans="10:21" x14ac:dyDescent="0.25">
      <c r="J103" s="134"/>
      <c r="K103" s="36"/>
      <c r="L103" s="37"/>
      <c r="M103" s="37"/>
      <c r="N103" s="37"/>
      <c r="O103" s="36"/>
      <c r="P103" s="36"/>
      <c r="Q103" s="36"/>
      <c r="R103" s="36"/>
      <c r="U103" s="27"/>
    </row>
    <row r="104" spans="10:21" x14ac:dyDescent="0.25">
      <c r="J104" s="134"/>
      <c r="K104" s="36"/>
      <c r="L104" s="37"/>
      <c r="M104" s="37"/>
      <c r="N104" s="37"/>
      <c r="O104" s="36"/>
      <c r="P104" s="36"/>
      <c r="Q104" s="36"/>
      <c r="R104" s="36"/>
      <c r="U104" s="27"/>
    </row>
    <row r="105" spans="10:21" x14ac:dyDescent="0.25">
      <c r="J105" s="134"/>
      <c r="K105" s="36"/>
      <c r="L105" s="37"/>
      <c r="M105" s="37"/>
      <c r="N105" s="37"/>
      <c r="O105" s="36"/>
      <c r="P105" s="36"/>
      <c r="Q105" s="36"/>
      <c r="R105" s="36"/>
      <c r="U105" s="27"/>
    </row>
    <row r="106" spans="10:21" x14ac:dyDescent="0.25">
      <c r="J106" s="134"/>
      <c r="K106" s="36"/>
      <c r="L106" s="37"/>
      <c r="M106" s="37"/>
      <c r="N106" s="37"/>
      <c r="O106" s="36"/>
      <c r="P106" s="36"/>
      <c r="Q106" s="36"/>
      <c r="R106" s="36"/>
      <c r="U106" s="27"/>
    </row>
    <row r="107" spans="10:21" x14ac:dyDescent="0.25">
      <c r="J107" s="134"/>
      <c r="K107" s="36"/>
      <c r="L107" s="37"/>
      <c r="M107" s="37"/>
      <c r="N107" s="37"/>
      <c r="O107" s="36"/>
      <c r="P107" s="36"/>
      <c r="Q107" s="36"/>
      <c r="R107" s="36"/>
      <c r="U107" s="27"/>
    </row>
    <row r="108" spans="10:21" x14ac:dyDescent="0.25">
      <c r="J108" s="134"/>
      <c r="K108" s="36"/>
      <c r="L108" s="37"/>
      <c r="M108" s="37"/>
      <c r="N108" s="37"/>
      <c r="O108" s="36"/>
      <c r="P108" s="36"/>
      <c r="Q108" s="36"/>
      <c r="R108" s="36"/>
      <c r="U108" s="27"/>
    </row>
    <row r="109" spans="10:21" x14ac:dyDescent="0.25">
      <c r="J109" s="134"/>
      <c r="K109" s="36"/>
      <c r="L109" s="37"/>
      <c r="M109" s="37"/>
      <c r="N109" s="37"/>
      <c r="O109" s="36"/>
      <c r="P109" s="36"/>
      <c r="Q109" s="36"/>
      <c r="R109" s="36"/>
      <c r="U109" s="27"/>
    </row>
    <row r="110" spans="10:21" x14ac:dyDescent="0.25">
      <c r="J110" s="134"/>
      <c r="K110" s="36"/>
      <c r="L110" s="37"/>
      <c r="M110" s="37"/>
      <c r="N110" s="37"/>
      <c r="O110" s="36"/>
      <c r="P110" s="36"/>
      <c r="Q110" s="36"/>
      <c r="R110" s="36"/>
      <c r="U110" s="27"/>
    </row>
    <row r="111" spans="10:21" x14ac:dyDescent="0.25">
      <c r="J111" s="134"/>
      <c r="K111" s="36"/>
      <c r="L111" s="37"/>
      <c r="M111" s="37"/>
      <c r="N111" s="37"/>
      <c r="O111" s="36"/>
      <c r="P111" s="36"/>
      <c r="Q111" s="36"/>
      <c r="R111" s="36"/>
      <c r="U111" s="27"/>
    </row>
    <row r="112" spans="10:21" x14ac:dyDescent="0.25">
      <c r="J112" s="134"/>
      <c r="K112" s="36"/>
      <c r="L112" s="37"/>
      <c r="M112" s="37"/>
      <c r="N112" s="37"/>
      <c r="O112" s="36"/>
      <c r="P112" s="36"/>
      <c r="Q112" s="36"/>
      <c r="R112" s="36"/>
      <c r="U112" s="27"/>
    </row>
    <row r="113" spans="10:21" x14ac:dyDescent="0.25">
      <c r="J113" s="134"/>
      <c r="K113" s="36"/>
      <c r="L113" s="37"/>
      <c r="M113" s="37"/>
      <c r="N113" s="37"/>
      <c r="O113" s="36"/>
      <c r="P113" s="36"/>
      <c r="Q113" s="36"/>
      <c r="R113" s="36"/>
      <c r="U113" s="27"/>
    </row>
    <row r="114" spans="10:21" x14ac:dyDescent="0.25">
      <c r="J114" s="134"/>
      <c r="K114" s="36"/>
      <c r="L114" s="37"/>
      <c r="M114" s="37"/>
      <c r="N114" s="37"/>
      <c r="O114" s="36"/>
      <c r="P114" s="36"/>
      <c r="Q114" s="36"/>
      <c r="R114" s="36"/>
      <c r="U114" s="27"/>
    </row>
    <row r="115" spans="10:21" x14ac:dyDescent="0.25">
      <c r="J115" s="134"/>
      <c r="K115" s="36"/>
      <c r="L115" s="37"/>
      <c r="M115" s="37"/>
      <c r="N115" s="37"/>
      <c r="O115" s="36"/>
      <c r="P115" s="36"/>
      <c r="Q115" s="36"/>
      <c r="R115" s="36"/>
      <c r="U115" s="27"/>
    </row>
    <row r="116" spans="10:21" x14ac:dyDescent="0.25">
      <c r="J116" s="134"/>
      <c r="K116" s="36"/>
      <c r="L116" s="37"/>
      <c r="M116" s="37"/>
      <c r="N116" s="37"/>
      <c r="O116" s="36"/>
      <c r="P116" s="36"/>
      <c r="Q116" s="36"/>
      <c r="R116" s="36"/>
      <c r="U116" s="27"/>
    </row>
    <row r="117" spans="10:21" x14ac:dyDescent="0.25">
      <c r="J117" s="134"/>
      <c r="K117" s="36"/>
      <c r="L117" s="37"/>
      <c r="M117" s="37"/>
      <c r="N117" s="37"/>
      <c r="O117" s="36"/>
      <c r="P117" s="36"/>
      <c r="Q117" s="36"/>
      <c r="R117" s="36"/>
      <c r="U117" s="27"/>
    </row>
    <row r="118" spans="10:21" x14ac:dyDescent="0.25">
      <c r="J118" s="134"/>
      <c r="K118" s="36"/>
      <c r="L118" s="37"/>
      <c r="M118" s="37"/>
      <c r="N118" s="37"/>
      <c r="O118" s="36"/>
      <c r="P118" s="36"/>
      <c r="Q118" s="36"/>
      <c r="R118" s="36"/>
      <c r="U118" s="27"/>
    </row>
    <row r="119" spans="10:21" x14ac:dyDescent="0.25">
      <c r="J119" s="134"/>
      <c r="K119" s="36"/>
      <c r="L119" s="37"/>
      <c r="M119" s="37"/>
      <c r="N119" s="37"/>
      <c r="O119" s="36"/>
      <c r="P119" s="36"/>
      <c r="Q119" s="36"/>
      <c r="R119" s="36"/>
      <c r="U119" s="27"/>
    </row>
    <row r="120" spans="10:21" x14ac:dyDescent="0.25">
      <c r="J120" s="134"/>
      <c r="K120" s="36"/>
      <c r="L120" s="37"/>
      <c r="M120" s="37"/>
      <c r="N120" s="37"/>
      <c r="O120" s="36"/>
      <c r="P120" s="36"/>
      <c r="Q120" s="36"/>
      <c r="R120" s="36"/>
      <c r="U120" s="27"/>
    </row>
    <row r="121" spans="10:21" x14ac:dyDescent="0.25">
      <c r="J121" s="134"/>
      <c r="K121" s="36"/>
      <c r="L121" s="37"/>
      <c r="M121" s="37"/>
      <c r="N121" s="37"/>
      <c r="O121" s="36"/>
      <c r="P121" s="36"/>
      <c r="Q121" s="36"/>
      <c r="R121" s="36"/>
      <c r="U121" s="27"/>
    </row>
    <row r="122" spans="10:21" x14ac:dyDescent="0.25">
      <c r="J122" s="134"/>
      <c r="K122" s="36"/>
      <c r="L122" s="37"/>
      <c r="M122" s="37"/>
      <c r="N122" s="37"/>
      <c r="O122" s="36"/>
      <c r="P122" s="36"/>
      <c r="Q122" s="36"/>
      <c r="R122" s="36"/>
      <c r="U122" s="27"/>
    </row>
    <row r="123" spans="10:21" x14ac:dyDescent="0.25">
      <c r="J123" s="134"/>
      <c r="K123" s="36"/>
      <c r="L123" s="37"/>
      <c r="M123" s="37"/>
      <c r="N123" s="37"/>
      <c r="O123" s="36"/>
      <c r="P123" s="36"/>
      <c r="Q123" s="36"/>
      <c r="R123" s="36"/>
      <c r="U123" s="27"/>
    </row>
    <row r="124" spans="10:21" x14ac:dyDescent="0.25">
      <c r="J124" s="134"/>
      <c r="K124" s="36"/>
      <c r="L124" s="37"/>
      <c r="M124" s="37"/>
      <c r="N124" s="37"/>
      <c r="O124" s="36"/>
      <c r="P124" s="36"/>
      <c r="Q124" s="36"/>
      <c r="R124" s="36"/>
      <c r="U124" s="27"/>
    </row>
    <row r="125" spans="10:21" x14ac:dyDescent="0.25">
      <c r="J125" s="134"/>
      <c r="K125" s="36"/>
      <c r="L125" s="37"/>
      <c r="M125" s="37"/>
      <c r="N125" s="37"/>
      <c r="O125" s="36"/>
      <c r="P125" s="36"/>
      <c r="Q125" s="36"/>
      <c r="R125" s="36"/>
      <c r="U125" s="27"/>
    </row>
    <row r="126" spans="10:21" x14ac:dyDescent="0.25">
      <c r="J126" s="134"/>
      <c r="K126" s="36"/>
      <c r="L126" s="37"/>
      <c r="M126" s="37"/>
      <c r="N126" s="37"/>
      <c r="O126" s="36"/>
      <c r="P126" s="36"/>
      <c r="Q126" s="36"/>
      <c r="R126" s="36"/>
      <c r="U126" s="27"/>
    </row>
    <row r="127" spans="10:21" x14ac:dyDescent="0.25">
      <c r="J127" s="134"/>
      <c r="K127" s="36"/>
      <c r="L127" s="37"/>
      <c r="M127" s="37"/>
      <c r="N127" s="37"/>
      <c r="O127" s="36"/>
      <c r="P127" s="36"/>
      <c r="Q127" s="36"/>
      <c r="R127" s="36"/>
      <c r="U127" s="27"/>
    </row>
    <row r="128" spans="10:21" x14ac:dyDescent="0.25">
      <c r="J128" s="134"/>
      <c r="K128" s="36"/>
      <c r="L128" s="37"/>
      <c r="M128" s="37"/>
      <c r="N128" s="37"/>
      <c r="O128" s="36"/>
      <c r="P128" s="36"/>
      <c r="Q128" s="36"/>
      <c r="R128" s="36"/>
      <c r="U128" s="27"/>
    </row>
    <row r="129" spans="10:21" x14ac:dyDescent="0.25">
      <c r="J129" s="134"/>
      <c r="K129" s="36"/>
      <c r="L129" s="37"/>
      <c r="M129" s="37"/>
      <c r="N129" s="37"/>
      <c r="O129" s="36"/>
      <c r="P129" s="36"/>
      <c r="Q129" s="36"/>
      <c r="R129" s="36"/>
      <c r="U129" s="27"/>
    </row>
    <row r="130" spans="10:21" x14ac:dyDescent="0.25">
      <c r="J130" s="134"/>
      <c r="K130" s="36"/>
      <c r="L130" s="37"/>
      <c r="M130" s="37"/>
      <c r="N130" s="37"/>
      <c r="O130" s="36"/>
      <c r="P130" s="36"/>
      <c r="Q130" s="36"/>
      <c r="R130" s="36"/>
      <c r="U130" s="27"/>
    </row>
    <row r="131" spans="10:21" x14ac:dyDescent="0.25">
      <c r="J131" s="134"/>
      <c r="K131" s="36"/>
      <c r="L131" s="37"/>
      <c r="M131" s="37"/>
      <c r="N131" s="37"/>
      <c r="O131" s="36"/>
      <c r="P131" s="36"/>
      <c r="Q131" s="36"/>
      <c r="R131" s="36"/>
      <c r="U131" s="27"/>
    </row>
    <row r="132" spans="10:21" x14ac:dyDescent="0.25">
      <c r="J132" s="134"/>
      <c r="K132" s="36"/>
      <c r="L132" s="37"/>
      <c r="M132" s="37"/>
      <c r="N132" s="37"/>
      <c r="O132" s="36"/>
      <c r="P132" s="36"/>
      <c r="Q132" s="36"/>
      <c r="R132" s="36"/>
      <c r="U132" s="27"/>
    </row>
    <row r="133" spans="10:21" x14ac:dyDescent="0.25">
      <c r="J133" s="134"/>
      <c r="K133" s="36"/>
      <c r="L133" s="37"/>
      <c r="M133" s="37"/>
      <c r="N133" s="37"/>
      <c r="O133" s="36"/>
      <c r="P133" s="36"/>
      <c r="Q133" s="36"/>
      <c r="R133" s="36"/>
      <c r="U133" s="27"/>
    </row>
    <row r="134" spans="10:21" x14ac:dyDescent="0.25">
      <c r="J134" s="134"/>
      <c r="K134" s="36"/>
      <c r="L134" s="37"/>
      <c r="M134" s="37"/>
      <c r="N134" s="37"/>
      <c r="O134" s="36"/>
      <c r="P134" s="36"/>
      <c r="Q134" s="36"/>
      <c r="R134" s="36"/>
      <c r="U134" s="27"/>
    </row>
    <row r="135" spans="10:21" x14ac:dyDescent="0.25">
      <c r="J135" s="134"/>
      <c r="K135" s="36"/>
      <c r="L135" s="37"/>
      <c r="M135" s="37"/>
      <c r="N135" s="37"/>
      <c r="O135" s="36"/>
      <c r="P135" s="36"/>
      <c r="Q135" s="36"/>
      <c r="R135" s="36"/>
      <c r="U135" s="27"/>
    </row>
    <row r="136" spans="10:21" x14ac:dyDescent="0.25">
      <c r="J136" s="134"/>
      <c r="K136" s="36"/>
      <c r="L136" s="37"/>
      <c r="M136" s="37"/>
      <c r="N136" s="37"/>
      <c r="O136" s="36"/>
      <c r="P136" s="36"/>
      <c r="Q136" s="36"/>
      <c r="R136" s="36"/>
      <c r="U136" s="27"/>
    </row>
    <row r="137" spans="10:21" x14ac:dyDescent="0.25">
      <c r="J137" s="134"/>
      <c r="K137" s="36"/>
      <c r="L137" s="37"/>
      <c r="M137" s="37"/>
      <c r="N137" s="37"/>
      <c r="O137" s="36"/>
      <c r="P137" s="36"/>
      <c r="Q137" s="36"/>
      <c r="R137" s="36"/>
      <c r="U137" s="27"/>
    </row>
    <row r="138" spans="10:21" x14ac:dyDescent="0.25">
      <c r="J138" s="134"/>
      <c r="K138" s="36"/>
      <c r="L138" s="37"/>
      <c r="M138" s="37"/>
      <c r="N138" s="37"/>
      <c r="O138" s="36"/>
      <c r="P138" s="36"/>
      <c r="Q138" s="36"/>
      <c r="R138" s="36"/>
      <c r="U138" s="27"/>
    </row>
    <row r="139" spans="10:21" x14ac:dyDescent="0.25">
      <c r="J139" s="134"/>
      <c r="K139" s="36"/>
      <c r="L139" s="37"/>
      <c r="M139" s="37"/>
      <c r="N139" s="37"/>
      <c r="O139" s="36"/>
      <c r="P139" s="36"/>
      <c r="Q139" s="36"/>
      <c r="R139" s="36"/>
      <c r="U139" s="27"/>
    </row>
    <row r="140" spans="10:21" x14ac:dyDescent="0.25">
      <c r="J140" s="134"/>
      <c r="K140" s="36"/>
      <c r="L140" s="37"/>
      <c r="M140" s="37"/>
      <c r="N140" s="37"/>
      <c r="O140" s="36"/>
      <c r="P140" s="36"/>
      <c r="Q140" s="36"/>
      <c r="R140" s="36"/>
      <c r="U140" s="27"/>
    </row>
    <row r="141" spans="10:21" x14ac:dyDescent="0.25">
      <c r="J141" s="134"/>
      <c r="K141" s="36"/>
      <c r="L141" s="37"/>
      <c r="M141" s="37"/>
      <c r="N141" s="37"/>
      <c r="O141" s="36"/>
      <c r="P141" s="36"/>
      <c r="Q141" s="36"/>
      <c r="R141" s="36"/>
      <c r="U141" s="27"/>
    </row>
    <row r="142" spans="10:21" x14ac:dyDescent="0.25">
      <c r="J142" s="134"/>
      <c r="K142" s="36"/>
      <c r="L142" s="37"/>
      <c r="M142" s="37"/>
      <c r="N142" s="37"/>
      <c r="O142" s="36"/>
      <c r="P142" s="36"/>
      <c r="Q142" s="36"/>
      <c r="R142" s="36"/>
      <c r="U142" s="27"/>
    </row>
    <row r="143" spans="10:21" x14ac:dyDescent="0.25">
      <c r="J143" s="134"/>
      <c r="K143" s="36"/>
      <c r="L143" s="37"/>
      <c r="M143" s="37"/>
      <c r="N143" s="37"/>
      <c r="O143" s="36"/>
      <c r="P143" s="36"/>
      <c r="Q143" s="36"/>
      <c r="R143" s="36"/>
      <c r="U143" s="27"/>
    </row>
    <row r="144" spans="10:21" x14ac:dyDescent="0.25">
      <c r="J144" s="134"/>
      <c r="K144" s="36"/>
      <c r="L144" s="37"/>
      <c r="M144" s="37"/>
      <c r="N144" s="37"/>
      <c r="O144" s="36"/>
      <c r="P144" s="36"/>
      <c r="Q144" s="36"/>
      <c r="R144" s="36"/>
      <c r="U144" s="27"/>
    </row>
    <row r="145" spans="10:21" x14ac:dyDescent="0.25">
      <c r="J145" s="134"/>
      <c r="K145" s="36"/>
      <c r="L145" s="37"/>
      <c r="M145" s="37"/>
      <c r="N145" s="37"/>
      <c r="O145" s="36"/>
      <c r="P145" s="36"/>
      <c r="Q145" s="36"/>
      <c r="R145" s="36"/>
      <c r="U145" s="27"/>
    </row>
    <row r="146" spans="10:21" x14ac:dyDescent="0.25">
      <c r="J146" s="134"/>
      <c r="K146" s="36"/>
      <c r="L146" s="37"/>
      <c r="M146" s="37"/>
      <c r="N146" s="37"/>
      <c r="O146" s="36"/>
      <c r="P146" s="36"/>
      <c r="Q146" s="36"/>
      <c r="R146" s="36"/>
      <c r="U146" s="27"/>
    </row>
    <row r="147" spans="10:21" x14ac:dyDescent="0.25">
      <c r="J147" s="134"/>
      <c r="K147" s="36"/>
      <c r="L147" s="37"/>
      <c r="M147" s="37"/>
      <c r="N147" s="37"/>
      <c r="O147" s="36"/>
      <c r="P147" s="36"/>
      <c r="Q147" s="36"/>
      <c r="R147" s="36"/>
      <c r="U147" s="27"/>
    </row>
    <row r="148" spans="10:21" x14ac:dyDescent="0.25">
      <c r="J148" s="134"/>
      <c r="K148" s="36"/>
      <c r="L148" s="37"/>
      <c r="M148" s="37"/>
      <c r="N148" s="37"/>
      <c r="O148" s="36"/>
      <c r="P148" s="36"/>
      <c r="Q148" s="36"/>
      <c r="R148" s="36"/>
      <c r="U148" s="27"/>
    </row>
    <row r="149" spans="10:21" x14ac:dyDescent="0.25">
      <c r="J149" s="134"/>
      <c r="K149" s="36"/>
      <c r="L149" s="37"/>
      <c r="M149" s="37"/>
      <c r="N149" s="37"/>
      <c r="O149" s="36"/>
      <c r="P149" s="36"/>
      <c r="Q149" s="36"/>
      <c r="R149" s="36"/>
      <c r="U149" s="27"/>
    </row>
    <row r="150" spans="10:21" x14ac:dyDescent="0.25">
      <c r="J150" s="134"/>
      <c r="K150" s="36"/>
      <c r="L150" s="37"/>
      <c r="M150" s="37"/>
      <c r="N150" s="37"/>
      <c r="O150" s="36"/>
      <c r="P150" s="36"/>
      <c r="Q150" s="36"/>
      <c r="R150" s="36"/>
      <c r="U150" s="27"/>
    </row>
    <row r="151" spans="10:21" x14ac:dyDescent="0.25">
      <c r="J151" s="134"/>
      <c r="K151" s="36"/>
      <c r="L151" s="37"/>
      <c r="M151" s="37"/>
      <c r="N151" s="37"/>
      <c r="O151" s="36"/>
      <c r="P151" s="36"/>
      <c r="Q151" s="36"/>
      <c r="R151" s="36"/>
      <c r="U151" s="27"/>
    </row>
    <row r="152" spans="10:21" x14ac:dyDescent="0.25">
      <c r="J152" s="134"/>
      <c r="K152" s="36"/>
      <c r="L152" s="37"/>
      <c r="M152" s="37"/>
      <c r="N152" s="37"/>
      <c r="O152" s="36"/>
      <c r="P152" s="36"/>
      <c r="Q152" s="36"/>
      <c r="R152" s="36"/>
      <c r="U152" s="27"/>
    </row>
    <row r="153" spans="10:21" x14ac:dyDescent="0.25">
      <c r="J153" s="134"/>
      <c r="K153" s="36"/>
      <c r="L153" s="37"/>
      <c r="M153" s="37"/>
      <c r="N153" s="37"/>
      <c r="O153" s="36"/>
      <c r="P153" s="36"/>
      <c r="Q153" s="36"/>
      <c r="R153" s="36"/>
      <c r="U153" s="27"/>
    </row>
    <row r="154" spans="10:21" x14ac:dyDescent="0.25">
      <c r="J154" s="134"/>
      <c r="K154" s="36"/>
      <c r="L154" s="37"/>
      <c r="M154" s="37"/>
      <c r="N154" s="37"/>
      <c r="O154" s="36"/>
      <c r="P154" s="36"/>
      <c r="Q154" s="36"/>
      <c r="R154" s="36"/>
      <c r="U154" s="27"/>
    </row>
    <row r="155" spans="10:21" x14ac:dyDescent="0.25">
      <c r="J155" s="134"/>
      <c r="K155" s="36"/>
      <c r="L155" s="37"/>
      <c r="M155" s="37"/>
      <c r="N155" s="37"/>
      <c r="O155" s="36"/>
      <c r="P155" s="36"/>
      <c r="Q155" s="36"/>
      <c r="R155" s="36"/>
      <c r="U155" s="27"/>
    </row>
    <row r="156" spans="10:21" x14ac:dyDescent="0.25">
      <c r="J156" s="134"/>
      <c r="K156" s="36"/>
      <c r="L156" s="37"/>
      <c r="M156" s="37"/>
      <c r="N156" s="37"/>
      <c r="O156" s="36"/>
      <c r="P156" s="36"/>
      <c r="Q156" s="36"/>
      <c r="R156" s="36"/>
      <c r="U156" s="27"/>
    </row>
    <row r="157" spans="10:21" x14ac:dyDescent="0.25">
      <c r="J157" s="134"/>
      <c r="K157" s="36"/>
      <c r="L157" s="37"/>
      <c r="M157" s="37"/>
      <c r="N157" s="37"/>
      <c r="O157" s="36"/>
      <c r="P157" s="36"/>
      <c r="Q157" s="36"/>
      <c r="R157" s="36"/>
      <c r="U157" s="27"/>
    </row>
    <row r="158" spans="10:21" x14ac:dyDescent="0.25">
      <c r="J158" s="134"/>
      <c r="K158" s="36"/>
      <c r="L158" s="37"/>
      <c r="M158" s="37"/>
      <c r="N158" s="37"/>
      <c r="O158" s="36"/>
      <c r="P158" s="36"/>
      <c r="Q158" s="36"/>
      <c r="R158" s="36"/>
      <c r="U158" s="27"/>
    </row>
    <row r="159" spans="10:21" x14ac:dyDescent="0.25">
      <c r="J159" s="134"/>
      <c r="K159" s="36"/>
      <c r="L159" s="37"/>
      <c r="M159" s="37"/>
      <c r="N159" s="37"/>
      <c r="O159" s="36"/>
      <c r="P159" s="36"/>
      <c r="Q159" s="36"/>
      <c r="R159" s="36"/>
      <c r="U159" s="27"/>
    </row>
    <row r="160" spans="10:21" x14ac:dyDescent="0.25">
      <c r="J160" s="134"/>
      <c r="K160" s="36"/>
      <c r="L160" s="37"/>
      <c r="M160" s="37"/>
      <c r="N160" s="37"/>
      <c r="O160" s="36"/>
      <c r="P160" s="36"/>
      <c r="Q160" s="36"/>
      <c r="R160" s="36"/>
      <c r="U160" s="27"/>
    </row>
    <row r="161" spans="10:21" x14ac:dyDescent="0.25">
      <c r="J161" s="134"/>
      <c r="K161" s="36"/>
      <c r="L161" s="37"/>
      <c r="M161" s="37"/>
      <c r="N161" s="37"/>
      <c r="O161" s="36"/>
      <c r="P161" s="36"/>
      <c r="Q161" s="36"/>
      <c r="R161" s="36"/>
      <c r="U161" s="27"/>
    </row>
    <row r="162" spans="10:21" x14ac:dyDescent="0.25">
      <c r="J162" s="134"/>
      <c r="K162" s="36"/>
      <c r="L162" s="37"/>
      <c r="M162" s="37"/>
      <c r="N162" s="37"/>
      <c r="O162" s="36"/>
      <c r="P162" s="36"/>
      <c r="Q162" s="36"/>
      <c r="R162" s="36"/>
      <c r="U162" s="27"/>
    </row>
    <row r="163" spans="10:21" x14ac:dyDescent="0.25">
      <c r="J163" s="134"/>
      <c r="K163" s="36"/>
      <c r="L163" s="37"/>
      <c r="M163" s="37"/>
      <c r="N163" s="37"/>
      <c r="O163" s="36"/>
      <c r="P163" s="36"/>
      <c r="Q163" s="36"/>
      <c r="R163" s="36"/>
      <c r="U163" s="27"/>
    </row>
    <row r="164" spans="10:21" x14ac:dyDescent="0.25">
      <c r="J164" s="134"/>
      <c r="K164" s="36"/>
      <c r="L164" s="37"/>
      <c r="M164" s="37"/>
      <c r="N164" s="37"/>
      <c r="O164" s="36"/>
      <c r="P164" s="36"/>
      <c r="Q164" s="36"/>
      <c r="R164" s="36"/>
      <c r="U164" s="27"/>
    </row>
    <row r="165" spans="10:21" x14ac:dyDescent="0.25">
      <c r="J165" s="134"/>
      <c r="K165" s="36"/>
      <c r="L165" s="37"/>
      <c r="M165" s="37"/>
      <c r="N165" s="37"/>
      <c r="O165" s="36"/>
      <c r="P165" s="36"/>
      <c r="Q165" s="36"/>
      <c r="R165" s="36"/>
      <c r="U165" s="27"/>
    </row>
    <row r="166" spans="10:21" x14ac:dyDescent="0.25">
      <c r="J166" s="134"/>
      <c r="K166" s="36"/>
      <c r="L166" s="37"/>
      <c r="M166" s="37"/>
      <c r="N166" s="37"/>
      <c r="O166" s="36"/>
      <c r="P166" s="36"/>
      <c r="Q166" s="36"/>
      <c r="R166" s="36"/>
      <c r="U166" s="27"/>
    </row>
    <row r="167" spans="10:21" x14ac:dyDescent="0.25">
      <c r="J167" s="134"/>
      <c r="K167" s="36"/>
      <c r="L167" s="37"/>
      <c r="M167" s="37"/>
      <c r="N167" s="37"/>
      <c r="O167" s="36"/>
      <c r="P167" s="36"/>
      <c r="Q167" s="36"/>
      <c r="R167" s="36"/>
      <c r="U167" s="27"/>
    </row>
    <row r="168" spans="10:21" x14ac:dyDescent="0.25">
      <c r="J168" s="134"/>
      <c r="K168" s="36"/>
      <c r="L168" s="37"/>
      <c r="M168" s="37"/>
      <c r="N168" s="37"/>
      <c r="O168" s="36"/>
      <c r="P168" s="36"/>
      <c r="Q168" s="36"/>
      <c r="R168" s="36"/>
      <c r="U168" s="27"/>
    </row>
    <row r="169" spans="10:21" x14ac:dyDescent="0.25">
      <c r="J169" s="134"/>
      <c r="K169" s="36"/>
      <c r="L169" s="37"/>
      <c r="M169" s="37"/>
      <c r="N169" s="37"/>
      <c r="O169" s="36"/>
      <c r="P169" s="36"/>
      <c r="Q169" s="36"/>
      <c r="R169" s="36"/>
      <c r="U169" s="27"/>
    </row>
    <row r="170" spans="10:21" x14ac:dyDescent="0.25">
      <c r="J170" s="134"/>
      <c r="K170" s="36"/>
      <c r="L170" s="37"/>
      <c r="M170" s="37"/>
      <c r="N170" s="37"/>
      <c r="O170" s="36"/>
      <c r="P170" s="36"/>
      <c r="Q170" s="36"/>
      <c r="R170" s="36"/>
      <c r="U170" s="27"/>
    </row>
    <row r="171" spans="10:21" x14ac:dyDescent="0.25">
      <c r="J171" s="134"/>
      <c r="K171" s="36"/>
      <c r="L171" s="37"/>
      <c r="M171" s="37"/>
      <c r="N171" s="37"/>
      <c r="O171" s="36"/>
      <c r="P171" s="36"/>
      <c r="Q171" s="36"/>
      <c r="R171" s="36"/>
      <c r="U171" s="27"/>
    </row>
    <row r="172" spans="10:21" x14ac:dyDescent="0.25">
      <c r="J172" s="134"/>
      <c r="K172" s="36"/>
      <c r="L172" s="37"/>
      <c r="M172" s="37"/>
      <c r="N172" s="37"/>
      <c r="O172" s="36"/>
      <c r="P172" s="36"/>
      <c r="Q172" s="36"/>
      <c r="R172" s="36"/>
      <c r="U172" s="27"/>
    </row>
    <row r="173" spans="10:21" x14ac:dyDescent="0.25">
      <c r="J173" s="134"/>
      <c r="K173" s="36"/>
      <c r="L173" s="37"/>
      <c r="M173" s="37"/>
      <c r="N173" s="37"/>
      <c r="O173" s="36"/>
      <c r="P173" s="36"/>
      <c r="Q173" s="36"/>
      <c r="R173" s="36"/>
      <c r="U173" s="27"/>
    </row>
    <row r="174" spans="10:21" x14ac:dyDescent="0.25">
      <c r="J174" s="134"/>
      <c r="K174" s="36"/>
      <c r="L174" s="37"/>
      <c r="M174" s="37"/>
      <c r="N174" s="37"/>
      <c r="O174" s="36"/>
      <c r="P174" s="36"/>
      <c r="Q174" s="36"/>
      <c r="R174" s="36"/>
      <c r="U174" s="27"/>
    </row>
    <row r="175" spans="10:21" x14ac:dyDescent="0.25">
      <c r="J175" s="134"/>
      <c r="K175" s="36"/>
      <c r="L175" s="37"/>
      <c r="M175" s="37"/>
      <c r="N175" s="37"/>
      <c r="O175" s="36"/>
      <c r="P175" s="36"/>
      <c r="Q175" s="36"/>
      <c r="R175" s="36"/>
      <c r="U175" s="27"/>
    </row>
    <row r="176" spans="10:21" x14ac:dyDescent="0.25">
      <c r="J176" s="134"/>
      <c r="K176" s="36"/>
      <c r="L176" s="37"/>
      <c r="M176" s="37"/>
      <c r="N176" s="37"/>
      <c r="O176" s="36"/>
      <c r="P176" s="36"/>
      <c r="Q176" s="36"/>
      <c r="R176" s="36"/>
      <c r="U176" s="27"/>
    </row>
    <row r="177" spans="10:21" x14ac:dyDescent="0.25">
      <c r="J177" s="134"/>
      <c r="K177" s="36"/>
      <c r="L177" s="37"/>
      <c r="M177" s="37"/>
      <c r="N177" s="37"/>
      <c r="O177" s="36"/>
      <c r="P177" s="36"/>
      <c r="Q177" s="36"/>
      <c r="R177" s="36"/>
      <c r="U177" s="27"/>
    </row>
    <row r="178" spans="10:21" x14ac:dyDescent="0.25">
      <c r="J178" s="134"/>
      <c r="K178" s="36"/>
      <c r="L178" s="37"/>
      <c r="M178" s="37"/>
      <c r="N178" s="37"/>
      <c r="O178" s="36"/>
      <c r="P178" s="36"/>
      <c r="Q178" s="36"/>
      <c r="R178" s="36"/>
      <c r="U178" s="27"/>
    </row>
    <row r="179" spans="10:21" x14ac:dyDescent="0.25">
      <c r="J179" s="134"/>
      <c r="K179" s="36"/>
      <c r="L179" s="37"/>
      <c r="M179" s="37"/>
      <c r="N179" s="37"/>
      <c r="O179" s="36"/>
      <c r="P179" s="36"/>
      <c r="Q179" s="36"/>
      <c r="R179" s="36"/>
      <c r="U179" s="27"/>
    </row>
    <row r="180" spans="10:21" x14ac:dyDescent="0.25">
      <c r="J180" s="134"/>
      <c r="K180" s="36"/>
      <c r="L180" s="37"/>
      <c r="M180" s="37"/>
      <c r="N180" s="37"/>
      <c r="O180" s="36"/>
      <c r="P180" s="36"/>
      <c r="Q180" s="36"/>
      <c r="R180" s="36"/>
      <c r="U180" s="27"/>
    </row>
    <row r="181" spans="10:21" x14ac:dyDescent="0.25">
      <c r="J181" s="134"/>
      <c r="K181" s="36"/>
      <c r="L181" s="37"/>
      <c r="M181" s="37"/>
      <c r="N181" s="37"/>
      <c r="O181" s="36"/>
      <c r="P181" s="36"/>
      <c r="Q181" s="36"/>
      <c r="R181" s="36"/>
      <c r="U181" s="27"/>
    </row>
    <row r="182" spans="10:21" x14ac:dyDescent="0.25">
      <c r="J182" s="134"/>
      <c r="K182" s="36"/>
      <c r="L182" s="37"/>
      <c r="M182" s="37"/>
      <c r="N182" s="37"/>
      <c r="O182" s="36"/>
      <c r="P182" s="36"/>
      <c r="Q182" s="36"/>
      <c r="R182" s="36"/>
      <c r="U182" s="27"/>
    </row>
    <row r="183" spans="10:21" x14ac:dyDescent="0.25">
      <c r="J183" s="134"/>
      <c r="K183" s="36"/>
      <c r="L183" s="37"/>
      <c r="M183" s="37"/>
      <c r="N183" s="37"/>
      <c r="O183" s="36"/>
      <c r="P183" s="36"/>
      <c r="Q183" s="36"/>
      <c r="R183" s="36"/>
      <c r="U183" s="27"/>
    </row>
    <row r="184" spans="10:21" x14ac:dyDescent="0.25">
      <c r="J184" s="134"/>
      <c r="K184" s="36"/>
      <c r="L184" s="37"/>
      <c r="M184" s="37"/>
      <c r="N184" s="37"/>
      <c r="O184" s="36"/>
      <c r="P184" s="36"/>
      <c r="Q184" s="36"/>
      <c r="R184" s="36"/>
      <c r="U184" s="27"/>
    </row>
    <row r="185" spans="10:21" x14ac:dyDescent="0.25">
      <c r="J185" s="134"/>
      <c r="K185" s="36"/>
      <c r="L185" s="37"/>
      <c r="M185" s="37"/>
      <c r="N185" s="37"/>
      <c r="O185" s="36"/>
      <c r="P185" s="36"/>
      <c r="Q185" s="36"/>
      <c r="R185" s="36"/>
      <c r="U185" s="27"/>
    </row>
    <row r="186" spans="10:21" x14ac:dyDescent="0.25">
      <c r="J186" s="134"/>
      <c r="K186" s="36"/>
      <c r="L186" s="37"/>
      <c r="M186" s="37"/>
      <c r="N186" s="37"/>
      <c r="O186" s="36"/>
      <c r="P186" s="36"/>
      <c r="Q186" s="36"/>
      <c r="R186" s="36"/>
      <c r="U186" s="27"/>
    </row>
    <row r="187" spans="10:21" x14ac:dyDescent="0.25">
      <c r="J187" s="134"/>
      <c r="K187" s="36"/>
      <c r="L187" s="37"/>
      <c r="M187" s="37"/>
      <c r="N187" s="37"/>
      <c r="O187" s="36"/>
      <c r="P187" s="36"/>
      <c r="Q187" s="36"/>
      <c r="R187" s="36"/>
      <c r="U187" s="27"/>
    </row>
    <row r="188" spans="10:21" x14ac:dyDescent="0.25">
      <c r="J188" s="134"/>
      <c r="K188" s="36"/>
      <c r="L188" s="37"/>
      <c r="M188" s="37"/>
      <c r="N188" s="37"/>
      <c r="O188" s="36"/>
      <c r="P188" s="36"/>
      <c r="Q188" s="36"/>
      <c r="R188" s="36"/>
      <c r="U188" s="27"/>
    </row>
    <row r="189" spans="10:21" x14ac:dyDescent="0.25">
      <c r="J189" s="134"/>
      <c r="K189" s="36"/>
      <c r="L189" s="37"/>
      <c r="M189" s="37"/>
      <c r="N189" s="37"/>
      <c r="O189" s="36"/>
      <c r="P189" s="36"/>
      <c r="Q189" s="36"/>
      <c r="R189" s="36"/>
      <c r="U189" s="27"/>
    </row>
    <row r="190" spans="10:21" x14ac:dyDescent="0.25">
      <c r="J190" s="134"/>
      <c r="K190" s="36"/>
      <c r="L190" s="37"/>
      <c r="M190" s="37"/>
      <c r="N190" s="37"/>
      <c r="O190" s="36"/>
      <c r="P190" s="36"/>
      <c r="Q190" s="36"/>
      <c r="R190" s="36"/>
      <c r="U190" s="27"/>
    </row>
    <row r="191" spans="10:21" x14ac:dyDescent="0.25">
      <c r="J191" s="134"/>
      <c r="K191" s="36"/>
      <c r="L191" s="37"/>
      <c r="M191" s="37"/>
      <c r="N191" s="37"/>
      <c r="O191" s="36"/>
      <c r="P191" s="36"/>
      <c r="Q191" s="36"/>
      <c r="R191" s="36"/>
      <c r="U191" s="27"/>
    </row>
    <row r="192" spans="10:21" x14ac:dyDescent="0.25">
      <c r="J192" s="134"/>
      <c r="K192" s="36"/>
      <c r="L192" s="37"/>
      <c r="M192" s="37"/>
      <c r="N192" s="37"/>
      <c r="O192" s="36"/>
      <c r="P192" s="36"/>
      <c r="Q192" s="36"/>
      <c r="R192" s="36"/>
      <c r="U192" s="27"/>
    </row>
    <row r="193" spans="10:21" x14ac:dyDescent="0.25">
      <c r="J193" s="134"/>
      <c r="K193" s="36"/>
      <c r="L193" s="37"/>
      <c r="M193" s="37"/>
      <c r="N193" s="37"/>
      <c r="O193" s="36"/>
      <c r="P193" s="36"/>
      <c r="Q193" s="36"/>
      <c r="R193" s="36"/>
      <c r="U193" s="27"/>
    </row>
    <row r="194" spans="10:21" x14ac:dyDescent="0.25">
      <c r="J194" s="134"/>
      <c r="K194" s="36"/>
      <c r="L194" s="37"/>
      <c r="M194" s="37"/>
      <c r="N194" s="37"/>
      <c r="O194" s="36"/>
      <c r="P194" s="36"/>
      <c r="Q194" s="36"/>
      <c r="R194" s="36"/>
      <c r="U194" s="27"/>
    </row>
    <row r="195" spans="10:21" x14ac:dyDescent="0.25">
      <c r="J195" s="134"/>
      <c r="K195" s="36"/>
      <c r="L195" s="37"/>
      <c r="M195" s="37"/>
      <c r="N195" s="37"/>
      <c r="O195" s="36"/>
      <c r="P195" s="36"/>
      <c r="Q195" s="36"/>
      <c r="R195" s="36"/>
      <c r="U195" s="27"/>
    </row>
    <row r="196" spans="10:21" x14ac:dyDescent="0.25">
      <c r="J196" s="134"/>
      <c r="K196" s="36"/>
      <c r="L196" s="37"/>
      <c r="M196" s="37"/>
      <c r="N196" s="37"/>
      <c r="O196" s="36"/>
      <c r="P196" s="36"/>
      <c r="Q196" s="36"/>
      <c r="R196" s="36"/>
      <c r="U196" s="27"/>
    </row>
    <row r="197" spans="10:21" x14ac:dyDescent="0.25">
      <c r="J197" s="134"/>
      <c r="K197" s="36"/>
      <c r="L197" s="37"/>
      <c r="M197" s="37"/>
      <c r="N197" s="37"/>
      <c r="O197" s="36"/>
      <c r="P197" s="36"/>
      <c r="Q197" s="36"/>
      <c r="R197" s="36"/>
      <c r="U197" s="27"/>
    </row>
    <row r="198" spans="10:21" x14ac:dyDescent="0.25">
      <c r="J198" s="134"/>
      <c r="K198" s="36"/>
      <c r="L198" s="37"/>
      <c r="M198" s="37"/>
      <c r="N198" s="37"/>
      <c r="O198" s="36"/>
      <c r="P198" s="36"/>
      <c r="Q198" s="36"/>
      <c r="R198" s="36"/>
      <c r="U198" s="27"/>
    </row>
    <row r="199" spans="10:21" x14ac:dyDescent="0.25">
      <c r="J199" s="134"/>
      <c r="K199" s="36"/>
      <c r="L199" s="37"/>
      <c r="M199" s="37"/>
      <c r="N199" s="37"/>
      <c r="O199" s="36"/>
      <c r="P199" s="36"/>
      <c r="Q199" s="36"/>
      <c r="R199" s="36"/>
      <c r="U199" s="27"/>
    </row>
    <row r="200" spans="10:21" x14ac:dyDescent="0.25">
      <c r="J200" s="134"/>
      <c r="K200" s="36"/>
      <c r="L200" s="37"/>
      <c r="M200" s="37"/>
      <c r="N200" s="37"/>
      <c r="O200" s="36"/>
      <c r="P200" s="36"/>
      <c r="Q200" s="36"/>
      <c r="R200" s="36"/>
      <c r="U200" s="27"/>
    </row>
    <row r="201" spans="10:21" x14ac:dyDescent="0.25">
      <c r="J201" s="134"/>
      <c r="K201" s="36"/>
      <c r="L201" s="37"/>
      <c r="M201" s="37"/>
      <c r="N201" s="37"/>
      <c r="O201" s="36"/>
      <c r="P201" s="36"/>
      <c r="Q201" s="36"/>
      <c r="R201" s="36"/>
      <c r="U201" s="27"/>
    </row>
    <row r="202" spans="10:21" x14ac:dyDescent="0.25">
      <c r="J202" s="134"/>
      <c r="K202" s="36"/>
      <c r="L202" s="37"/>
      <c r="M202" s="37"/>
      <c r="N202" s="37"/>
      <c r="O202" s="36"/>
      <c r="P202" s="36"/>
      <c r="Q202" s="36"/>
      <c r="R202" s="36"/>
      <c r="U202" s="27"/>
    </row>
    <row r="203" spans="10:21" x14ac:dyDescent="0.25">
      <c r="J203" s="134"/>
      <c r="K203" s="36"/>
      <c r="L203" s="37"/>
      <c r="M203" s="37"/>
      <c r="N203" s="37"/>
      <c r="O203" s="36"/>
      <c r="P203" s="36"/>
      <c r="Q203" s="36"/>
      <c r="R203" s="36"/>
      <c r="U203" s="27"/>
    </row>
    <row r="204" spans="10:21" x14ac:dyDescent="0.25">
      <c r="J204" s="134"/>
      <c r="K204" s="36"/>
      <c r="L204" s="37"/>
      <c r="M204" s="37"/>
      <c r="N204" s="37"/>
      <c r="O204" s="36"/>
      <c r="P204" s="36"/>
      <c r="Q204" s="36"/>
      <c r="R204" s="36"/>
      <c r="U204" s="27"/>
    </row>
    <row r="205" spans="10:21" x14ac:dyDescent="0.25">
      <c r="J205" s="134"/>
      <c r="K205" s="36"/>
      <c r="L205" s="37"/>
      <c r="M205" s="37"/>
      <c r="N205" s="37"/>
      <c r="O205" s="36"/>
      <c r="P205" s="36"/>
      <c r="Q205" s="36"/>
      <c r="R205" s="36"/>
      <c r="U205" s="27"/>
    </row>
    <row r="206" spans="10:21" x14ac:dyDescent="0.25">
      <c r="J206" s="134"/>
      <c r="K206" s="36"/>
      <c r="L206" s="37"/>
      <c r="M206" s="37"/>
      <c r="N206" s="37"/>
      <c r="O206" s="36"/>
      <c r="P206" s="36"/>
      <c r="Q206" s="36"/>
      <c r="R206" s="36"/>
      <c r="U206" s="27"/>
    </row>
    <row r="207" spans="10:21" x14ac:dyDescent="0.25">
      <c r="J207" s="134"/>
      <c r="K207" s="36"/>
      <c r="L207" s="37"/>
      <c r="M207" s="37"/>
      <c r="N207" s="37"/>
      <c r="O207" s="36"/>
      <c r="P207" s="36"/>
      <c r="Q207" s="36"/>
      <c r="R207" s="36"/>
      <c r="U207" s="27"/>
    </row>
    <row r="208" spans="10:21" x14ac:dyDescent="0.25">
      <c r="J208" s="134"/>
      <c r="K208" s="36"/>
      <c r="L208" s="37"/>
      <c r="M208" s="37"/>
      <c r="N208" s="37"/>
      <c r="O208" s="36"/>
      <c r="P208" s="36"/>
      <c r="Q208" s="36"/>
      <c r="R208" s="36"/>
      <c r="U208" s="27"/>
    </row>
    <row r="209" spans="10:21" x14ac:dyDescent="0.25">
      <c r="J209" s="134"/>
      <c r="K209" s="36"/>
      <c r="L209" s="37"/>
      <c r="M209" s="37"/>
      <c r="N209" s="37"/>
      <c r="O209" s="36"/>
      <c r="P209" s="36"/>
      <c r="Q209" s="36"/>
      <c r="R209" s="36"/>
      <c r="U209" s="27"/>
    </row>
    <row r="210" spans="10:21" x14ac:dyDescent="0.25">
      <c r="J210" s="134"/>
      <c r="K210" s="36"/>
      <c r="L210" s="37"/>
      <c r="M210" s="37"/>
      <c r="N210" s="37"/>
      <c r="O210" s="36"/>
      <c r="P210" s="36"/>
      <c r="Q210" s="36"/>
      <c r="R210" s="36"/>
      <c r="U210" s="27"/>
    </row>
    <row r="211" spans="10:21" x14ac:dyDescent="0.25">
      <c r="J211" s="134"/>
      <c r="K211" s="36"/>
      <c r="L211" s="37"/>
      <c r="M211" s="37"/>
      <c r="N211" s="37"/>
      <c r="O211" s="36"/>
      <c r="P211" s="36"/>
      <c r="Q211" s="36"/>
      <c r="R211" s="36"/>
      <c r="U211" s="27"/>
    </row>
    <row r="212" spans="10:21" x14ac:dyDescent="0.25">
      <c r="J212" s="134"/>
      <c r="K212" s="36"/>
      <c r="L212" s="37"/>
      <c r="M212" s="37"/>
      <c r="N212" s="37"/>
      <c r="O212" s="36"/>
      <c r="P212" s="36"/>
      <c r="Q212" s="36"/>
      <c r="R212" s="36"/>
      <c r="U212" s="27"/>
    </row>
    <row r="213" spans="10:21" x14ac:dyDescent="0.25">
      <c r="J213" s="134"/>
      <c r="K213" s="36"/>
      <c r="L213" s="37"/>
      <c r="M213" s="37"/>
      <c r="N213" s="37"/>
      <c r="O213" s="36"/>
      <c r="P213" s="36"/>
      <c r="Q213" s="36"/>
      <c r="R213" s="36"/>
      <c r="U213" s="27"/>
    </row>
    <row r="214" spans="10:21" x14ac:dyDescent="0.25">
      <c r="J214" s="134"/>
      <c r="K214" s="36"/>
      <c r="L214" s="37"/>
      <c r="M214" s="37"/>
      <c r="N214" s="37"/>
      <c r="O214" s="36"/>
      <c r="P214" s="36"/>
      <c r="Q214" s="36"/>
      <c r="R214" s="36"/>
      <c r="U214" s="27"/>
    </row>
    <row r="215" spans="10:21" x14ac:dyDescent="0.25">
      <c r="J215" s="134"/>
      <c r="K215" s="36"/>
      <c r="L215" s="37"/>
      <c r="M215" s="37"/>
      <c r="N215" s="37"/>
      <c r="O215" s="36"/>
      <c r="P215" s="36"/>
      <c r="Q215" s="36"/>
      <c r="R215" s="36"/>
      <c r="U215" s="27"/>
    </row>
    <row r="216" spans="10:21" x14ac:dyDescent="0.25">
      <c r="J216" s="134"/>
      <c r="K216" s="36"/>
      <c r="L216" s="37"/>
      <c r="M216" s="37"/>
      <c r="N216" s="37"/>
      <c r="O216" s="36"/>
      <c r="P216" s="36"/>
      <c r="Q216" s="36"/>
      <c r="R216" s="36"/>
      <c r="U216" s="27"/>
    </row>
    <row r="217" spans="10:21" x14ac:dyDescent="0.25">
      <c r="J217" s="134"/>
      <c r="K217" s="36"/>
      <c r="L217" s="37"/>
      <c r="M217" s="37"/>
      <c r="N217" s="37"/>
      <c r="O217" s="36"/>
      <c r="P217" s="36"/>
      <c r="Q217" s="36"/>
      <c r="R217" s="36"/>
      <c r="U217" s="27"/>
    </row>
    <row r="218" spans="10:21" x14ac:dyDescent="0.25">
      <c r="J218" s="134"/>
      <c r="K218" s="36"/>
      <c r="L218" s="37"/>
      <c r="M218" s="37"/>
      <c r="N218" s="37"/>
      <c r="O218" s="36"/>
      <c r="P218" s="36"/>
      <c r="Q218" s="36"/>
      <c r="R218" s="36"/>
      <c r="U218" s="27"/>
    </row>
    <row r="219" spans="10:21" x14ac:dyDescent="0.25">
      <c r="J219" s="134"/>
      <c r="K219" s="36"/>
      <c r="L219" s="37"/>
      <c r="M219" s="37"/>
      <c r="N219" s="37"/>
      <c r="O219" s="36"/>
      <c r="P219" s="36"/>
      <c r="Q219" s="36"/>
      <c r="R219" s="36"/>
      <c r="U219" s="27"/>
    </row>
    <row r="220" spans="10:21" x14ac:dyDescent="0.25">
      <c r="J220" s="134"/>
      <c r="K220" s="36"/>
      <c r="L220" s="37"/>
      <c r="M220" s="37"/>
      <c r="N220" s="37"/>
      <c r="O220" s="36"/>
      <c r="P220" s="36"/>
      <c r="Q220" s="36"/>
      <c r="R220" s="36"/>
      <c r="U220" s="27"/>
    </row>
    <row r="221" spans="10:21" x14ac:dyDescent="0.25">
      <c r="J221" s="134"/>
      <c r="K221" s="36"/>
      <c r="L221" s="37"/>
      <c r="M221" s="37"/>
      <c r="N221" s="37"/>
      <c r="O221" s="36"/>
      <c r="P221" s="36"/>
      <c r="Q221" s="36"/>
      <c r="R221" s="36"/>
      <c r="U221" s="27"/>
    </row>
    <row r="222" spans="10:21" x14ac:dyDescent="0.25">
      <c r="J222" s="134"/>
      <c r="K222" s="36"/>
      <c r="L222" s="37"/>
      <c r="M222" s="37"/>
      <c r="N222" s="37"/>
      <c r="O222" s="36"/>
      <c r="P222" s="36"/>
      <c r="Q222" s="36"/>
      <c r="R222" s="36"/>
      <c r="U222" s="27"/>
    </row>
    <row r="223" spans="10:21" x14ac:dyDescent="0.25">
      <c r="J223" s="134"/>
      <c r="K223" s="36"/>
      <c r="L223" s="37"/>
      <c r="M223" s="37"/>
      <c r="N223" s="37"/>
      <c r="O223" s="36"/>
      <c r="P223" s="36"/>
      <c r="Q223" s="36"/>
      <c r="R223" s="36"/>
      <c r="U223" s="27"/>
    </row>
    <row r="224" spans="10:21" x14ac:dyDescent="0.25">
      <c r="J224" s="134"/>
      <c r="K224" s="36"/>
      <c r="L224" s="37"/>
      <c r="M224" s="37"/>
      <c r="N224" s="37"/>
      <c r="O224" s="36"/>
      <c r="P224" s="36"/>
      <c r="Q224" s="36"/>
      <c r="R224" s="36"/>
      <c r="U224" s="27"/>
    </row>
    <row r="225" spans="10:21" x14ac:dyDescent="0.25">
      <c r="J225" s="134"/>
      <c r="K225" s="36"/>
      <c r="L225" s="37"/>
      <c r="M225" s="37"/>
      <c r="N225" s="37"/>
      <c r="O225" s="36"/>
      <c r="P225" s="36"/>
      <c r="Q225" s="36"/>
      <c r="R225" s="36"/>
      <c r="U225" s="27"/>
    </row>
    <row r="226" spans="10:21" x14ac:dyDescent="0.25">
      <c r="J226" s="134"/>
      <c r="K226" s="36"/>
      <c r="L226" s="37"/>
      <c r="M226" s="37"/>
      <c r="N226" s="37"/>
      <c r="O226" s="36"/>
      <c r="P226" s="36"/>
      <c r="Q226" s="36"/>
      <c r="R226" s="36"/>
      <c r="U226" s="27"/>
    </row>
    <row r="227" spans="10:21" x14ac:dyDescent="0.25">
      <c r="J227" s="134"/>
      <c r="K227" s="36"/>
      <c r="L227" s="37"/>
      <c r="M227" s="37"/>
      <c r="N227" s="37"/>
      <c r="O227" s="36"/>
      <c r="P227" s="36"/>
      <c r="Q227" s="36"/>
      <c r="R227" s="36"/>
      <c r="U227" s="27"/>
    </row>
    <row r="228" spans="10:21" x14ac:dyDescent="0.25">
      <c r="J228" s="134"/>
      <c r="K228" s="36"/>
      <c r="L228" s="37"/>
      <c r="M228" s="37"/>
      <c r="N228" s="37"/>
      <c r="O228" s="36"/>
      <c r="P228" s="36"/>
      <c r="Q228" s="36"/>
      <c r="R228" s="36"/>
      <c r="U228" s="27"/>
    </row>
    <row r="229" spans="10:21" x14ac:dyDescent="0.25">
      <c r="J229" s="134"/>
      <c r="K229" s="36"/>
      <c r="L229" s="37"/>
      <c r="M229" s="37"/>
      <c r="N229" s="37"/>
      <c r="O229" s="36"/>
      <c r="P229" s="36"/>
      <c r="Q229" s="36"/>
      <c r="R229" s="36"/>
      <c r="U229" s="27"/>
    </row>
    <row r="230" spans="10:21" x14ac:dyDescent="0.25">
      <c r="J230" s="134"/>
      <c r="K230" s="36"/>
      <c r="L230" s="37"/>
      <c r="M230" s="37"/>
      <c r="N230" s="37"/>
      <c r="O230" s="36"/>
      <c r="P230" s="36"/>
      <c r="Q230" s="36"/>
      <c r="R230" s="36"/>
      <c r="U230" s="27"/>
    </row>
    <row r="231" spans="10:21" x14ac:dyDescent="0.25">
      <c r="J231" s="134"/>
      <c r="K231" s="36"/>
      <c r="L231" s="37"/>
      <c r="M231" s="37"/>
      <c r="N231" s="37"/>
      <c r="O231" s="36"/>
      <c r="P231" s="36"/>
      <c r="Q231" s="36"/>
      <c r="R231" s="36"/>
      <c r="U231" s="27"/>
    </row>
    <row r="232" spans="10:21" x14ac:dyDescent="0.25">
      <c r="J232" s="134"/>
      <c r="K232" s="36"/>
      <c r="L232" s="37"/>
      <c r="M232" s="37"/>
      <c r="N232" s="37"/>
      <c r="O232" s="36"/>
      <c r="P232" s="36"/>
      <c r="Q232" s="36"/>
      <c r="R232" s="36"/>
      <c r="U232" s="27"/>
    </row>
    <row r="233" spans="10:21" x14ac:dyDescent="0.25">
      <c r="J233" s="134"/>
      <c r="K233" s="36"/>
      <c r="L233" s="37"/>
      <c r="M233" s="37"/>
      <c r="N233" s="37"/>
      <c r="O233" s="36"/>
      <c r="P233" s="36"/>
      <c r="Q233" s="36"/>
      <c r="R233" s="36"/>
      <c r="U233" s="27"/>
    </row>
    <row r="234" spans="10:21" x14ac:dyDescent="0.25">
      <c r="J234" s="134"/>
      <c r="K234" s="36"/>
      <c r="L234" s="37"/>
      <c r="M234" s="37"/>
      <c r="N234" s="37"/>
      <c r="O234" s="36"/>
      <c r="P234" s="36"/>
      <c r="Q234" s="36"/>
      <c r="R234" s="36"/>
      <c r="U234" s="27"/>
    </row>
    <row r="235" spans="10:21" x14ac:dyDescent="0.25">
      <c r="J235" s="134"/>
      <c r="K235" s="36"/>
      <c r="L235" s="37"/>
      <c r="M235" s="37"/>
      <c r="N235" s="37"/>
      <c r="O235" s="36"/>
      <c r="P235" s="36"/>
      <c r="Q235" s="36"/>
      <c r="R235" s="36"/>
      <c r="U235" s="27"/>
    </row>
    <row r="236" spans="10:21" x14ac:dyDescent="0.25">
      <c r="J236" s="134"/>
      <c r="K236" s="36"/>
      <c r="L236" s="37"/>
      <c r="M236" s="37"/>
      <c r="N236" s="37"/>
      <c r="O236" s="36"/>
      <c r="P236" s="36"/>
      <c r="Q236" s="36"/>
      <c r="R236" s="36"/>
      <c r="U236" s="27"/>
    </row>
    <row r="237" spans="10:21" x14ac:dyDescent="0.25">
      <c r="J237" s="134"/>
      <c r="K237" s="36"/>
      <c r="L237" s="37"/>
      <c r="M237" s="37"/>
      <c r="N237" s="37"/>
      <c r="O237" s="36"/>
      <c r="P237" s="36"/>
      <c r="Q237" s="36"/>
      <c r="R237" s="36"/>
      <c r="U237" s="27"/>
    </row>
    <row r="238" spans="10:21" x14ac:dyDescent="0.25">
      <c r="J238" s="134"/>
      <c r="K238" s="36"/>
      <c r="L238" s="37"/>
      <c r="M238" s="37"/>
      <c r="N238" s="37"/>
      <c r="O238" s="36"/>
      <c r="P238" s="36"/>
      <c r="Q238" s="36"/>
      <c r="R238" s="36"/>
      <c r="U238" s="27"/>
    </row>
    <row r="239" spans="10:21" x14ac:dyDescent="0.25">
      <c r="J239" s="134"/>
      <c r="K239" s="36"/>
      <c r="L239" s="37"/>
      <c r="M239" s="37"/>
      <c r="N239" s="37"/>
      <c r="O239" s="36"/>
      <c r="P239" s="36"/>
      <c r="Q239" s="36"/>
      <c r="R239" s="36"/>
      <c r="U239" s="27"/>
    </row>
    <row r="240" spans="10:21" x14ac:dyDescent="0.25">
      <c r="J240" s="134"/>
      <c r="K240" s="36"/>
      <c r="L240" s="37"/>
      <c r="M240" s="37"/>
      <c r="N240" s="37"/>
      <c r="O240" s="36"/>
      <c r="P240" s="36"/>
      <c r="Q240" s="36"/>
      <c r="R240" s="36"/>
      <c r="U240" s="27"/>
    </row>
    <row r="241" spans="10:21" x14ac:dyDescent="0.25">
      <c r="J241" s="134"/>
      <c r="K241" s="36"/>
      <c r="L241" s="37"/>
      <c r="M241" s="37"/>
      <c r="N241" s="37"/>
      <c r="O241" s="36"/>
      <c r="P241" s="36"/>
      <c r="Q241" s="36"/>
      <c r="R241" s="36"/>
      <c r="U241" s="27"/>
    </row>
    <row r="242" spans="10:21" x14ac:dyDescent="0.25">
      <c r="J242" s="134"/>
      <c r="K242" s="36"/>
      <c r="L242" s="37"/>
      <c r="M242" s="37"/>
      <c r="N242" s="37"/>
      <c r="O242" s="36"/>
      <c r="P242" s="36"/>
      <c r="Q242" s="36"/>
      <c r="R242" s="36"/>
      <c r="U242" s="27"/>
    </row>
    <row r="243" spans="10:21" x14ac:dyDescent="0.25">
      <c r="J243" s="134"/>
      <c r="K243" s="36"/>
      <c r="L243" s="37"/>
      <c r="M243" s="37"/>
      <c r="N243" s="37"/>
      <c r="O243" s="36"/>
      <c r="P243" s="36"/>
      <c r="Q243" s="36"/>
      <c r="R243" s="36"/>
      <c r="U243" s="27"/>
    </row>
    <row r="244" spans="10:21" x14ac:dyDescent="0.25">
      <c r="J244" s="134"/>
      <c r="K244" s="36"/>
      <c r="L244" s="37"/>
      <c r="M244" s="37"/>
      <c r="N244" s="37"/>
      <c r="O244" s="36"/>
      <c r="P244" s="36"/>
      <c r="Q244" s="36"/>
      <c r="R244" s="36"/>
      <c r="U244" s="27"/>
    </row>
    <row r="245" spans="10:21" x14ac:dyDescent="0.25">
      <c r="J245" s="134"/>
      <c r="K245" s="36"/>
      <c r="L245" s="37"/>
      <c r="M245" s="37"/>
      <c r="N245" s="37"/>
      <c r="O245" s="36"/>
      <c r="P245" s="36"/>
      <c r="Q245" s="36"/>
      <c r="R245" s="36"/>
      <c r="U245" s="27"/>
    </row>
    <row r="246" spans="10:21" x14ac:dyDescent="0.25">
      <c r="J246" s="134"/>
      <c r="K246" s="36"/>
      <c r="L246" s="37"/>
      <c r="M246" s="37"/>
      <c r="N246" s="37"/>
      <c r="O246" s="36"/>
      <c r="P246" s="36"/>
      <c r="Q246" s="36"/>
      <c r="R246" s="36"/>
      <c r="U246" s="27"/>
    </row>
    <row r="247" spans="10:21" x14ac:dyDescent="0.25">
      <c r="J247" s="134"/>
      <c r="K247" s="36"/>
      <c r="L247" s="37"/>
      <c r="M247" s="37"/>
      <c r="N247" s="37"/>
      <c r="O247" s="36"/>
      <c r="P247" s="36"/>
      <c r="Q247" s="36"/>
      <c r="R247" s="36"/>
      <c r="U247" s="27"/>
    </row>
    <row r="248" spans="10:21" x14ac:dyDescent="0.25">
      <c r="J248" s="134"/>
      <c r="K248" s="36"/>
      <c r="L248" s="37"/>
      <c r="M248" s="37"/>
      <c r="N248" s="37"/>
      <c r="O248" s="36"/>
      <c r="P248" s="36"/>
      <c r="Q248" s="36"/>
      <c r="R248" s="36"/>
      <c r="U248" s="27"/>
    </row>
    <row r="249" spans="10:21" x14ac:dyDescent="0.25">
      <c r="J249" s="134"/>
      <c r="K249" s="36"/>
      <c r="L249" s="37"/>
      <c r="M249" s="37"/>
      <c r="N249" s="37"/>
      <c r="O249" s="36"/>
      <c r="P249" s="36"/>
      <c r="Q249" s="36"/>
      <c r="R249" s="36"/>
      <c r="U249" s="27"/>
    </row>
    <row r="250" spans="10:21" x14ac:dyDescent="0.25">
      <c r="J250" s="134"/>
      <c r="K250" s="36"/>
      <c r="L250" s="37"/>
      <c r="M250" s="37"/>
      <c r="N250" s="37"/>
      <c r="O250" s="36"/>
      <c r="P250" s="36"/>
      <c r="Q250" s="36"/>
      <c r="R250" s="36"/>
      <c r="U250" s="27"/>
    </row>
    <row r="251" spans="10:21" x14ac:dyDescent="0.25">
      <c r="J251" s="134"/>
      <c r="K251" s="36"/>
      <c r="L251" s="37"/>
      <c r="M251" s="37"/>
      <c r="N251" s="37"/>
      <c r="O251" s="36"/>
      <c r="P251" s="36"/>
      <c r="Q251" s="36"/>
      <c r="R251" s="36"/>
      <c r="U251" s="27"/>
    </row>
    <row r="252" spans="10:21" x14ac:dyDescent="0.25">
      <c r="J252" s="134"/>
      <c r="K252" s="36"/>
      <c r="L252" s="37"/>
      <c r="M252" s="37"/>
      <c r="N252" s="37"/>
      <c r="O252" s="36"/>
      <c r="P252" s="36"/>
      <c r="Q252" s="36"/>
      <c r="R252" s="36"/>
      <c r="U252" s="27"/>
    </row>
    <row r="253" spans="10:21" x14ac:dyDescent="0.25">
      <c r="J253" s="134"/>
      <c r="K253" s="36"/>
      <c r="L253" s="37"/>
      <c r="M253" s="37"/>
      <c r="N253" s="37"/>
      <c r="O253" s="36"/>
      <c r="P253" s="36"/>
      <c r="Q253" s="36"/>
      <c r="R253" s="36"/>
      <c r="U253" s="27"/>
    </row>
    <row r="254" spans="10:21" x14ac:dyDescent="0.25">
      <c r="J254" s="134"/>
      <c r="K254" s="36"/>
      <c r="L254" s="37"/>
      <c r="M254" s="37"/>
      <c r="N254" s="37"/>
      <c r="O254" s="36"/>
      <c r="P254" s="36"/>
      <c r="Q254" s="36"/>
      <c r="R254" s="36"/>
      <c r="U254" s="27"/>
    </row>
    <row r="255" spans="10:21" x14ac:dyDescent="0.25">
      <c r="J255" s="134"/>
      <c r="K255" s="36"/>
      <c r="L255" s="37"/>
      <c r="M255" s="37"/>
      <c r="N255" s="37"/>
      <c r="O255" s="36"/>
      <c r="P255" s="36"/>
      <c r="Q255" s="36"/>
      <c r="R255" s="36"/>
      <c r="U255" s="27"/>
    </row>
    <row r="256" spans="10:21" x14ac:dyDescent="0.25">
      <c r="J256" s="134"/>
      <c r="K256" s="36"/>
      <c r="L256" s="37"/>
      <c r="M256" s="37"/>
      <c r="N256" s="37"/>
      <c r="O256" s="36"/>
      <c r="P256" s="36"/>
      <c r="Q256" s="36"/>
      <c r="R256" s="36"/>
      <c r="U256" s="27"/>
    </row>
    <row r="257" spans="10:21" x14ac:dyDescent="0.25">
      <c r="J257" s="134"/>
      <c r="K257" s="36"/>
      <c r="L257" s="37"/>
      <c r="M257" s="37"/>
      <c r="N257" s="37"/>
      <c r="O257" s="36"/>
      <c r="P257" s="36"/>
      <c r="Q257" s="36"/>
      <c r="R257" s="36"/>
      <c r="U257" s="27"/>
    </row>
    <row r="258" spans="10:21" x14ac:dyDescent="0.25">
      <c r="J258" s="134"/>
      <c r="K258" s="36"/>
      <c r="L258" s="37"/>
      <c r="M258" s="37"/>
      <c r="N258" s="37"/>
      <c r="O258" s="36"/>
      <c r="P258" s="36"/>
      <c r="Q258" s="36"/>
      <c r="R258" s="36"/>
      <c r="U258" s="27"/>
    </row>
    <row r="259" spans="10:21" x14ac:dyDescent="0.25">
      <c r="J259" s="134"/>
      <c r="K259" s="36"/>
      <c r="L259" s="37"/>
      <c r="M259" s="37"/>
      <c r="N259" s="37"/>
      <c r="O259" s="36"/>
      <c r="P259" s="36"/>
      <c r="Q259" s="36"/>
      <c r="R259" s="36"/>
      <c r="U259" s="27"/>
    </row>
    <row r="260" spans="10:21" x14ac:dyDescent="0.25">
      <c r="J260" s="134"/>
      <c r="K260" s="36"/>
      <c r="L260" s="37"/>
      <c r="M260" s="37"/>
      <c r="N260" s="37"/>
      <c r="O260" s="36"/>
      <c r="P260" s="36"/>
      <c r="Q260" s="36"/>
      <c r="R260" s="36"/>
      <c r="U260" s="27"/>
    </row>
    <row r="261" spans="10:21" x14ac:dyDescent="0.25">
      <c r="J261" s="134"/>
      <c r="K261" s="36"/>
      <c r="L261" s="37"/>
      <c r="M261" s="37"/>
      <c r="N261" s="37"/>
      <c r="O261" s="36"/>
      <c r="P261" s="36"/>
      <c r="Q261" s="36"/>
      <c r="R261" s="36"/>
      <c r="U261" s="27"/>
    </row>
    <row r="262" spans="10:21" x14ac:dyDescent="0.25">
      <c r="J262" s="134"/>
      <c r="K262" s="36"/>
      <c r="L262" s="37"/>
      <c r="M262" s="37"/>
      <c r="N262" s="37"/>
      <c r="O262" s="36"/>
      <c r="P262" s="36"/>
      <c r="Q262" s="36"/>
      <c r="R262" s="36"/>
      <c r="U262" s="27"/>
    </row>
    <row r="263" spans="10:21" x14ac:dyDescent="0.25">
      <c r="J263" s="134"/>
      <c r="K263" s="36"/>
      <c r="L263" s="37"/>
      <c r="M263" s="37"/>
      <c r="N263" s="37"/>
      <c r="O263" s="36"/>
      <c r="P263" s="36"/>
      <c r="Q263" s="36"/>
      <c r="R263" s="36"/>
      <c r="U263" s="27"/>
    </row>
    <row r="264" spans="10:21" x14ac:dyDescent="0.25">
      <c r="J264" s="134"/>
      <c r="K264" s="36"/>
      <c r="L264" s="37"/>
      <c r="M264" s="37"/>
      <c r="N264" s="37"/>
      <c r="O264" s="36"/>
      <c r="P264" s="36"/>
      <c r="Q264" s="36"/>
      <c r="R264" s="36"/>
      <c r="U264" s="27"/>
    </row>
    <row r="265" spans="10:21" x14ac:dyDescent="0.25">
      <c r="J265" s="134"/>
      <c r="K265" s="36"/>
      <c r="L265" s="37"/>
      <c r="M265" s="37"/>
      <c r="N265" s="37"/>
      <c r="O265" s="36"/>
      <c r="P265" s="36"/>
      <c r="Q265" s="36"/>
      <c r="R265" s="36"/>
      <c r="U265" s="27"/>
    </row>
    <row r="266" spans="10:21" x14ac:dyDescent="0.25">
      <c r="J266" s="134"/>
      <c r="K266" s="36"/>
      <c r="L266" s="37"/>
      <c r="M266" s="37"/>
      <c r="N266" s="37"/>
      <c r="O266" s="36"/>
      <c r="P266" s="36"/>
      <c r="Q266" s="36"/>
      <c r="R266" s="36"/>
      <c r="U266" s="27"/>
    </row>
    <row r="267" spans="10:21" x14ac:dyDescent="0.25">
      <c r="J267" s="134"/>
      <c r="K267" s="36"/>
      <c r="L267" s="37"/>
      <c r="M267" s="37"/>
      <c r="N267" s="37"/>
      <c r="O267" s="36"/>
      <c r="P267" s="36"/>
      <c r="Q267" s="36"/>
      <c r="R267" s="36"/>
      <c r="U267" s="27"/>
    </row>
    <row r="268" spans="10:21" x14ac:dyDescent="0.25">
      <c r="J268" s="134"/>
      <c r="K268" s="36"/>
      <c r="L268" s="37"/>
      <c r="M268" s="37"/>
      <c r="N268" s="37"/>
      <c r="O268" s="36"/>
      <c r="P268" s="36"/>
      <c r="Q268" s="36"/>
      <c r="R268" s="36"/>
      <c r="U268" s="27"/>
    </row>
    <row r="269" spans="10:21" x14ac:dyDescent="0.25">
      <c r="J269" s="134"/>
      <c r="K269" s="36"/>
      <c r="L269" s="37"/>
      <c r="M269" s="37"/>
      <c r="N269" s="37"/>
      <c r="O269" s="36"/>
      <c r="P269" s="36"/>
      <c r="Q269" s="36"/>
      <c r="R269" s="36"/>
      <c r="U269" s="27"/>
    </row>
    <row r="270" spans="10:21" x14ac:dyDescent="0.25">
      <c r="J270" s="134"/>
      <c r="K270" s="36"/>
      <c r="L270" s="37"/>
      <c r="M270" s="37"/>
      <c r="N270" s="37"/>
      <c r="O270" s="36"/>
      <c r="P270" s="36"/>
      <c r="Q270" s="36"/>
      <c r="R270" s="36"/>
      <c r="U270" s="27"/>
    </row>
    <row r="271" spans="10:21" x14ac:dyDescent="0.25">
      <c r="J271" s="134"/>
      <c r="K271" s="36"/>
      <c r="L271" s="37"/>
      <c r="M271" s="37"/>
      <c r="N271" s="37"/>
      <c r="O271" s="36"/>
      <c r="P271" s="36"/>
      <c r="Q271" s="36"/>
      <c r="R271" s="36"/>
      <c r="U271" s="27"/>
    </row>
    <row r="272" spans="10:21" x14ac:dyDescent="0.25">
      <c r="J272" s="134"/>
      <c r="K272" s="36"/>
      <c r="L272" s="37"/>
      <c r="M272" s="37"/>
      <c r="N272" s="37"/>
      <c r="O272" s="36"/>
      <c r="P272" s="36"/>
      <c r="Q272" s="36"/>
      <c r="R272" s="36"/>
      <c r="U272" s="27"/>
    </row>
    <row r="273" spans="10:21" x14ac:dyDescent="0.25">
      <c r="J273" s="134"/>
      <c r="K273" s="36"/>
      <c r="L273" s="37"/>
      <c r="M273" s="37"/>
      <c r="N273" s="37"/>
      <c r="O273" s="36"/>
      <c r="P273" s="36"/>
      <c r="Q273" s="36"/>
      <c r="R273" s="36"/>
      <c r="U273" s="27"/>
    </row>
    <row r="274" spans="10:21" x14ac:dyDescent="0.25">
      <c r="J274" s="134"/>
      <c r="K274" s="36"/>
      <c r="L274" s="37"/>
      <c r="M274" s="37"/>
      <c r="N274" s="37"/>
      <c r="O274" s="36"/>
      <c r="P274" s="36"/>
      <c r="Q274" s="36"/>
      <c r="R274" s="36"/>
      <c r="U274" s="27"/>
    </row>
    <row r="275" spans="10:21" x14ac:dyDescent="0.25">
      <c r="J275" s="134"/>
      <c r="K275" s="36"/>
      <c r="L275" s="37"/>
      <c r="M275" s="37"/>
      <c r="N275" s="37"/>
      <c r="O275" s="36"/>
      <c r="P275" s="36"/>
      <c r="Q275" s="36"/>
      <c r="R275" s="36"/>
      <c r="U275" s="27"/>
    </row>
    <row r="276" spans="10:21" x14ac:dyDescent="0.25">
      <c r="J276" s="134"/>
      <c r="K276" s="36"/>
      <c r="L276" s="37"/>
      <c r="M276" s="37"/>
      <c r="N276" s="37"/>
      <c r="O276" s="36"/>
      <c r="P276" s="36"/>
      <c r="Q276" s="36"/>
      <c r="R276" s="36"/>
      <c r="U276" s="27"/>
    </row>
    <row r="277" spans="10:21" x14ac:dyDescent="0.25">
      <c r="J277" s="134"/>
      <c r="K277" s="36"/>
      <c r="L277" s="37"/>
      <c r="M277" s="37"/>
      <c r="N277" s="37"/>
      <c r="O277" s="36"/>
      <c r="P277" s="36"/>
      <c r="Q277" s="36"/>
      <c r="R277" s="36"/>
      <c r="U277" s="27"/>
    </row>
    <row r="278" spans="10:21" x14ac:dyDescent="0.25">
      <c r="J278" s="134"/>
      <c r="K278" s="36"/>
      <c r="L278" s="37"/>
      <c r="M278" s="37"/>
      <c r="N278" s="37"/>
      <c r="O278" s="36"/>
      <c r="P278" s="36"/>
      <c r="Q278" s="36"/>
      <c r="R278" s="36"/>
      <c r="U278" s="27"/>
    </row>
    <row r="279" spans="10:21" x14ac:dyDescent="0.25">
      <c r="J279" s="134"/>
      <c r="K279" s="36"/>
      <c r="L279" s="37"/>
      <c r="M279" s="37"/>
      <c r="N279" s="37"/>
      <c r="O279" s="36"/>
      <c r="P279" s="36"/>
      <c r="Q279" s="36"/>
      <c r="R279" s="36"/>
      <c r="U279" s="27"/>
    </row>
    <row r="280" spans="10:21" x14ac:dyDescent="0.25">
      <c r="J280" s="134"/>
      <c r="K280" s="36"/>
      <c r="L280" s="37"/>
      <c r="M280" s="37"/>
      <c r="N280" s="37"/>
      <c r="O280" s="36"/>
      <c r="P280" s="36"/>
      <c r="Q280" s="36"/>
      <c r="R280" s="36"/>
      <c r="U280" s="27"/>
    </row>
    <row r="281" spans="10:21" x14ac:dyDescent="0.25">
      <c r="J281" s="134"/>
      <c r="K281" s="36"/>
      <c r="L281" s="37"/>
      <c r="M281" s="37"/>
      <c r="N281" s="37"/>
      <c r="O281" s="36"/>
      <c r="P281" s="36"/>
      <c r="Q281" s="36"/>
      <c r="R281" s="36"/>
      <c r="U281" s="27"/>
    </row>
    <row r="282" spans="10:21" x14ac:dyDescent="0.25">
      <c r="J282" s="134"/>
      <c r="K282" s="36"/>
      <c r="L282" s="37"/>
      <c r="M282" s="37"/>
      <c r="N282" s="37"/>
      <c r="O282" s="36"/>
      <c r="P282" s="36"/>
      <c r="Q282" s="36"/>
      <c r="R282" s="36"/>
      <c r="U282" s="27"/>
    </row>
    <row r="283" spans="10:21" x14ac:dyDescent="0.25">
      <c r="J283" s="134"/>
      <c r="K283" s="36"/>
      <c r="L283" s="37"/>
      <c r="M283" s="37"/>
      <c r="N283" s="37"/>
      <c r="O283" s="36"/>
      <c r="P283" s="36"/>
      <c r="Q283" s="36"/>
      <c r="R283" s="36"/>
      <c r="U283" s="27"/>
    </row>
    <row r="284" spans="10:21" x14ac:dyDescent="0.25">
      <c r="J284" s="134"/>
      <c r="K284" s="36"/>
      <c r="L284" s="37"/>
      <c r="M284" s="37"/>
      <c r="N284" s="37"/>
      <c r="O284" s="36"/>
      <c r="P284" s="36"/>
      <c r="Q284" s="36"/>
      <c r="R284" s="36"/>
      <c r="U284" s="27"/>
    </row>
    <row r="285" spans="10:21" x14ac:dyDescent="0.25">
      <c r="J285" s="134"/>
      <c r="K285" s="36"/>
      <c r="L285" s="37"/>
      <c r="M285" s="37"/>
      <c r="N285" s="37"/>
      <c r="O285" s="36"/>
      <c r="P285" s="36"/>
      <c r="Q285" s="36"/>
      <c r="R285" s="36"/>
      <c r="U285" s="27"/>
    </row>
    <row r="286" spans="10:21" x14ac:dyDescent="0.25">
      <c r="J286" s="134"/>
      <c r="K286" s="36"/>
      <c r="L286" s="37"/>
      <c r="M286" s="37"/>
      <c r="N286" s="37"/>
      <c r="O286" s="36"/>
      <c r="P286" s="36"/>
      <c r="Q286" s="36"/>
      <c r="R286" s="36"/>
      <c r="U286" s="27"/>
    </row>
    <row r="287" spans="10:21" x14ac:dyDescent="0.25">
      <c r="J287" s="134"/>
      <c r="K287" s="36"/>
      <c r="L287" s="37"/>
      <c r="M287" s="37"/>
      <c r="N287" s="37"/>
      <c r="O287" s="36"/>
      <c r="P287" s="36"/>
      <c r="Q287" s="36"/>
      <c r="R287" s="36"/>
      <c r="U287" s="27"/>
    </row>
    <row r="288" spans="10:21" x14ac:dyDescent="0.25">
      <c r="J288" s="134"/>
      <c r="K288" s="36"/>
      <c r="L288" s="37"/>
      <c r="M288" s="37"/>
      <c r="N288" s="37"/>
      <c r="O288" s="36"/>
      <c r="P288" s="36"/>
      <c r="Q288" s="36"/>
      <c r="R288" s="36"/>
      <c r="U288" s="27"/>
    </row>
    <row r="289" spans="10:21" x14ac:dyDescent="0.25">
      <c r="J289" s="134"/>
      <c r="K289" s="36"/>
      <c r="L289" s="37"/>
      <c r="M289" s="37"/>
      <c r="N289" s="37"/>
      <c r="O289" s="36"/>
      <c r="P289" s="36"/>
      <c r="Q289" s="36"/>
      <c r="R289" s="36"/>
      <c r="U289" s="27"/>
    </row>
    <row r="290" spans="10:21" x14ac:dyDescent="0.25">
      <c r="J290" s="134"/>
      <c r="K290" s="36"/>
      <c r="L290" s="37"/>
      <c r="M290" s="37"/>
      <c r="N290" s="37"/>
      <c r="O290" s="36"/>
      <c r="P290" s="36"/>
      <c r="Q290" s="36"/>
      <c r="R290" s="36"/>
      <c r="U290" s="27"/>
    </row>
    <row r="291" spans="10:21" x14ac:dyDescent="0.25">
      <c r="J291" s="134"/>
      <c r="K291" s="36"/>
      <c r="L291" s="37"/>
      <c r="M291" s="37"/>
      <c r="N291" s="37"/>
      <c r="O291" s="36"/>
      <c r="P291" s="36"/>
      <c r="Q291" s="36"/>
      <c r="R291" s="36"/>
      <c r="U291" s="27"/>
    </row>
    <row r="292" spans="10:21" x14ac:dyDescent="0.25">
      <c r="J292" s="134"/>
      <c r="K292" s="36"/>
      <c r="L292" s="37"/>
      <c r="M292" s="37"/>
      <c r="N292" s="37"/>
      <c r="O292" s="36"/>
      <c r="P292" s="36"/>
      <c r="Q292" s="36"/>
      <c r="R292" s="36"/>
      <c r="U292" s="27"/>
    </row>
    <row r="293" spans="10:21" x14ac:dyDescent="0.25">
      <c r="J293" s="134"/>
      <c r="K293" s="36"/>
      <c r="L293" s="37"/>
      <c r="M293" s="37"/>
      <c r="N293" s="37"/>
      <c r="O293" s="36"/>
      <c r="P293" s="36"/>
      <c r="Q293" s="36"/>
      <c r="R293" s="36"/>
      <c r="U293" s="27"/>
    </row>
    <row r="294" spans="10:21" x14ac:dyDescent="0.25">
      <c r="J294" s="134"/>
      <c r="K294" s="36"/>
      <c r="L294" s="37"/>
      <c r="M294" s="37"/>
      <c r="N294" s="37"/>
      <c r="O294" s="36"/>
      <c r="P294" s="36"/>
      <c r="Q294" s="36"/>
      <c r="R294" s="36"/>
      <c r="U294" s="27"/>
    </row>
    <row r="295" spans="10:21" x14ac:dyDescent="0.25">
      <c r="J295" s="134"/>
      <c r="K295" s="36"/>
      <c r="L295" s="37"/>
      <c r="M295" s="37"/>
      <c r="N295" s="37"/>
      <c r="O295" s="36"/>
      <c r="P295" s="36"/>
      <c r="Q295" s="36"/>
      <c r="R295" s="36"/>
      <c r="U295" s="27"/>
    </row>
    <row r="296" spans="10:21" x14ac:dyDescent="0.25">
      <c r="J296" s="134"/>
      <c r="K296" s="36"/>
      <c r="L296" s="37"/>
      <c r="M296" s="37"/>
      <c r="N296" s="37"/>
      <c r="O296" s="36"/>
      <c r="P296" s="36"/>
      <c r="Q296" s="36"/>
      <c r="R296" s="36"/>
      <c r="U296" s="27"/>
    </row>
    <row r="297" spans="10:21" x14ac:dyDescent="0.25">
      <c r="J297" s="134"/>
      <c r="K297" s="36"/>
      <c r="L297" s="37"/>
      <c r="M297" s="37"/>
      <c r="N297" s="37"/>
      <c r="O297" s="36"/>
      <c r="P297" s="36"/>
      <c r="Q297" s="36"/>
      <c r="R297" s="36"/>
      <c r="U297" s="27"/>
    </row>
    <row r="298" spans="10:21" x14ac:dyDescent="0.25">
      <c r="J298" s="134"/>
      <c r="K298" s="36"/>
      <c r="L298" s="37"/>
      <c r="M298" s="37"/>
      <c r="N298" s="37"/>
      <c r="O298" s="36"/>
      <c r="P298" s="36"/>
      <c r="Q298" s="36"/>
      <c r="R298" s="36"/>
      <c r="U298" s="27"/>
    </row>
    <row r="299" spans="10:21" x14ac:dyDescent="0.25">
      <c r="J299" s="134"/>
      <c r="K299" s="36"/>
      <c r="L299" s="37"/>
      <c r="M299" s="37"/>
      <c r="N299" s="37"/>
      <c r="O299" s="36"/>
      <c r="P299" s="36"/>
      <c r="Q299" s="36"/>
      <c r="R299" s="36"/>
      <c r="U299" s="27"/>
    </row>
    <row r="300" spans="10:21" x14ac:dyDescent="0.25">
      <c r="J300" s="134"/>
      <c r="K300" s="36"/>
      <c r="L300" s="37"/>
      <c r="M300" s="37"/>
      <c r="N300" s="37"/>
      <c r="O300" s="36"/>
      <c r="P300" s="36"/>
      <c r="Q300" s="36"/>
      <c r="R300" s="36"/>
      <c r="U300" s="27"/>
    </row>
    <row r="301" spans="10:21" x14ac:dyDescent="0.25">
      <c r="J301" s="134"/>
      <c r="K301" s="36"/>
      <c r="L301" s="37"/>
      <c r="M301" s="37"/>
      <c r="N301" s="37"/>
      <c r="O301" s="36"/>
      <c r="P301" s="36"/>
      <c r="Q301" s="36"/>
      <c r="R301" s="36"/>
      <c r="U301" s="27"/>
    </row>
    <row r="302" spans="10:21" x14ac:dyDescent="0.25">
      <c r="J302" s="134"/>
      <c r="K302" s="36"/>
      <c r="L302" s="37"/>
      <c r="M302" s="37"/>
      <c r="N302" s="37"/>
      <c r="O302" s="36"/>
      <c r="P302" s="36"/>
      <c r="Q302" s="36"/>
      <c r="R302" s="36"/>
      <c r="U302" s="27"/>
    </row>
    <row r="303" spans="10:21" x14ac:dyDescent="0.25">
      <c r="J303" s="134"/>
      <c r="K303" s="36"/>
      <c r="L303" s="37"/>
      <c r="M303" s="37"/>
      <c r="N303" s="37"/>
      <c r="O303" s="36"/>
      <c r="P303" s="36"/>
      <c r="Q303" s="36"/>
      <c r="R303" s="36"/>
      <c r="U303" s="27"/>
    </row>
    <row r="304" spans="10:21" x14ac:dyDescent="0.25">
      <c r="J304" s="134"/>
      <c r="K304" s="36"/>
      <c r="L304" s="37"/>
      <c r="M304" s="37"/>
      <c r="N304" s="37"/>
      <c r="O304" s="36"/>
      <c r="P304" s="36"/>
      <c r="Q304" s="36"/>
      <c r="R304" s="36"/>
      <c r="U304" s="27"/>
    </row>
    <row r="305" spans="10:21" x14ac:dyDescent="0.25">
      <c r="J305" s="134"/>
      <c r="K305" s="36"/>
      <c r="L305" s="37"/>
      <c r="M305" s="37"/>
      <c r="N305" s="37"/>
      <c r="O305" s="36"/>
      <c r="P305" s="36"/>
      <c r="Q305" s="36"/>
      <c r="R305" s="36"/>
      <c r="U305" s="27"/>
    </row>
    <row r="306" spans="10:21" x14ac:dyDescent="0.25">
      <c r="J306" s="134"/>
      <c r="K306" s="36"/>
      <c r="L306" s="37"/>
      <c r="M306" s="37"/>
      <c r="N306" s="37"/>
      <c r="O306" s="36"/>
      <c r="P306" s="36"/>
      <c r="Q306" s="36"/>
      <c r="R306" s="36"/>
      <c r="U306" s="27"/>
    </row>
    <row r="307" spans="10:21" x14ac:dyDescent="0.25">
      <c r="J307" s="134"/>
      <c r="K307" s="36"/>
      <c r="L307" s="37"/>
      <c r="M307" s="37"/>
      <c r="N307" s="37"/>
      <c r="O307" s="36"/>
      <c r="P307" s="36"/>
      <c r="Q307" s="36"/>
      <c r="R307" s="36"/>
      <c r="U307" s="27"/>
    </row>
    <row r="308" spans="10:21" x14ac:dyDescent="0.25">
      <c r="J308" s="134"/>
      <c r="K308" s="36"/>
      <c r="L308" s="37"/>
      <c r="M308" s="37"/>
      <c r="N308" s="37"/>
      <c r="O308" s="36"/>
      <c r="P308" s="36"/>
      <c r="Q308" s="36"/>
      <c r="R308" s="36"/>
      <c r="U308" s="27"/>
    </row>
    <row r="309" spans="10:21" x14ac:dyDescent="0.25">
      <c r="J309" s="134"/>
      <c r="K309" s="36"/>
      <c r="L309" s="37"/>
      <c r="M309" s="37"/>
      <c r="N309" s="37"/>
      <c r="O309" s="36"/>
      <c r="P309" s="36"/>
      <c r="Q309" s="36"/>
      <c r="R309" s="36"/>
      <c r="U309" s="27"/>
    </row>
    <row r="310" spans="10:21" x14ac:dyDescent="0.25">
      <c r="J310" s="134"/>
      <c r="K310" s="36"/>
      <c r="L310" s="37"/>
      <c r="M310" s="37"/>
      <c r="N310" s="37"/>
      <c r="O310" s="36"/>
      <c r="P310" s="36"/>
      <c r="Q310" s="36"/>
      <c r="R310" s="36"/>
      <c r="U310" s="27"/>
    </row>
    <row r="311" spans="10:21" x14ac:dyDescent="0.25">
      <c r="J311" s="134"/>
      <c r="K311" s="36"/>
      <c r="L311" s="37"/>
      <c r="M311" s="37"/>
      <c r="N311" s="37"/>
      <c r="O311" s="36"/>
      <c r="P311" s="36"/>
      <c r="Q311" s="36"/>
      <c r="R311" s="36"/>
      <c r="U311" s="27"/>
    </row>
    <row r="312" spans="10:21" x14ac:dyDescent="0.25">
      <c r="J312" s="134"/>
      <c r="K312" s="36"/>
      <c r="L312" s="37"/>
      <c r="M312" s="37"/>
      <c r="N312" s="37"/>
      <c r="O312" s="36"/>
      <c r="P312" s="36"/>
      <c r="Q312" s="36"/>
      <c r="R312" s="36"/>
      <c r="U312" s="27"/>
    </row>
    <row r="313" spans="10:21" x14ac:dyDescent="0.25">
      <c r="J313" s="134"/>
      <c r="K313" s="36"/>
      <c r="L313" s="37"/>
      <c r="M313" s="37"/>
      <c r="N313" s="37"/>
      <c r="O313" s="36"/>
      <c r="P313" s="36"/>
      <c r="Q313" s="36"/>
      <c r="R313" s="36"/>
      <c r="U313" s="27"/>
    </row>
    <row r="314" spans="10:21" x14ac:dyDescent="0.25">
      <c r="J314" s="134"/>
      <c r="K314" s="36"/>
      <c r="L314" s="37"/>
      <c r="M314" s="37"/>
      <c r="N314" s="37"/>
      <c r="O314" s="36"/>
      <c r="P314" s="36"/>
      <c r="Q314" s="36"/>
      <c r="R314" s="36"/>
      <c r="U314" s="27"/>
    </row>
    <row r="315" spans="10:21" x14ac:dyDescent="0.25">
      <c r="J315" s="134"/>
      <c r="K315" s="36"/>
      <c r="L315" s="37"/>
      <c r="M315" s="37"/>
      <c r="N315" s="37"/>
      <c r="O315" s="36"/>
      <c r="P315" s="36"/>
      <c r="Q315" s="36"/>
      <c r="R315" s="36"/>
      <c r="U315" s="27"/>
    </row>
    <row r="316" spans="10:21" x14ac:dyDescent="0.25">
      <c r="J316" s="134"/>
      <c r="K316" s="36"/>
      <c r="L316" s="37"/>
      <c r="M316" s="37"/>
      <c r="N316" s="37"/>
      <c r="O316" s="36"/>
      <c r="P316" s="36"/>
      <c r="Q316" s="36"/>
      <c r="R316" s="36"/>
      <c r="U316" s="27"/>
    </row>
    <row r="317" spans="10:21" x14ac:dyDescent="0.25">
      <c r="J317" s="134"/>
      <c r="K317" s="36"/>
      <c r="L317" s="37"/>
      <c r="M317" s="37"/>
      <c r="N317" s="37"/>
      <c r="O317" s="36"/>
      <c r="P317" s="36"/>
      <c r="Q317" s="36"/>
      <c r="R317" s="36"/>
      <c r="U317" s="27"/>
    </row>
    <row r="318" spans="10:21" x14ac:dyDescent="0.25">
      <c r="J318" s="134"/>
      <c r="K318" s="36"/>
      <c r="L318" s="37"/>
      <c r="M318" s="37"/>
      <c r="N318" s="37"/>
      <c r="O318" s="36"/>
      <c r="P318" s="36"/>
      <c r="Q318" s="36"/>
      <c r="R318" s="36"/>
      <c r="U318" s="27"/>
    </row>
    <row r="319" spans="10:21" x14ac:dyDescent="0.25">
      <c r="J319" s="134"/>
      <c r="K319" s="36"/>
      <c r="L319" s="37"/>
      <c r="M319" s="37"/>
      <c r="N319" s="37"/>
      <c r="O319" s="36"/>
      <c r="P319" s="36"/>
      <c r="Q319" s="36"/>
      <c r="R319" s="36"/>
      <c r="U319" s="27"/>
    </row>
    <row r="320" spans="10:21" x14ac:dyDescent="0.25">
      <c r="J320" s="60"/>
      <c r="K320" s="36"/>
      <c r="L320" s="37"/>
      <c r="M320" s="37"/>
      <c r="N320" s="37"/>
      <c r="O320" s="36"/>
      <c r="P320" s="36"/>
      <c r="Q320" s="36"/>
      <c r="U320" s="27"/>
    </row>
    <row r="321" spans="10:21" x14ac:dyDescent="0.25">
      <c r="J321" s="60"/>
      <c r="K321" s="36"/>
      <c r="L321" s="37"/>
      <c r="M321" s="37"/>
      <c r="N321" s="37"/>
      <c r="O321" s="36"/>
      <c r="P321" s="36"/>
      <c r="Q321" s="36"/>
      <c r="U321" s="27"/>
    </row>
    <row r="322" spans="10:21" x14ac:dyDescent="0.25">
      <c r="J322" s="60"/>
      <c r="K322" s="36"/>
      <c r="L322" s="37"/>
      <c r="M322" s="37"/>
      <c r="N322" s="37"/>
      <c r="O322" s="36"/>
      <c r="P322" s="36"/>
      <c r="Q322" s="36"/>
      <c r="U322" s="27"/>
    </row>
    <row r="323" spans="10:21" x14ac:dyDescent="0.25">
      <c r="J323" s="60"/>
      <c r="K323" s="36"/>
      <c r="L323" s="37"/>
      <c r="M323" s="37"/>
      <c r="N323" s="37"/>
      <c r="O323" s="36"/>
      <c r="P323" s="36"/>
      <c r="Q323" s="36"/>
      <c r="U323" s="27"/>
    </row>
    <row r="324" spans="10:21" x14ac:dyDescent="0.25">
      <c r="J324" s="60"/>
      <c r="K324" s="36"/>
      <c r="L324" s="37"/>
      <c r="M324" s="37"/>
      <c r="N324" s="37"/>
      <c r="O324" s="36"/>
      <c r="P324" s="36"/>
      <c r="Q324" s="36"/>
      <c r="U324" s="27"/>
    </row>
    <row r="325" spans="10:21" x14ac:dyDescent="0.25">
      <c r="J325" s="60"/>
      <c r="K325" s="36"/>
      <c r="L325" s="37"/>
      <c r="M325" s="37"/>
      <c r="N325" s="37"/>
      <c r="O325" s="36"/>
      <c r="P325" s="36"/>
      <c r="Q325" s="36"/>
      <c r="U325" s="27"/>
    </row>
    <row r="326" spans="10:21" x14ac:dyDescent="0.25">
      <c r="J326" s="60"/>
      <c r="K326" s="36"/>
      <c r="L326" s="37"/>
      <c r="M326" s="37"/>
      <c r="N326" s="37"/>
      <c r="O326" s="36"/>
      <c r="P326" s="36"/>
      <c r="Q326" s="36"/>
      <c r="U326" s="27"/>
    </row>
    <row r="327" spans="10:21" x14ac:dyDescent="0.25">
      <c r="J327" s="60"/>
      <c r="K327" s="36"/>
      <c r="L327" s="37"/>
      <c r="M327" s="37"/>
      <c r="N327" s="37"/>
      <c r="O327" s="36"/>
      <c r="P327" s="36"/>
      <c r="Q327" s="36"/>
      <c r="U327" s="27"/>
    </row>
    <row r="328" spans="10:21" x14ac:dyDescent="0.25">
      <c r="J328" s="60"/>
      <c r="K328" s="36"/>
      <c r="L328" s="37"/>
      <c r="M328" s="37"/>
      <c r="N328" s="37"/>
      <c r="O328" s="36"/>
      <c r="P328" s="36"/>
      <c r="Q328" s="36"/>
      <c r="U328" s="27"/>
    </row>
    <row r="329" spans="10:21" x14ac:dyDescent="0.25">
      <c r="J329" s="60"/>
      <c r="K329" s="36"/>
      <c r="L329" s="37"/>
      <c r="M329" s="37"/>
      <c r="N329" s="37"/>
      <c r="O329" s="36"/>
      <c r="P329" s="36"/>
      <c r="Q329" s="36"/>
      <c r="U329" s="27"/>
    </row>
    <row r="330" spans="10:21" x14ac:dyDescent="0.25">
      <c r="J330" s="60"/>
      <c r="K330" s="36"/>
      <c r="L330" s="37"/>
      <c r="M330" s="37"/>
      <c r="N330" s="37"/>
      <c r="O330" s="36"/>
      <c r="P330" s="36"/>
      <c r="Q330" s="36"/>
      <c r="U330" s="27"/>
    </row>
    <row r="331" spans="10:21" x14ac:dyDescent="0.25">
      <c r="J331" s="60"/>
      <c r="K331" s="36"/>
      <c r="L331" s="37"/>
      <c r="M331" s="37"/>
      <c r="N331" s="37"/>
      <c r="O331" s="36"/>
      <c r="P331" s="36"/>
      <c r="Q331" s="36"/>
      <c r="U331" s="27"/>
    </row>
    <row r="332" spans="10:21" x14ac:dyDescent="0.25">
      <c r="J332" s="60"/>
      <c r="K332" s="36"/>
      <c r="L332" s="37"/>
      <c r="M332" s="37"/>
      <c r="N332" s="37"/>
      <c r="O332" s="36"/>
      <c r="P332" s="36"/>
      <c r="Q332" s="36"/>
      <c r="U332" s="27"/>
    </row>
    <row r="333" spans="10:21" x14ac:dyDescent="0.25">
      <c r="J333" s="60"/>
      <c r="K333" s="36"/>
      <c r="L333" s="37"/>
      <c r="M333" s="37"/>
      <c r="N333" s="37"/>
      <c r="O333" s="36"/>
      <c r="P333" s="36"/>
      <c r="Q333" s="36"/>
      <c r="U333" s="27"/>
    </row>
    <row r="334" spans="10:21" x14ac:dyDescent="0.25">
      <c r="J334" s="60"/>
      <c r="K334" s="36"/>
      <c r="L334" s="37"/>
      <c r="M334" s="37"/>
      <c r="N334" s="37"/>
      <c r="O334" s="36"/>
      <c r="P334" s="36"/>
      <c r="Q334" s="36"/>
      <c r="U334" s="27"/>
    </row>
    <row r="335" spans="10:21" x14ac:dyDescent="0.25">
      <c r="J335" s="60"/>
      <c r="K335" s="36"/>
      <c r="L335" s="37"/>
      <c r="M335" s="37"/>
      <c r="N335" s="37"/>
      <c r="O335" s="36"/>
      <c r="P335" s="36"/>
      <c r="Q335" s="36"/>
      <c r="U335" s="27"/>
    </row>
    <row r="336" spans="10:21" x14ac:dyDescent="0.25">
      <c r="J336" s="60"/>
      <c r="K336" s="36"/>
      <c r="L336" s="37"/>
      <c r="M336" s="37"/>
      <c r="N336" s="37"/>
      <c r="O336" s="36"/>
      <c r="P336" s="36"/>
      <c r="Q336" s="36"/>
      <c r="U336" s="27"/>
    </row>
    <row r="337" spans="10:21" x14ac:dyDescent="0.25">
      <c r="J337" s="60"/>
      <c r="K337" s="36"/>
      <c r="L337" s="37"/>
      <c r="M337" s="37"/>
      <c r="N337" s="37"/>
      <c r="O337" s="36"/>
      <c r="P337" s="36"/>
      <c r="Q337" s="36"/>
      <c r="U337" s="27"/>
    </row>
    <row r="338" spans="10:21" x14ac:dyDescent="0.25">
      <c r="J338" s="60"/>
      <c r="K338" s="36"/>
      <c r="L338" s="37"/>
      <c r="M338" s="37"/>
      <c r="N338" s="37"/>
      <c r="O338" s="36"/>
      <c r="P338" s="36"/>
      <c r="Q338" s="36"/>
      <c r="U338" s="27"/>
    </row>
    <row r="339" spans="10:21" x14ac:dyDescent="0.25">
      <c r="J339" s="60"/>
      <c r="K339" s="36"/>
      <c r="L339" s="37"/>
      <c r="M339" s="37"/>
      <c r="N339" s="37"/>
      <c r="O339" s="36"/>
      <c r="P339" s="36"/>
      <c r="Q339" s="36"/>
      <c r="U339" s="27"/>
    </row>
    <row r="340" spans="10:21" x14ac:dyDescent="0.25">
      <c r="J340" s="60"/>
      <c r="K340" s="36"/>
      <c r="L340" s="37"/>
      <c r="M340" s="37"/>
      <c r="N340" s="37"/>
      <c r="O340" s="36"/>
      <c r="P340" s="36"/>
      <c r="Q340" s="36"/>
      <c r="U340" s="27"/>
    </row>
    <row r="341" spans="10:21" x14ac:dyDescent="0.25">
      <c r="J341" s="60"/>
      <c r="K341" s="36"/>
      <c r="L341" s="37"/>
      <c r="M341" s="37"/>
      <c r="N341" s="37"/>
      <c r="O341" s="36"/>
      <c r="P341" s="36"/>
      <c r="Q341" s="36"/>
      <c r="U341" s="27"/>
    </row>
    <row r="342" spans="10:21" x14ac:dyDescent="0.25">
      <c r="J342" s="60"/>
      <c r="K342" s="36"/>
      <c r="L342" s="37"/>
      <c r="M342" s="37"/>
      <c r="N342" s="37"/>
      <c r="O342" s="36"/>
      <c r="P342" s="36"/>
      <c r="Q342" s="36"/>
      <c r="U342" s="27"/>
    </row>
    <row r="343" spans="10:21" x14ac:dyDescent="0.25">
      <c r="J343" s="60"/>
      <c r="K343" s="36"/>
      <c r="L343" s="37"/>
      <c r="M343" s="37"/>
      <c r="N343" s="37"/>
      <c r="O343" s="36"/>
      <c r="P343" s="36"/>
      <c r="Q343" s="36"/>
      <c r="U343" s="27"/>
    </row>
    <row r="344" spans="10:21" x14ac:dyDescent="0.25">
      <c r="J344" s="60"/>
      <c r="K344" s="36"/>
      <c r="L344" s="37"/>
      <c r="M344" s="37"/>
      <c r="N344" s="37"/>
      <c r="O344" s="36"/>
      <c r="P344" s="36"/>
      <c r="Q344" s="36"/>
      <c r="U344" s="27"/>
    </row>
    <row r="345" spans="10:21" x14ac:dyDescent="0.25">
      <c r="J345" s="60"/>
      <c r="K345" s="36"/>
      <c r="L345" s="37"/>
      <c r="M345" s="37"/>
      <c r="N345" s="37"/>
      <c r="O345" s="36"/>
      <c r="P345" s="36"/>
      <c r="Q345" s="36"/>
      <c r="U345" s="27"/>
    </row>
    <row r="346" spans="10:21" x14ac:dyDescent="0.25">
      <c r="J346" s="60"/>
      <c r="K346" s="36"/>
      <c r="L346" s="37"/>
      <c r="M346" s="37"/>
      <c r="N346" s="37"/>
      <c r="O346" s="36"/>
      <c r="P346" s="36"/>
      <c r="Q346" s="36"/>
      <c r="U346" s="27"/>
    </row>
    <row r="347" spans="10:21" x14ac:dyDescent="0.25">
      <c r="J347" s="60"/>
      <c r="K347" s="36"/>
      <c r="L347" s="37"/>
      <c r="M347" s="37"/>
      <c r="N347" s="37"/>
      <c r="O347" s="36"/>
      <c r="P347" s="36"/>
      <c r="Q347" s="36"/>
      <c r="U347" s="27"/>
    </row>
    <row r="348" spans="10:21" x14ac:dyDescent="0.25">
      <c r="J348" s="60"/>
      <c r="K348" s="36"/>
      <c r="L348" s="37"/>
      <c r="M348" s="37"/>
      <c r="N348" s="37"/>
      <c r="O348" s="36"/>
      <c r="P348" s="36"/>
      <c r="Q348" s="36"/>
      <c r="U348" s="27"/>
    </row>
    <row r="349" spans="10:21" x14ac:dyDescent="0.25">
      <c r="J349" s="60"/>
      <c r="K349" s="36"/>
      <c r="L349" s="37"/>
      <c r="M349" s="37"/>
      <c r="N349" s="37"/>
      <c r="O349" s="36"/>
      <c r="P349" s="36"/>
      <c r="Q349" s="36"/>
      <c r="U349" s="27"/>
    </row>
    <row r="350" spans="10:21" x14ac:dyDescent="0.25">
      <c r="J350" s="60"/>
      <c r="K350" s="36"/>
      <c r="L350" s="37"/>
      <c r="M350" s="37"/>
      <c r="N350" s="37"/>
      <c r="O350" s="36"/>
      <c r="P350" s="36"/>
      <c r="Q350" s="36"/>
      <c r="U350" s="27"/>
    </row>
    <row r="351" spans="10:21" x14ac:dyDescent="0.25">
      <c r="J351" s="60"/>
      <c r="K351" s="36"/>
      <c r="L351" s="37"/>
      <c r="M351" s="37"/>
      <c r="N351" s="37"/>
      <c r="O351" s="36"/>
      <c r="P351" s="36"/>
      <c r="Q351" s="36"/>
      <c r="U351" s="27"/>
    </row>
    <row r="352" spans="10:21" x14ac:dyDescent="0.25">
      <c r="J352" s="60"/>
      <c r="K352" s="36"/>
      <c r="L352" s="37"/>
      <c r="M352" s="37"/>
      <c r="N352" s="37"/>
      <c r="O352" s="36"/>
      <c r="P352" s="36"/>
      <c r="Q352" s="36"/>
      <c r="U352" s="27"/>
    </row>
    <row r="353" spans="10:21" x14ac:dyDescent="0.25">
      <c r="J353" s="60"/>
      <c r="K353" s="36"/>
      <c r="L353" s="37"/>
      <c r="M353" s="37"/>
      <c r="N353" s="37"/>
      <c r="O353" s="36"/>
      <c r="P353" s="36"/>
      <c r="Q353" s="36"/>
      <c r="U353" s="27"/>
    </row>
    <row r="354" spans="10:21" x14ac:dyDescent="0.25">
      <c r="J354" s="60"/>
      <c r="K354" s="36"/>
      <c r="L354" s="37"/>
      <c r="M354" s="37"/>
      <c r="N354" s="37"/>
      <c r="O354" s="36"/>
      <c r="P354" s="36"/>
      <c r="Q354" s="36"/>
      <c r="U354" s="27"/>
    </row>
    <row r="355" spans="10:21" x14ac:dyDescent="0.25">
      <c r="J355" s="60"/>
      <c r="K355" s="36"/>
      <c r="L355" s="37"/>
      <c r="M355" s="37"/>
      <c r="N355" s="37"/>
      <c r="O355" s="36"/>
      <c r="P355" s="36"/>
      <c r="Q355" s="36"/>
      <c r="U355" s="27"/>
    </row>
    <row r="356" spans="10:21" x14ac:dyDescent="0.25">
      <c r="J356" s="60"/>
      <c r="K356" s="36"/>
      <c r="L356" s="37"/>
      <c r="M356" s="37"/>
      <c r="N356" s="37"/>
      <c r="O356" s="36"/>
      <c r="P356" s="36"/>
      <c r="Q356" s="36"/>
      <c r="U356" s="27"/>
    </row>
    <row r="357" spans="10:21" x14ac:dyDescent="0.25">
      <c r="J357" s="60"/>
      <c r="K357" s="36"/>
      <c r="L357" s="37"/>
      <c r="M357" s="37"/>
      <c r="N357" s="37"/>
      <c r="O357" s="36"/>
      <c r="P357" s="36"/>
      <c r="Q357" s="36"/>
      <c r="U357" s="27"/>
    </row>
    <row r="358" spans="10:21" x14ac:dyDescent="0.25">
      <c r="J358" s="60"/>
      <c r="K358" s="36"/>
      <c r="L358" s="37"/>
      <c r="M358" s="37"/>
      <c r="N358" s="37"/>
      <c r="O358" s="36"/>
      <c r="P358" s="36"/>
      <c r="Q358" s="36"/>
      <c r="U358" s="27"/>
    </row>
    <row r="359" spans="10:21" x14ac:dyDescent="0.25">
      <c r="J359" s="60"/>
      <c r="K359" s="36"/>
      <c r="L359" s="37"/>
      <c r="M359" s="37"/>
      <c r="N359" s="37"/>
      <c r="O359" s="36"/>
      <c r="P359" s="36"/>
      <c r="Q359" s="36"/>
      <c r="U359" s="27"/>
    </row>
    <row r="360" spans="10:21" x14ac:dyDescent="0.25">
      <c r="J360" s="60"/>
      <c r="K360" s="36"/>
      <c r="L360" s="37"/>
      <c r="M360" s="37"/>
      <c r="N360" s="37"/>
      <c r="O360" s="36"/>
      <c r="P360" s="36"/>
      <c r="Q360" s="36"/>
      <c r="U360" s="27"/>
    </row>
    <row r="361" spans="10:21" x14ac:dyDescent="0.25">
      <c r="J361" s="60"/>
      <c r="K361" s="36"/>
      <c r="L361" s="37"/>
      <c r="M361" s="37"/>
      <c r="N361" s="37"/>
      <c r="O361" s="36"/>
      <c r="P361" s="36"/>
      <c r="Q361" s="36"/>
      <c r="U361" s="27"/>
    </row>
    <row r="362" spans="10:21" x14ac:dyDescent="0.25">
      <c r="J362" s="60"/>
      <c r="K362" s="36"/>
      <c r="L362" s="37"/>
      <c r="M362" s="37"/>
      <c r="N362" s="37"/>
      <c r="O362" s="36"/>
      <c r="P362" s="36"/>
      <c r="Q362" s="36"/>
      <c r="U362" s="27"/>
    </row>
    <row r="363" spans="10:21" x14ac:dyDescent="0.25">
      <c r="J363" s="60"/>
      <c r="K363" s="36"/>
      <c r="L363" s="37"/>
      <c r="M363" s="37"/>
      <c r="N363" s="37"/>
      <c r="O363" s="36"/>
      <c r="P363" s="36"/>
      <c r="Q363" s="36"/>
      <c r="U363" s="27"/>
    </row>
    <row r="364" spans="10:21" x14ac:dyDescent="0.25">
      <c r="J364" s="60"/>
      <c r="K364" s="36"/>
      <c r="L364" s="37"/>
      <c r="M364" s="37"/>
      <c r="N364" s="37"/>
      <c r="O364" s="36"/>
      <c r="P364" s="36"/>
      <c r="Q364" s="36"/>
      <c r="U364" s="27"/>
    </row>
    <row r="365" spans="10:21" x14ac:dyDescent="0.25">
      <c r="J365" s="60"/>
      <c r="K365" s="36"/>
      <c r="L365" s="37"/>
      <c r="M365" s="37"/>
      <c r="N365" s="37"/>
      <c r="O365" s="36"/>
      <c r="P365" s="36"/>
      <c r="Q365" s="36"/>
      <c r="U365" s="27"/>
    </row>
    <row r="366" spans="10:21" x14ac:dyDescent="0.25">
      <c r="J366" s="60"/>
      <c r="K366" s="36"/>
      <c r="L366" s="37"/>
      <c r="M366" s="37"/>
      <c r="N366" s="37"/>
      <c r="O366" s="36"/>
      <c r="P366" s="36"/>
      <c r="Q366" s="36"/>
      <c r="U366" s="27"/>
    </row>
    <row r="367" spans="10:21" x14ac:dyDescent="0.25">
      <c r="J367" s="60"/>
      <c r="K367" s="36"/>
      <c r="L367" s="37"/>
      <c r="M367" s="37"/>
      <c r="N367" s="37"/>
      <c r="O367" s="36"/>
      <c r="P367" s="36"/>
      <c r="Q367" s="36"/>
      <c r="U367" s="27"/>
    </row>
    <row r="368" spans="10:21" x14ac:dyDescent="0.25">
      <c r="J368" s="60"/>
      <c r="K368" s="36"/>
      <c r="L368" s="37"/>
      <c r="M368" s="37"/>
      <c r="N368" s="37"/>
      <c r="O368" s="36"/>
      <c r="P368" s="36"/>
      <c r="Q368" s="36"/>
      <c r="U368" s="27"/>
    </row>
    <row r="369" spans="10:21" x14ac:dyDescent="0.25">
      <c r="J369" s="60"/>
      <c r="K369" s="36"/>
      <c r="L369" s="37"/>
      <c r="M369" s="37"/>
      <c r="N369" s="37"/>
      <c r="O369" s="36"/>
      <c r="P369" s="36"/>
      <c r="Q369" s="36"/>
      <c r="U369" s="27"/>
    </row>
    <row r="370" spans="10:21" x14ac:dyDescent="0.25">
      <c r="J370" s="60"/>
      <c r="K370" s="36"/>
      <c r="L370" s="37"/>
      <c r="M370" s="37"/>
      <c r="N370" s="37"/>
      <c r="O370" s="36"/>
      <c r="P370" s="36"/>
      <c r="Q370" s="36"/>
      <c r="U370" s="27"/>
    </row>
    <row r="371" spans="10:21" x14ac:dyDescent="0.25">
      <c r="J371" s="60"/>
      <c r="K371" s="36"/>
      <c r="L371" s="37"/>
      <c r="M371" s="37"/>
      <c r="N371" s="37"/>
      <c r="O371" s="36"/>
      <c r="P371" s="36"/>
      <c r="Q371" s="36"/>
      <c r="U371" s="27"/>
    </row>
    <row r="372" spans="10:21" x14ac:dyDescent="0.25">
      <c r="J372" s="60"/>
      <c r="K372" s="36"/>
      <c r="L372" s="37"/>
      <c r="M372" s="37"/>
      <c r="N372" s="37"/>
      <c r="O372" s="36"/>
      <c r="P372" s="36"/>
      <c r="Q372" s="36"/>
      <c r="U372" s="27"/>
    </row>
    <row r="373" spans="10:21" x14ac:dyDescent="0.25">
      <c r="J373" s="60"/>
      <c r="K373" s="36"/>
      <c r="L373" s="37"/>
      <c r="M373" s="37"/>
      <c r="N373" s="37"/>
      <c r="O373" s="36"/>
      <c r="P373" s="36"/>
      <c r="Q373" s="36"/>
      <c r="U373" s="27"/>
    </row>
    <row r="374" spans="10:21" x14ac:dyDescent="0.25">
      <c r="K374" s="36"/>
      <c r="L374" s="36"/>
      <c r="M374" s="36"/>
      <c r="N374" s="36"/>
      <c r="O374" s="36"/>
      <c r="P374" s="36"/>
      <c r="Q374" s="36"/>
      <c r="U374" s="27"/>
    </row>
    <row r="375" spans="10:21" x14ac:dyDescent="0.25">
      <c r="K375" s="36"/>
      <c r="L375" s="36"/>
      <c r="M375" s="36"/>
      <c r="N375" s="36"/>
      <c r="O375" s="36"/>
      <c r="P375" s="36"/>
      <c r="Q375" s="36"/>
      <c r="U375" s="27"/>
    </row>
    <row r="376" spans="10:21" x14ac:dyDescent="0.25">
      <c r="K376" s="36"/>
      <c r="L376" s="36"/>
      <c r="M376" s="36"/>
      <c r="N376" s="36"/>
      <c r="O376" s="36"/>
      <c r="P376" s="36"/>
      <c r="Q376" s="36"/>
      <c r="U376" s="27"/>
    </row>
    <row r="377" spans="10:21" x14ac:dyDescent="0.25">
      <c r="K377" s="36"/>
      <c r="L377" s="36"/>
      <c r="M377" s="36"/>
      <c r="N377" s="36"/>
      <c r="O377" s="36"/>
      <c r="P377" s="36"/>
      <c r="Q377" s="36"/>
      <c r="U377" s="27"/>
    </row>
    <row r="378" spans="10:21" x14ac:dyDescent="0.25">
      <c r="K378" s="36"/>
      <c r="L378" s="36"/>
      <c r="M378" s="36"/>
      <c r="N378" s="36"/>
      <c r="O378" s="36"/>
      <c r="P378" s="36"/>
      <c r="Q378" s="36"/>
      <c r="U378" s="27"/>
    </row>
    <row r="379" spans="10:21" x14ac:dyDescent="0.25">
      <c r="K379" s="36"/>
      <c r="L379" s="36"/>
      <c r="M379" s="36"/>
      <c r="N379" s="36"/>
      <c r="O379" s="36"/>
      <c r="P379" s="36"/>
      <c r="Q379" s="36"/>
      <c r="U379" s="27"/>
    </row>
    <row r="380" spans="10:21" x14ac:dyDescent="0.25">
      <c r="K380" s="36"/>
      <c r="L380" s="36"/>
      <c r="M380" s="36"/>
      <c r="N380" s="36"/>
      <c r="O380" s="36"/>
      <c r="P380" s="36"/>
      <c r="Q380" s="36"/>
      <c r="U380" s="27"/>
    </row>
    <row r="381" spans="10:21" x14ac:dyDescent="0.25">
      <c r="K381" s="36"/>
      <c r="L381" s="36"/>
      <c r="M381" s="36"/>
      <c r="N381" s="36"/>
      <c r="O381" s="36"/>
      <c r="P381" s="36"/>
      <c r="Q381" s="36"/>
    </row>
    <row r="382" spans="10:21" x14ac:dyDescent="0.25">
      <c r="K382" s="36"/>
      <c r="L382" s="36"/>
      <c r="M382" s="36"/>
      <c r="N382" s="36"/>
      <c r="O382" s="36"/>
      <c r="P382" s="36"/>
      <c r="Q382" s="36"/>
    </row>
    <row r="383" spans="10:21" x14ac:dyDescent="0.25">
      <c r="K383" s="36"/>
      <c r="L383" s="36"/>
      <c r="M383" s="36"/>
      <c r="N383" s="36"/>
      <c r="O383" s="36"/>
      <c r="P383" s="36"/>
      <c r="Q383" s="36"/>
    </row>
    <row r="384" spans="10:21" x14ac:dyDescent="0.25">
      <c r="K384" s="36"/>
      <c r="L384" s="36"/>
      <c r="M384" s="36"/>
      <c r="N384" s="36"/>
      <c r="O384" s="36"/>
      <c r="P384" s="36"/>
      <c r="Q384" s="36"/>
    </row>
    <row r="385" spans="11:17" x14ac:dyDescent="0.25">
      <c r="K385" s="36"/>
      <c r="L385" s="36"/>
      <c r="M385" s="36"/>
      <c r="N385" s="36"/>
      <c r="O385" s="36"/>
      <c r="P385" s="36"/>
      <c r="Q385" s="36"/>
    </row>
    <row r="386" spans="11:17" x14ac:dyDescent="0.25">
      <c r="K386" s="36"/>
      <c r="L386" s="36"/>
      <c r="M386" s="36"/>
      <c r="N386" s="36"/>
      <c r="O386" s="36"/>
      <c r="P386" s="36"/>
      <c r="Q386" s="36"/>
    </row>
    <row r="387" spans="11:17" x14ac:dyDescent="0.25">
      <c r="K387" s="36"/>
      <c r="L387" s="36"/>
      <c r="M387" s="36"/>
      <c r="N387" s="36"/>
      <c r="O387" s="36"/>
      <c r="P387" s="36"/>
      <c r="Q387" s="36"/>
    </row>
    <row r="388" spans="11:17" x14ac:dyDescent="0.25">
      <c r="K388" s="36"/>
      <c r="L388" s="36"/>
      <c r="M388" s="36"/>
      <c r="N388" s="36"/>
      <c r="O388" s="36"/>
      <c r="P388" s="36"/>
      <c r="Q388" s="36"/>
    </row>
    <row r="389" spans="11:17" x14ac:dyDescent="0.25">
      <c r="K389" s="36"/>
      <c r="L389" s="36"/>
      <c r="M389" s="36"/>
      <c r="N389" s="36"/>
      <c r="O389" s="36"/>
      <c r="P389" s="36"/>
      <c r="Q389" s="36"/>
    </row>
    <row r="390" spans="11:17" x14ac:dyDescent="0.25">
      <c r="K390" s="36"/>
      <c r="L390" s="36"/>
      <c r="M390" s="36"/>
      <c r="N390" s="36"/>
      <c r="O390" s="36"/>
      <c r="P390" s="36"/>
      <c r="Q390" s="36"/>
    </row>
    <row r="391" spans="11:17" x14ac:dyDescent="0.25">
      <c r="K391" s="36"/>
      <c r="L391" s="36"/>
      <c r="M391" s="36"/>
      <c r="N391" s="36"/>
      <c r="O391" s="36"/>
      <c r="P391" s="36"/>
      <c r="Q391" s="36"/>
    </row>
    <row r="392" spans="11:17" x14ac:dyDescent="0.25">
      <c r="K392" s="36"/>
      <c r="L392" s="36"/>
      <c r="M392" s="36"/>
      <c r="N392" s="36"/>
      <c r="O392" s="36"/>
      <c r="P392" s="36"/>
      <c r="Q392" s="36"/>
    </row>
    <row r="393" spans="11:17" x14ac:dyDescent="0.25">
      <c r="K393" s="36"/>
      <c r="L393" s="36"/>
      <c r="M393" s="36"/>
      <c r="N393" s="36"/>
      <c r="O393" s="36"/>
      <c r="P393" s="36"/>
      <c r="Q393" s="36"/>
    </row>
    <row r="394" spans="11:17" x14ac:dyDescent="0.25">
      <c r="K394" s="36"/>
      <c r="L394" s="36"/>
      <c r="M394" s="36"/>
      <c r="N394" s="36"/>
      <c r="O394" s="36"/>
      <c r="P394" s="36"/>
      <c r="Q394" s="36"/>
    </row>
    <row r="395" spans="11:17" x14ac:dyDescent="0.25">
      <c r="K395" s="36"/>
      <c r="L395" s="36"/>
      <c r="M395" s="36"/>
      <c r="N395" s="36"/>
      <c r="O395" s="36"/>
      <c r="P395" s="36"/>
      <c r="Q395" s="36"/>
    </row>
    <row r="396" spans="11:17" x14ac:dyDescent="0.25">
      <c r="K396" s="36"/>
      <c r="L396" s="36"/>
      <c r="M396" s="36"/>
      <c r="N396" s="36"/>
      <c r="O396" s="36"/>
      <c r="P396" s="36"/>
      <c r="Q396" s="36"/>
    </row>
    <row r="397" spans="11:17" x14ac:dyDescent="0.25">
      <c r="K397" s="36"/>
      <c r="L397" s="36"/>
      <c r="M397" s="36"/>
      <c r="N397" s="36"/>
      <c r="O397" s="36"/>
      <c r="P397" s="36"/>
      <c r="Q397" s="36"/>
    </row>
    <row r="398" spans="11:17" x14ac:dyDescent="0.25">
      <c r="K398" s="36"/>
      <c r="L398" s="36"/>
      <c r="M398" s="36"/>
      <c r="N398" s="36"/>
      <c r="O398" s="36"/>
      <c r="P398" s="36"/>
      <c r="Q398" s="36"/>
    </row>
    <row r="399" spans="11:17" x14ac:dyDescent="0.25">
      <c r="K399" s="36"/>
      <c r="L399" s="36"/>
      <c r="M399" s="36"/>
      <c r="N399" s="36"/>
      <c r="O399" s="36"/>
      <c r="P399" s="36"/>
      <c r="Q399" s="36"/>
    </row>
    <row r="400" spans="11:17" x14ac:dyDescent="0.25">
      <c r="K400" s="36"/>
      <c r="L400" s="36"/>
      <c r="M400" s="36"/>
      <c r="N400" s="36"/>
      <c r="O400" s="36"/>
      <c r="P400" s="36"/>
      <c r="Q400" s="36"/>
    </row>
  </sheetData>
  <dataConsolidate/>
  <pageMargins left="0.70866141732283472" right="0.70866141732283472" top="0.78740157480314965" bottom="0.78740157480314965" header="0.31496062992125984" footer="0.31496062992125984"/>
  <pageSetup paperSize="9" scale="24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DM86"/>
  <sheetViews>
    <sheetView zoomScale="70" zoomScaleNormal="70" workbookViewId="0">
      <pane xSplit="1" topLeftCell="B1" activePane="topRight" state="frozen"/>
      <selection pane="topRight" activeCell="A27" sqref="A27"/>
    </sheetView>
  </sheetViews>
  <sheetFormatPr baseColWidth="10" defaultColWidth="11.42578125" defaultRowHeight="15" x14ac:dyDescent="0.25"/>
  <cols>
    <col min="2" max="2" width="13" bestFit="1" customWidth="1"/>
    <col min="3" max="3" width="8.5703125" customWidth="1"/>
    <col min="4" max="4" width="16.85546875" customWidth="1"/>
    <col min="5" max="5" width="18.5703125" customWidth="1"/>
    <col min="6" max="6" width="20.140625" customWidth="1"/>
    <col min="7" max="7" width="19.140625" style="27" customWidth="1"/>
    <col min="8" max="8" width="17.85546875" customWidth="1"/>
    <col min="9" max="9" width="20.140625" style="27" customWidth="1"/>
    <col min="10" max="10" width="29.28515625" style="27" customWidth="1"/>
    <col min="11" max="11" width="21.5703125" style="27" customWidth="1"/>
    <col min="12" max="12" width="24" style="27" bestFit="1" customWidth="1"/>
    <col min="13" max="14" width="12.7109375" style="27" customWidth="1"/>
    <col min="15" max="38" width="4.85546875" style="27" customWidth="1"/>
    <col min="39" max="39" width="4.85546875" style="27" bestFit="1" customWidth="1"/>
    <col min="40" max="40" width="6" style="27" bestFit="1" customWidth="1"/>
    <col min="41" max="41" width="5.42578125" style="27" bestFit="1" customWidth="1"/>
    <col min="42" max="42" width="4.42578125" style="27" bestFit="1" customWidth="1"/>
    <col min="43" max="49" width="2.85546875" style="27" customWidth="1"/>
    <col min="50" max="50" width="29.28515625" bestFit="1" customWidth="1"/>
    <col min="55" max="55" width="11.42578125" customWidth="1"/>
    <col min="56" max="56" width="11.42578125" hidden="1" customWidth="1"/>
    <col min="60" max="81" width="5.7109375" customWidth="1"/>
    <col min="82" max="82" width="20" bestFit="1" customWidth="1"/>
    <col min="86" max="116" width="3.28515625" customWidth="1"/>
    <col min="117" max="117" width="4.28515625" customWidth="1"/>
  </cols>
  <sheetData>
    <row r="1" spans="1:117" ht="15.75" thickBot="1" x14ac:dyDescent="0.3">
      <c r="A1" s="30" t="s">
        <v>0</v>
      </c>
      <c r="B1" s="30" t="s">
        <v>1</v>
      </c>
      <c r="C1" s="30" t="s">
        <v>3</v>
      </c>
      <c r="D1" s="31" t="s">
        <v>4</v>
      </c>
      <c r="E1" s="32" t="s">
        <v>319</v>
      </c>
      <c r="F1" s="32" t="s">
        <v>107</v>
      </c>
      <c r="G1" s="50" t="s">
        <v>148</v>
      </c>
      <c r="H1" s="50" t="s">
        <v>149</v>
      </c>
      <c r="I1" s="50" t="s">
        <v>195</v>
      </c>
      <c r="J1" s="48" t="s">
        <v>117</v>
      </c>
      <c r="K1" s="48" t="s">
        <v>116</v>
      </c>
      <c r="L1" s="142" t="s">
        <v>262</v>
      </c>
      <c r="M1" s="50" t="s">
        <v>233</v>
      </c>
      <c r="N1" s="142" t="s">
        <v>232</v>
      </c>
      <c r="O1" s="41" t="str">
        <f t="array" ref="O1:AW1">TRANSPOSE(Dienste!A2:A36)</f>
        <v>OP</v>
      </c>
      <c r="P1" s="41" t="str">
        <v>BD1</v>
      </c>
      <c r="Q1" s="41" t="str">
        <v>BD2</v>
      </c>
      <c r="R1" s="41" t="str">
        <v>IOP</v>
      </c>
      <c r="S1" s="41" t="str">
        <v>PM</v>
      </c>
      <c r="T1" s="41" t="str">
        <v>RB3</v>
      </c>
      <c r="U1" s="41" t="str">
        <v>RB4</v>
      </c>
      <c r="V1" s="41" t="str">
        <v>Z4</v>
      </c>
      <c r="W1" s="41" t="str">
        <v>Z4F</v>
      </c>
      <c r="X1" s="41" t="str">
        <v>ZD</v>
      </c>
      <c r="Y1" s="41" t="str">
        <v>A73</v>
      </c>
      <c r="Z1" s="41" t="str">
        <v>S1</v>
      </c>
      <c r="AA1" s="41" t="str">
        <v>A93</v>
      </c>
      <c r="AB1" s="41" t="str">
        <v>V93</v>
      </c>
      <c r="AC1" s="41" t="str">
        <v>A91</v>
      </c>
      <c r="AD1" s="41" t="str">
        <v>AO</v>
      </c>
      <c r="AE1" s="41" t="str">
        <v>IOPL</v>
      </c>
      <c r="AF1" s="41" t="str">
        <v>IO</v>
      </c>
      <c r="AG1" s="41" t="str">
        <v>UR</v>
      </c>
      <c r="AH1" s="41" t="str">
        <v>UR0</v>
      </c>
      <c r="AI1" s="41" t="str">
        <v>A</v>
      </c>
      <c r="AJ1" s="41" t="str">
        <v>XBD</v>
      </c>
      <c r="AK1" s="41" t="str">
        <v>FW</v>
      </c>
      <c r="AL1" s="50" t="str">
        <v>KR</v>
      </c>
      <c r="AM1" s="41" t="str">
        <v>Frei</v>
      </c>
      <c r="AN1" s="41" t="str">
        <v>HO</v>
      </c>
      <c r="AO1" s="41" t="str">
        <v>TBA</v>
      </c>
      <c r="AP1" s="41" t="str">
        <v>Y21</v>
      </c>
      <c r="AQ1" s="41" t="str">
        <v>Z3</v>
      </c>
      <c r="AR1" s="41" t="str">
        <v>BD34</v>
      </c>
      <c r="AS1" s="41" t="str">
        <v>BD5</v>
      </c>
      <c r="AT1" s="41">
        <v>0</v>
      </c>
      <c r="AU1" s="41">
        <v>0</v>
      </c>
      <c r="AV1" s="41">
        <v>0</v>
      </c>
      <c r="AW1" s="42">
        <v>0</v>
      </c>
      <c r="AX1" s="25" t="s">
        <v>88</v>
      </c>
      <c r="AY1" s="25">
        <f>COUNTA(A2:A85)</f>
        <v>31</v>
      </c>
      <c r="BE1" s="10" t="s">
        <v>234</v>
      </c>
      <c r="BF1" s="10" t="s">
        <v>235</v>
      </c>
      <c r="BG1" s="10" t="s">
        <v>0</v>
      </c>
      <c r="BH1" s="30">
        <v>0</v>
      </c>
      <c r="BI1" s="30">
        <v>-1</v>
      </c>
      <c r="BJ1" s="30">
        <v>-2</v>
      </c>
      <c r="BK1" s="30">
        <v>-3</v>
      </c>
      <c r="BL1" s="30">
        <v>-4</v>
      </c>
      <c r="BM1" s="30">
        <v>-5</v>
      </c>
      <c r="BN1" s="30">
        <v>-6</v>
      </c>
      <c r="BO1" s="30">
        <v>-7</v>
      </c>
      <c r="BP1" s="30">
        <v>-8</v>
      </c>
      <c r="BQ1" s="30">
        <v>-9</v>
      </c>
      <c r="BR1" s="30">
        <v>-10</v>
      </c>
      <c r="BS1" s="30">
        <v>-11</v>
      </c>
      <c r="BT1" s="30">
        <v>-12</v>
      </c>
      <c r="BU1" s="30">
        <v>-13</v>
      </c>
      <c r="BV1" s="30">
        <v>-14</v>
      </c>
      <c r="BW1" s="30">
        <v>-15</v>
      </c>
      <c r="BX1" s="30">
        <v>-16</v>
      </c>
      <c r="BY1" s="30">
        <v>-17</v>
      </c>
      <c r="BZ1" s="30">
        <v>-18</v>
      </c>
      <c r="CA1" s="30">
        <v>-19</v>
      </c>
      <c r="CB1" s="30">
        <v>-20</v>
      </c>
      <c r="CC1" s="30">
        <v>-21</v>
      </c>
      <c r="CD1" s="119" t="s">
        <v>236</v>
      </c>
      <c r="CG1" s="164" t="s">
        <v>260</v>
      </c>
      <c r="CH1" s="165">
        <f>AnfangsWoche</f>
        <v>0</v>
      </c>
      <c r="CI1" s="165">
        <f>CH1+1</f>
        <v>1</v>
      </c>
      <c r="CJ1" s="165">
        <f t="shared" ref="CJ1:DM1" si="0">CI1+1</f>
        <v>2</v>
      </c>
      <c r="CK1" s="165">
        <f t="shared" si="0"/>
        <v>3</v>
      </c>
      <c r="CL1" s="165">
        <f t="shared" si="0"/>
        <v>4</v>
      </c>
      <c r="CM1" s="165">
        <f t="shared" si="0"/>
        <v>5</v>
      </c>
      <c r="CN1" s="165">
        <f t="shared" si="0"/>
        <v>6</v>
      </c>
      <c r="CO1" s="165">
        <f t="shared" si="0"/>
        <v>7</v>
      </c>
      <c r="CP1" s="165">
        <f t="shared" si="0"/>
        <v>8</v>
      </c>
      <c r="CQ1" s="165">
        <f t="shared" si="0"/>
        <v>9</v>
      </c>
      <c r="CR1" s="165">
        <f t="shared" si="0"/>
        <v>10</v>
      </c>
      <c r="CS1" s="165">
        <f t="shared" si="0"/>
        <v>11</v>
      </c>
      <c r="CT1" s="165">
        <f t="shared" si="0"/>
        <v>12</v>
      </c>
      <c r="CU1" s="165">
        <f t="shared" si="0"/>
        <v>13</v>
      </c>
      <c r="CV1" s="165">
        <f t="shared" si="0"/>
        <v>14</v>
      </c>
      <c r="CW1" s="165">
        <f>CV1+1</f>
        <v>15</v>
      </c>
      <c r="CX1" s="165">
        <f t="shared" si="0"/>
        <v>16</v>
      </c>
      <c r="CY1" s="165">
        <f t="shared" si="0"/>
        <v>17</v>
      </c>
      <c r="CZ1" s="165">
        <f t="shared" si="0"/>
        <v>18</v>
      </c>
      <c r="DA1" s="165">
        <f t="shared" si="0"/>
        <v>19</v>
      </c>
      <c r="DB1" s="165">
        <f t="shared" si="0"/>
        <v>20</v>
      </c>
      <c r="DC1" s="165">
        <f t="shared" si="0"/>
        <v>21</v>
      </c>
      <c r="DD1" s="165">
        <f t="shared" si="0"/>
        <v>22</v>
      </c>
      <c r="DE1" s="165">
        <f t="shared" si="0"/>
        <v>23</v>
      </c>
      <c r="DF1" s="165">
        <f>DE1+1</f>
        <v>24</v>
      </c>
      <c r="DG1" s="165">
        <f t="shared" si="0"/>
        <v>25</v>
      </c>
      <c r="DH1" s="165">
        <f t="shared" si="0"/>
        <v>26</v>
      </c>
      <c r="DI1" s="165">
        <f t="shared" si="0"/>
        <v>27</v>
      </c>
      <c r="DJ1" s="165">
        <f t="shared" si="0"/>
        <v>28</v>
      </c>
      <c r="DK1" s="165">
        <f>DJ1+1</f>
        <v>29</v>
      </c>
      <c r="DL1" s="165">
        <f t="shared" si="0"/>
        <v>30</v>
      </c>
      <c r="DM1" s="164">
        <f t="shared" si="0"/>
        <v>31</v>
      </c>
    </row>
    <row r="2" spans="1:117" ht="15.75" thickBot="1" x14ac:dyDescent="0.3">
      <c r="A2" s="138" t="s">
        <v>145</v>
      </c>
      <c r="B2" s="139" t="s">
        <v>59</v>
      </c>
      <c r="C2" s="156">
        <v>40</v>
      </c>
      <c r="D2" s="156">
        <v>0</v>
      </c>
      <c r="E2" s="159">
        <v>0</v>
      </c>
      <c r="F2" s="156">
        <v>0</v>
      </c>
      <c r="G2" s="156">
        <v>0</v>
      </c>
      <c r="H2" s="19">
        <f>IF(C2&gt;=40,5*G2,IF(AND(C2&lt;40,C2&gt;20),3*G2,IF(AND(C2&lt;=20,C2&gt;0),2*G2,0)))*Tage!$G$4</f>
        <v>0</v>
      </c>
      <c r="I2" s="156">
        <v>20</v>
      </c>
      <c r="J2" s="19">
        <f t="shared" ref="J2:J32" si="1">IF(D2=1,64,60)</f>
        <v>60</v>
      </c>
      <c r="K2" s="161">
        <v>0</v>
      </c>
      <c r="L2" s="162">
        <v>0</v>
      </c>
      <c r="M2" s="56">
        <f ca="1">IF(LetztesWE=4,SUM(INDIRECT("$BH2:$CC2")),IF(LetztesWE=5,SUM(INDIRECT("$BH2:$CB2")),0))</f>
        <v>882</v>
      </c>
      <c r="N2" s="141">
        <f t="shared" ref="N2:N42" ca="1" si="2">IF(COUNTA(INDIRECT(BD2))=22,26,IF(COUNTA(INDIRECT(BD2))&lt;22,COUNTA(INDIRECT(BD2))+LetztesWE,0))</f>
        <v>26</v>
      </c>
      <c r="O2" s="157">
        <v>1</v>
      </c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>
        <v>1</v>
      </c>
      <c r="AE2" s="158"/>
      <c r="AF2" s="158"/>
      <c r="AG2" s="21">
        <v>1</v>
      </c>
      <c r="AH2" s="21">
        <v>1</v>
      </c>
      <c r="AI2" s="21">
        <f t="shared" ref="AI2:AI32" si="3">IF(AND(C2&lt;40,C2&gt;0),1,0)</f>
        <v>0</v>
      </c>
      <c r="AJ2" s="21">
        <v>1</v>
      </c>
      <c r="AK2" s="21">
        <v>1</v>
      </c>
      <c r="AL2" s="21">
        <v>1</v>
      </c>
      <c r="AM2" s="21">
        <v>1</v>
      </c>
      <c r="AN2" s="21">
        <v>1</v>
      </c>
      <c r="AO2" s="158">
        <v>0</v>
      </c>
      <c r="AP2" s="7"/>
      <c r="AQ2" s="7"/>
      <c r="AR2" s="7"/>
      <c r="AS2" s="7"/>
      <c r="AT2" s="7"/>
      <c r="AU2" s="7"/>
      <c r="AV2" s="7"/>
      <c r="AW2" s="5"/>
      <c r="AX2" s="8" t="s">
        <v>86</v>
      </c>
      <c r="AY2" s="8">
        <f>AnzahlTage</f>
        <v>30</v>
      </c>
      <c r="BB2" s="7"/>
      <c r="BC2" s="7"/>
      <c r="BD2" t="s">
        <v>263</v>
      </c>
      <c r="BE2" s="117">
        <f t="shared" ref="BE2:BE42" ca="1" si="4">M2/(N2-LetztesWE)</f>
        <v>42</v>
      </c>
      <c r="BF2" s="117"/>
      <c r="BG2" s="10" t="str">
        <f t="shared" ref="BG2:BG9" si="5">A2</f>
        <v>ZZ_AF</v>
      </c>
      <c r="BH2" s="15">
        <v>42</v>
      </c>
      <c r="BI2" s="15">
        <v>42</v>
      </c>
      <c r="BJ2" s="15">
        <v>42</v>
      </c>
      <c r="BK2" s="15">
        <v>42</v>
      </c>
      <c r="BL2" s="15">
        <v>42</v>
      </c>
      <c r="BM2" s="15">
        <v>42</v>
      </c>
      <c r="BN2" s="15">
        <v>42</v>
      </c>
      <c r="BO2" s="15">
        <v>42</v>
      </c>
      <c r="BP2" s="15">
        <v>42</v>
      </c>
      <c r="BQ2" s="15">
        <v>42</v>
      </c>
      <c r="BR2" s="15">
        <v>42</v>
      </c>
      <c r="BS2" s="15">
        <v>42</v>
      </c>
      <c r="BT2" s="15">
        <v>42</v>
      </c>
      <c r="BU2" s="15">
        <v>42</v>
      </c>
      <c r="BV2" s="15">
        <v>42</v>
      </c>
      <c r="BW2" s="15">
        <v>42</v>
      </c>
      <c r="BX2" s="15">
        <v>42</v>
      </c>
      <c r="BY2" s="15">
        <v>42</v>
      </c>
      <c r="BZ2" s="15">
        <v>42</v>
      </c>
      <c r="CA2" s="15">
        <v>42</v>
      </c>
      <c r="CB2" s="15">
        <v>42</v>
      </c>
      <c r="CC2" s="15">
        <v>42</v>
      </c>
      <c r="CF2" s="156">
        <v>40</v>
      </c>
      <c r="CG2" s="24" t="str">
        <f t="shared" ref="CG2:CG8" si="6">A2</f>
        <v>ZZ_AF</v>
      </c>
      <c r="CH2" s="10"/>
      <c r="CI2" s="28"/>
      <c r="CJ2" s="28"/>
      <c r="CK2" s="28"/>
      <c r="CL2" s="28"/>
      <c r="CM2" s="28"/>
      <c r="CN2" s="28"/>
      <c r="CX2" s="7"/>
      <c r="CY2" s="7"/>
      <c r="CZ2" s="7"/>
      <c r="DM2" s="14"/>
    </row>
    <row r="3" spans="1:117" ht="15.75" thickBot="1" x14ac:dyDescent="0.3">
      <c r="A3" s="138" t="s">
        <v>123</v>
      </c>
      <c r="B3" s="139" t="s">
        <v>61</v>
      </c>
      <c r="C3" s="156">
        <v>40</v>
      </c>
      <c r="D3" s="156">
        <v>1</v>
      </c>
      <c r="E3" s="159">
        <v>0</v>
      </c>
      <c r="F3" s="156">
        <v>1</v>
      </c>
      <c r="G3" s="156">
        <v>1</v>
      </c>
      <c r="H3" s="19">
        <f>IF(C3&gt;=40,5*G3,IF(AND(C3&lt;40,C3&gt;20),3*G3,IF(AND(C3&lt;=20,C3&gt;0),2*G3,0)))*Tage!$G$4</f>
        <v>5</v>
      </c>
      <c r="I3" s="156">
        <v>20</v>
      </c>
      <c r="J3" s="19">
        <f t="shared" si="1"/>
        <v>64</v>
      </c>
      <c r="K3" s="162">
        <v>33.85</v>
      </c>
      <c r="L3" s="162">
        <v>0</v>
      </c>
      <c r="M3" s="56">
        <f ca="1">IF(LetztesWE=4,SUM(INDIRECT("$BH3:$CC3")),IF(LetztesWE=5,SUM(INDIRECT("$BH3:$CB3")),0))</f>
        <v>882</v>
      </c>
      <c r="N3" s="141">
        <f t="shared" ca="1" si="2"/>
        <v>26</v>
      </c>
      <c r="O3" s="160">
        <v>1</v>
      </c>
      <c r="P3" s="156">
        <v>1</v>
      </c>
      <c r="Q3" s="156">
        <v>1</v>
      </c>
      <c r="R3" s="156"/>
      <c r="S3" s="156">
        <v>1</v>
      </c>
      <c r="T3" s="156">
        <v>1</v>
      </c>
      <c r="U3" s="156">
        <v>1</v>
      </c>
      <c r="V3" s="156">
        <v>1</v>
      </c>
      <c r="W3" s="156">
        <v>1</v>
      </c>
      <c r="X3" s="156">
        <v>1</v>
      </c>
      <c r="Y3" s="156">
        <v>1</v>
      </c>
      <c r="Z3" s="156">
        <v>1</v>
      </c>
      <c r="AA3" s="156">
        <v>1</v>
      </c>
      <c r="AB3" s="156">
        <v>1</v>
      </c>
      <c r="AC3" s="156">
        <v>1</v>
      </c>
      <c r="AD3" s="156">
        <v>1</v>
      </c>
      <c r="AE3" s="156"/>
      <c r="AF3" s="156">
        <v>1</v>
      </c>
      <c r="AG3" s="19">
        <v>1</v>
      </c>
      <c r="AH3" s="19">
        <v>1</v>
      </c>
      <c r="AI3" s="19">
        <f t="shared" si="3"/>
        <v>0</v>
      </c>
      <c r="AJ3" s="19">
        <v>1</v>
      </c>
      <c r="AK3" s="19">
        <v>1</v>
      </c>
      <c r="AL3" s="19">
        <v>1</v>
      </c>
      <c r="AM3" s="19">
        <v>1</v>
      </c>
      <c r="AN3" s="19">
        <v>1</v>
      </c>
      <c r="AO3" s="156">
        <v>1</v>
      </c>
      <c r="AP3" s="20">
        <v>1</v>
      </c>
      <c r="AQ3" s="20">
        <v>1</v>
      </c>
      <c r="AR3" s="20">
        <v>1</v>
      </c>
      <c r="AS3" s="20">
        <v>1</v>
      </c>
      <c r="AT3" s="7"/>
      <c r="AU3" s="7"/>
      <c r="AV3" s="7"/>
      <c r="AW3" s="5"/>
      <c r="AX3" s="10" t="s">
        <v>87</v>
      </c>
      <c r="AY3" s="10">
        <f>Tage!T1</f>
        <v>7</v>
      </c>
      <c r="BA3" s="27"/>
      <c r="BB3" s="7"/>
      <c r="BC3" s="7"/>
      <c r="BD3" s="27" t="s">
        <v>264</v>
      </c>
      <c r="BE3" s="117">
        <f t="shared" ca="1" si="4"/>
        <v>42</v>
      </c>
      <c r="BF3" s="117"/>
      <c r="BG3" s="10" t="str">
        <f t="shared" si="5"/>
        <v>C_GB</v>
      </c>
      <c r="BH3" s="27">
        <v>42</v>
      </c>
      <c r="BI3" s="27">
        <v>42</v>
      </c>
      <c r="BJ3" s="27">
        <v>42</v>
      </c>
      <c r="BK3" s="27">
        <v>42</v>
      </c>
      <c r="BL3" s="27">
        <v>42</v>
      </c>
      <c r="BM3" s="27">
        <v>42</v>
      </c>
      <c r="BN3" s="27">
        <v>42</v>
      </c>
      <c r="BO3" s="27">
        <v>42</v>
      </c>
      <c r="BP3" s="27">
        <v>42</v>
      </c>
      <c r="BQ3" s="27">
        <v>42</v>
      </c>
      <c r="BR3" s="27">
        <v>42</v>
      </c>
      <c r="BS3" s="27">
        <v>42</v>
      </c>
      <c r="BT3" s="27">
        <v>42</v>
      </c>
      <c r="BU3" s="27">
        <v>42</v>
      </c>
      <c r="BV3" s="27">
        <v>42</v>
      </c>
      <c r="BW3" s="27">
        <v>42</v>
      </c>
      <c r="BX3" s="27">
        <v>42</v>
      </c>
      <c r="BY3" s="27">
        <v>42</v>
      </c>
      <c r="BZ3" s="27">
        <v>42</v>
      </c>
      <c r="CA3" s="27">
        <v>42</v>
      </c>
      <c r="CB3" s="27">
        <v>42</v>
      </c>
      <c r="CC3" s="27">
        <v>42</v>
      </c>
      <c r="CF3" s="156">
        <v>40</v>
      </c>
      <c r="CG3" s="24" t="str">
        <f t="shared" si="6"/>
        <v>C_GB</v>
      </c>
      <c r="CH3" s="10"/>
      <c r="CI3" s="28"/>
      <c r="CJ3" s="28"/>
      <c r="CK3" s="28"/>
      <c r="CL3" s="28"/>
      <c r="CM3" s="28"/>
      <c r="CN3" s="28"/>
      <c r="CX3" s="7"/>
      <c r="CY3" s="7"/>
      <c r="CZ3" s="7"/>
      <c r="DM3" s="14"/>
    </row>
    <row r="4" spans="1:117" ht="15.75" thickBot="1" x14ac:dyDescent="0.3">
      <c r="A4" s="138" t="s">
        <v>128</v>
      </c>
      <c r="B4" s="139" t="s">
        <v>61</v>
      </c>
      <c r="C4" s="156">
        <v>40</v>
      </c>
      <c r="D4" s="156">
        <v>1</v>
      </c>
      <c r="E4" s="159">
        <v>0</v>
      </c>
      <c r="F4" s="156">
        <v>1</v>
      </c>
      <c r="G4" s="156">
        <v>0</v>
      </c>
      <c r="H4" s="19">
        <f>IF(C4&gt;=40,5*G4,IF(AND(C4&lt;40,C4&gt;20),3*G4,IF(AND(C4&lt;=20,C4&gt;0),2*G4,0)))*Tage!$G$4</f>
        <v>0</v>
      </c>
      <c r="I4" s="156">
        <v>20</v>
      </c>
      <c r="J4" s="19">
        <f t="shared" si="1"/>
        <v>64</v>
      </c>
      <c r="K4" s="162">
        <v>11.35</v>
      </c>
      <c r="L4" s="162">
        <v>1</v>
      </c>
      <c r="M4" s="56">
        <f ca="1">IF(LetztesWE=4,SUM(INDIRECT("$BH4:$CC4")),IF(LetztesWE=5,SUM(INDIRECT("$BH4:$CB4")),0))</f>
        <v>882</v>
      </c>
      <c r="N4" s="141">
        <f t="shared" ca="1" si="2"/>
        <v>26</v>
      </c>
      <c r="O4" s="160">
        <v>1</v>
      </c>
      <c r="P4" s="156"/>
      <c r="Q4" s="156"/>
      <c r="R4" s="156"/>
      <c r="S4" s="156"/>
      <c r="T4" s="156">
        <v>1</v>
      </c>
      <c r="U4" s="156">
        <v>1</v>
      </c>
      <c r="V4" s="156">
        <v>1</v>
      </c>
      <c r="W4" s="156">
        <v>1</v>
      </c>
      <c r="X4" s="156">
        <v>1</v>
      </c>
      <c r="Y4" s="156"/>
      <c r="Z4" s="156"/>
      <c r="AA4" s="156"/>
      <c r="AB4" s="156"/>
      <c r="AC4" s="156"/>
      <c r="AD4" s="156">
        <v>1</v>
      </c>
      <c r="AE4" s="156"/>
      <c r="AF4" s="156">
        <v>1</v>
      </c>
      <c r="AG4" s="19">
        <v>1</v>
      </c>
      <c r="AH4" s="19">
        <v>1</v>
      </c>
      <c r="AI4" s="19">
        <f t="shared" si="3"/>
        <v>0</v>
      </c>
      <c r="AJ4" s="19">
        <v>1</v>
      </c>
      <c r="AK4" s="19">
        <v>1</v>
      </c>
      <c r="AL4" s="19">
        <v>1</v>
      </c>
      <c r="AM4" s="19">
        <v>1</v>
      </c>
      <c r="AN4" s="19">
        <v>1</v>
      </c>
      <c r="AO4" s="156">
        <v>1</v>
      </c>
      <c r="AP4" s="7"/>
      <c r="AQ4" s="7"/>
      <c r="AR4" s="7"/>
      <c r="AS4" s="7"/>
      <c r="AT4" s="7"/>
      <c r="AU4" s="7"/>
      <c r="AV4" s="7"/>
      <c r="AW4" s="5"/>
      <c r="AX4" s="55" t="s">
        <v>106</v>
      </c>
      <c r="AY4" s="55">
        <f>AY1-COUNTIF(C2:C85,40)</f>
        <v>8</v>
      </c>
      <c r="BA4" s="27"/>
      <c r="BB4" s="7"/>
      <c r="BC4" s="7"/>
      <c r="BD4" s="27" t="s">
        <v>265</v>
      </c>
      <c r="BE4" s="117">
        <f t="shared" ca="1" si="4"/>
        <v>42</v>
      </c>
      <c r="BF4" s="117"/>
      <c r="BG4" s="10" t="str">
        <f t="shared" si="5"/>
        <v>J_JH</v>
      </c>
      <c r="BH4" s="27">
        <v>42</v>
      </c>
      <c r="BI4" s="27">
        <v>42</v>
      </c>
      <c r="BJ4" s="27">
        <v>42</v>
      </c>
      <c r="BK4" s="27">
        <v>42</v>
      </c>
      <c r="BL4" s="27">
        <v>42</v>
      </c>
      <c r="BM4" s="27">
        <v>42</v>
      </c>
      <c r="BN4" s="27">
        <v>42</v>
      </c>
      <c r="BO4" s="27">
        <v>42</v>
      </c>
      <c r="BP4" s="27">
        <v>42</v>
      </c>
      <c r="BQ4" s="27">
        <v>42</v>
      </c>
      <c r="BR4" s="27">
        <v>42</v>
      </c>
      <c r="BS4" s="27">
        <v>42</v>
      </c>
      <c r="BT4" s="27">
        <v>42</v>
      </c>
      <c r="BU4" s="27">
        <v>42</v>
      </c>
      <c r="BV4" s="27">
        <v>42</v>
      </c>
      <c r="BW4" s="27">
        <v>42</v>
      </c>
      <c r="BX4" s="27">
        <v>42</v>
      </c>
      <c r="BY4" s="27">
        <v>42</v>
      </c>
      <c r="BZ4" s="27">
        <v>42</v>
      </c>
      <c r="CA4" s="27">
        <v>42</v>
      </c>
      <c r="CB4" s="27">
        <v>42</v>
      </c>
      <c r="CC4" s="27">
        <v>42</v>
      </c>
      <c r="CF4" s="156">
        <v>40</v>
      </c>
      <c r="CG4" s="24" t="str">
        <f t="shared" si="6"/>
        <v>J_JH</v>
      </c>
      <c r="CH4" s="10"/>
      <c r="CI4" s="28"/>
      <c r="CJ4" s="28"/>
      <c r="CK4" s="28"/>
      <c r="CL4" s="28"/>
      <c r="CM4" s="28"/>
      <c r="CN4" s="28"/>
      <c r="CX4" s="7"/>
      <c r="CY4" s="7"/>
      <c r="CZ4" s="7"/>
      <c r="DM4" s="14"/>
    </row>
    <row r="5" spans="1:117" ht="15.75" thickBot="1" x14ac:dyDescent="0.3">
      <c r="A5" s="138" t="s">
        <v>129</v>
      </c>
      <c r="B5" s="139" t="s">
        <v>61</v>
      </c>
      <c r="C5" s="156">
        <v>40</v>
      </c>
      <c r="D5" s="156">
        <v>1</v>
      </c>
      <c r="E5" s="159">
        <v>0</v>
      </c>
      <c r="F5" s="156">
        <v>1</v>
      </c>
      <c r="G5" s="160">
        <v>1</v>
      </c>
      <c r="H5" s="56">
        <f>IF(C5&gt;=40,5*G5,IF(AND(C5&lt;40,C5&gt;20),3*G5,IF(AND(C5&lt;=20,C5&gt;0),2*G5,0)))*Tage!$G$4</f>
        <v>5</v>
      </c>
      <c r="I5" s="160">
        <v>20</v>
      </c>
      <c r="J5" s="56">
        <f t="shared" si="1"/>
        <v>64</v>
      </c>
      <c r="K5" s="162">
        <v>42.6</v>
      </c>
      <c r="L5" s="163"/>
      <c r="M5" s="56">
        <f ca="1">IF(LetztesWE=4,SUM(INDIRECT("$BH5:$CC5")),IF(LetztesWE=5,SUM(INDIRECT("$BH5:$CB5")),0))</f>
        <v>882</v>
      </c>
      <c r="N5" s="143">
        <f t="shared" ca="1" si="2"/>
        <v>26</v>
      </c>
      <c r="O5" s="160">
        <v>1</v>
      </c>
      <c r="P5" s="156">
        <v>1</v>
      </c>
      <c r="Q5" s="156">
        <v>1</v>
      </c>
      <c r="R5" s="156"/>
      <c r="S5" s="156">
        <v>1</v>
      </c>
      <c r="T5" s="156">
        <v>1</v>
      </c>
      <c r="U5" s="156">
        <v>1</v>
      </c>
      <c r="V5" s="156">
        <v>1</v>
      </c>
      <c r="W5" s="156">
        <v>1</v>
      </c>
      <c r="X5" s="156">
        <v>1</v>
      </c>
      <c r="Y5" s="156">
        <v>1</v>
      </c>
      <c r="Z5" s="156">
        <v>1</v>
      </c>
      <c r="AA5" s="156">
        <v>1</v>
      </c>
      <c r="AB5" s="156">
        <v>1</v>
      </c>
      <c r="AC5" s="156">
        <v>1</v>
      </c>
      <c r="AD5" s="156">
        <v>1</v>
      </c>
      <c r="AE5" s="156"/>
      <c r="AF5" s="156">
        <v>1</v>
      </c>
      <c r="AG5" s="19">
        <v>1</v>
      </c>
      <c r="AH5" s="19">
        <v>1</v>
      </c>
      <c r="AI5" s="19">
        <f t="shared" si="3"/>
        <v>0</v>
      </c>
      <c r="AJ5" s="19">
        <v>1</v>
      </c>
      <c r="AK5" s="19">
        <v>1</v>
      </c>
      <c r="AL5" s="19">
        <v>1</v>
      </c>
      <c r="AM5" s="19">
        <v>1</v>
      </c>
      <c r="AN5" s="19">
        <v>1</v>
      </c>
      <c r="AO5" s="156">
        <v>1</v>
      </c>
      <c r="AP5" s="20">
        <v>1</v>
      </c>
      <c r="AQ5" s="20">
        <v>1</v>
      </c>
      <c r="AR5" s="20">
        <v>1</v>
      </c>
      <c r="AS5" s="20">
        <v>1</v>
      </c>
      <c r="AT5" s="7"/>
      <c r="AU5" s="7"/>
      <c r="AV5" s="7"/>
      <c r="AW5" s="5"/>
      <c r="AX5" s="25" t="s">
        <v>105</v>
      </c>
      <c r="AY5" s="25">
        <f>COUNTA(BA2:BA699)</f>
        <v>0</v>
      </c>
      <c r="BA5" s="27"/>
      <c r="BB5" s="7"/>
      <c r="BC5" s="7"/>
      <c r="BD5" s="27" t="s">
        <v>266</v>
      </c>
      <c r="BE5" s="117">
        <f t="shared" ca="1" si="4"/>
        <v>42</v>
      </c>
      <c r="BF5" s="117"/>
      <c r="BG5" s="10" t="str">
        <f t="shared" si="5"/>
        <v>K_TH</v>
      </c>
      <c r="BH5" s="27">
        <v>42</v>
      </c>
      <c r="BI5" s="27">
        <v>42</v>
      </c>
      <c r="BJ5" s="27">
        <v>42</v>
      </c>
      <c r="BK5" s="27">
        <v>42</v>
      </c>
      <c r="BL5" s="27">
        <v>42</v>
      </c>
      <c r="BM5" s="27">
        <v>42</v>
      </c>
      <c r="BN5" s="27">
        <v>42</v>
      </c>
      <c r="BO5" s="27">
        <v>42</v>
      </c>
      <c r="BP5" s="27">
        <v>42</v>
      </c>
      <c r="BQ5" s="27">
        <v>42</v>
      </c>
      <c r="BR5" s="27">
        <v>42</v>
      </c>
      <c r="BS5" s="27">
        <v>42</v>
      </c>
      <c r="BT5" s="27">
        <v>42</v>
      </c>
      <c r="BU5" s="27">
        <v>42</v>
      </c>
      <c r="BV5" s="27">
        <v>42</v>
      </c>
      <c r="BW5" s="27">
        <v>42</v>
      </c>
      <c r="BX5" s="27">
        <v>42</v>
      </c>
      <c r="BY5" s="27">
        <v>42</v>
      </c>
      <c r="BZ5" s="27">
        <v>42</v>
      </c>
      <c r="CA5" s="27">
        <v>42</v>
      </c>
      <c r="CB5" s="27">
        <v>42</v>
      </c>
      <c r="CC5" s="27">
        <v>42</v>
      </c>
      <c r="CF5" s="156">
        <v>40</v>
      </c>
      <c r="CG5" s="24" t="str">
        <f t="shared" si="6"/>
        <v>K_TH</v>
      </c>
      <c r="CH5" s="10"/>
      <c r="CI5" s="28"/>
      <c r="CJ5" s="28"/>
      <c r="CK5" s="28"/>
      <c r="CL5" s="28"/>
      <c r="CM5" s="28"/>
      <c r="CN5" s="28"/>
      <c r="CX5" s="7"/>
      <c r="CY5" s="7"/>
      <c r="CZ5" s="7"/>
      <c r="DM5" s="14"/>
    </row>
    <row r="6" spans="1:117" ht="15.75" thickBot="1" x14ac:dyDescent="0.3">
      <c r="A6" s="138" t="s">
        <v>134</v>
      </c>
      <c r="B6" s="139" t="s">
        <v>61</v>
      </c>
      <c r="C6" s="156">
        <v>32</v>
      </c>
      <c r="D6" s="156">
        <v>1</v>
      </c>
      <c r="E6" s="159">
        <v>0</v>
      </c>
      <c r="F6" s="156">
        <v>0</v>
      </c>
      <c r="G6" s="156">
        <v>0</v>
      </c>
      <c r="H6" s="19">
        <f>IF(C6&gt;=40,5*G6,IF(AND(C6&lt;40,C6&gt;20),3*G6,IF(AND(C6&lt;=20,C6&gt;0),2*G6,0)))*Tage!$G$4</f>
        <v>0</v>
      </c>
      <c r="I6" s="156">
        <v>20</v>
      </c>
      <c r="J6" s="19">
        <f t="shared" si="1"/>
        <v>64</v>
      </c>
      <c r="K6" s="162">
        <v>30.15</v>
      </c>
      <c r="L6" s="162"/>
      <c r="M6" s="56">
        <f ca="1">IF(LetztesWE=4,SUM(INDIRECT("$BH6:$CC6")),IF(LetztesWE=5,SUM(INDIRECT("$BH6:$CB6")),0))</f>
        <v>693</v>
      </c>
      <c r="N6" s="141">
        <f t="shared" ca="1" si="2"/>
        <v>26</v>
      </c>
      <c r="O6" s="160"/>
      <c r="P6" s="156"/>
      <c r="Q6" s="156"/>
      <c r="R6" s="156">
        <v>1</v>
      </c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>
        <v>1</v>
      </c>
      <c r="AF6" s="156"/>
      <c r="AG6" s="19">
        <v>1</v>
      </c>
      <c r="AH6" s="19">
        <v>1</v>
      </c>
      <c r="AI6" s="19">
        <f t="shared" si="3"/>
        <v>1</v>
      </c>
      <c r="AJ6" s="19">
        <v>1</v>
      </c>
      <c r="AK6" s="19">
        <v>1</v>
      </c>
      <c r="AL6" s="19">
        <v>1</v>
      </c>
      <c r="AM6" s="19">
        <v>1</v>
      </c>
      <c r="AN6" s="19">
        <v>1</v>
      </c>
      <c r="AO6" s="156">
        <v>1</v>
      </c>
      <c r="AP6" s="7"/>
      <c r="AQ6" s="7"/>
      <c r="AR6" s="7"/>
      <c r="AS6" s="7"/>
      <c r="AT6" s="7"/>
      <c r="AU6" s="7"/>
      <c r="AV6" s="7"/>
      <c r="AW6" s="5"/>
      <c r="AX6" s="8" t="s">
        <v>320</v>
      </c>
      <c r="AY6" s="8">
        <f>COUNTIF(B2:B85,"AA")</f>
        <v>14</v>
      </c>
      <c r="BA6" s="27"/>
      <c r="BB6" s="7"/>
      <c r="BC6" s="7"/>
      <c r="BD6" s="27" t="s">
        <v>267</v>
      </c>
      <c r="BE6" s="117">
        <f t="shared" ca="1" si="4"/>
        <v>33</v>
      </c>
      <c r="BF6" s="117"/>
      <c r="BG6" s="10" t="str">
        <f t="shared" si="5"/>
        <v>R_RK</v>
      </c>
      <c r="BH6" s="27">
        <v>33</v>
      </c>
      <c r="BI6" s="27">
        <v>33</v>
      </c>
      <c r="BJ6" s="27">
        <v>33</v>
      </c>
      <c r="BK6" s="27">
        <v>33</v>
      </c>
      <c r="BL6" s="27">
        <v>33</v>
      </c>
      <c r="BM6" s="27">
        <v>33</v>
      </c>
      <c r="BN6" s="27">
        <v>33</v>
      </c>
      <c r="BO6" s="27">
        <v>33</v>
      </c>
      <c r="BP6" s="27">
        <v>33</v>
      </c>
      <c r="BQ6" s="27">
        <v>33</v>
      </c>
      <c r="BR6" s="27">
        <v>33</v>
      </c>
      <c r="BS6" s="27">
        <v>33</v>
      </c>
      <c r="BT6" s="27">
        <v>33</v>
      </c>
      <c r="BU6" s="27">
        <v>33</v>
      </c>
      <c r="BV6" s="27">
        <v>33</v>
      </c>
      <c r="BW6" s="27">
        <v>33</v>
      </c>
      <c r="BX6" s="27">
        <v>33</v>
      </c>
      <c r="BY6" s="27">
        <v>33</v>
      </c>
      <c r="BZ6" s="27">
        <v>33</v>
      </c>
      <c r="CA6" s="27">
        <v>33</v>
      </c>
      <c r="CB6" s="27">
        <v>33</v>
      </c>
      <c r="CC6" s="27">
        <v>33</v>
      </c>
      <c r="CF6" s="156">
        <v>32</v>
      </c>
      <c r="CG6" s="24" t="str">
        <f t="shared" si="6"/>
        <v>R_RK</v>
      </c>
      <c r="CH6" s="10"/>
      <c r="CI6" s="28">
        <v>1</v>
      </c>
      <c r="CJ6" s="28">
        <v>1</v>
      </c>
      <c r="CK6" s="28">
        <v>1</v>
      </c>
      <c r="CL6" s="28">
        <v>1</v>
      </c>
      <c r="CM6" s="28">
        <v>1</v>
      </c>
      <c r="CN6" s="28">
        <v>1</v>
      </c>
      <c r="CX6" s="7"/>
      <c r="CY6" s="7"/>
      <c r="CZ6" s="7"/>
      <c r="DM6" s="14"/>
    </row>
    <row r="7" spans="1:117" ht="15.75" thickBot="1" x14ac:dyDescent="0.3">
      <c r="A7" s="138" t="s">
        <v>137</v>
      </c>
      <c r="B7" s="139" t="s">
        <v>61</v>
      </c>
      <c r="C7" s="156">
        <v>40</v>
      </c>
      <c r="D7" s="156">
        <v>1</v>
      </c>
      <c r="E7" s="159">
        <v>0</v>
      </c>
      <c r="F7" s="156">
        <v>1</v>
      </c>
      <c r="G7" s="156">
        <v>1</v>
      </c>
      <c r="H7" s="19">
        <f>IF(C7&gt;=40,5*G7,IF(AND(C7&lt;40,C7&gt;20),3*G7,IF(AND(C7&lt;=20,C7&gt;0),2*G7,0)))*Tage!$G$4</f>
        <v>5</v>
      </c>
      <c r="I7" s="156">
        <v>20</v>
      </c>
      <c r="J7" s="19">
        <f t="shared" si="1"/>
        <v>64</v>
      </c>
      <c r="K7" s="162">
        <v>32.799999999999997</v>
      </c>
      <c r="L7" s="162"/>
      <c r="M7" s="56">
        <f ca="1">IF(LetztesWE=4,SUM(INDIRECT("$BH7:$CC7")),IF(LetztesWE=5,SUM(INDIRECT("$BH7:$CB7")),0))</f>
        <v>882</v>
      </c>
      <c r="N7" s="141">
        <f t="shared" ca="1" si="2"/>
        <v>26</v>
      </c>
      <c r="O7" s="160">
        <v>1</v>
      </c>
      <c r="P7" s="156">
        <v>1</v>
      </c>
      <c r="Q7" s="156">
        <v>1</v>
      </c>
      <c r="R7" s="156"/>
      <c r="S7" s="156">
        <v>1</v>
      </c>
      <c r="T7" s="156">
        <v>1</v>
      </c>
      <c r="U7" s="156">
        <v>1</v>
      </c>
      <c r="V7" s="156">
        <v>1</v>
      </c>
      <c r="W7" s="156">
        <v>1</v>
      </c>
      <c r="X7" s="156">
        <v>1</v>
      </c>
      <c r="Y7" s="156">
        <v>1</v>
      </c>
      <c r="Z7" s="156">
        <v>1</v>
      </c>
      <c r="AA7" s="156">
        <v>1</v>
      </c>
      <c r="AB7" s="156">
        <v>1</v>
      </c>
      <c r="AC7" s="156">
        <v>1</v>
      </c>
      <c r="AD7" s="156">
        <v>1</v>
      </c>
      <c r="AE7" s="156"/>
      <c r="AF7" s="156">
        <v>1</v>
      </c>
      <c r="AG7" s="19">
        <v>1</v>
      </c>
      <c r="AH7" s="19">
        <v>1</v>
      </c>
      <c r="AI7" s="19">
        <f t="shared" si="3"/>
        <v>0</v>
      </c>
      <c r="AJ7" s="19">
        <v>1</v>
      </c>
      <c r="AK7" s="19">
        <v>1</v>
      </c>
      <c r="AL7" s="19">
        <v>1</v>
      </c>
      <c r="AM7" s="19">
        <v>1</v>
      </c>
      <c r="AN7" s="19">
        <v>1</v>
      </c>
      <c r="AO7" s="156">
        <v>1</v>
      </c>
      <c r="AP7" s="20">
        <v>1</v>
      </c>
      <c r="AQ7" s="20">
        <v>1</v>
      </c>
      <c r="AR7" s="20">
        <v>1</v>
      </c>
      <c r="AS7" s="20">
        <v>1</v>
      </c>
      <c r="AT7" s="7"/>
      <c r="AU7" s="7"/>
      <c r="AV7" s="7"/>
      <c r="AW7" s="5"/>
      <c r="AX7" s="10" t="s">
        <v>321</v>
      </c>
      <c r="AY7" s="10">
        <f>COUNTIF(B2:B85,"FA")</f>
        <v>11</v>
      </c>
      <c r="BA7" s="27"/>
      <c r="BB7" s="7"/>
      <c r="BC7" s="7"/>
      <c r="BD7" s="27" t="s">
        <v>268</v>
      </c>
      <c r="BE7" s="117">
        <f t="shared" ca="1" si="4"/>
        <v>42</v>
      </c>
      <c r="BF7" s="117"/>
      <c r="BG7" s="10" t="str">
        <f t="shared" si="5"/>
        <v>U_KM</v>
      </c>
      <c r="BH7" s="27">
        <v>42</v>
      </c>
      <c r="BI7" s="27">
        <v>42</v>
      </c>
      <c r="BJ7" s="27">
        <v>42</v>
      </c>
      <c r="BK7" s="27">
        <v>42</v>
      </c>
      <c r="BL7" s="27">
        <v>42</v>
      </c>
      <c r="BM7" s="27">
        <v>42</v>
      </c>
      <c r="BN7" s="27">
        <v>42</v>
      </c>
      <c r="BO7" s="27">
        <v>42</v>
      </c>
      <c r="BP7" s="27">
        <v>42</v>
      </c>
      <c r="BQ7" s="27">
        <v>42</v>
      </c>
      <c r="BR7" s="27">
        <v>42</v>
      </c>
      <c r="BS7" s="27">
        <v>42</v>
      </c>
      <c r="BT7" s="27">
        <v>42</v>
      </c>
      <c r="BU7" s="27">
        <v>42</v>
      </c>
      <c r="BV7" s="27">
        <v>42</v>
      </c>
      <c r="BW7" s="27">
        <v>42</v>
      </c>
      <c r="BX7" s="27">
        <v>42</v>
      </c>
      <c r="BY7" s="27">
        <v>42</v>
      </c>
      <c r="BZ7" s="27">
        <v>42</v>
      </c>
      <c r="CA7" s="27">
        <v>42</v>
      </c>
      <c r="CB7" s="27">
        <v>42</v>
      </c>
      <c r="CC7" s="27">
        <v>42</v>
      </c>
      <c r="CF7" s="156">
        <v>40</v>
      </c>
      <c r="CG7" s="24" t="str">
        <f t="shared" si="6"/>
        <v>U_KM</v>
      </c>
      <c r="CH7" s="10"/>
      <c r="CI7" s="28"/>
      <c r="CJ7" s="28"/>
      <c r="CK7" s="28"/>
      <c r="CL7" s="28"/>
      <c r="CM7" s="28"/>
      <c r="CN7" s="28"/>
      <c r="CX7" s="7"/>
      <c r="CY7" s="7"/>
      <c r="CZ7" s="7"/>
      <c r="DM7" s="14"/>
    </row>
    <row r="8" spans="1:117" ht="15.75" thickBot="1" x14ac:dyDescent="0.3">
      <c r="A8" s="138" t="s">
        <v>125</v>
      </c>
      <c r="B8" s="140" t="s">
        <v>231</v>
      </c>
      <c r="C8" s="156">
        <v>40</v>
      </c>
      <c r="D8" s="156">
        <v>0</v>
      </c>
      <c r="E8" s="159">
        <v>0</v>
      </c>
      <c r="F8" s="156">
        <v>1</v>
      </c>
      <c r="G8" s="156">
        <v>1</v>
      </c>
      <c r="H8" s="19">
        <f>IF(C8&gt;=40,5*G8,IF(AND(C8&lt;40,C8&gt;20),3*G8,IF(AND(C8&lt;=20,C8&gt;0),2*G8,0)))*Tage!$G$4</f>
        <v>5</v>
      </c>
      <c r="I8" s="156">
        <v>20</v>
      </c>
      <c r="J8" s="19">
        <f t="shared" si="1"/>
        <v>60</v>
      </c>
      <c r="K8" s="162">
        <v>11.6</v>
      </c>
      <c r="L8" s="162"/>
      <c r="M8" s="56">
        <f ca="1">IF(LetztesWE=4,SUM(INDIRECT("$BH8:$CC8")),IF(LetztesWE=5,SUM(INDIRECT("$BH8:$CB8")),0))</f>
        <v>882</v>
      </c>
      <c r="N8" s="141">
        <f t="shared" ca="1" si="2"/>
        <v>26</v>
      </c>
      <c r="O8" s="160">
        <v>1</v>
      </c>
      <c r="P8" s="156">
        <v>1</v>
      </c>
      <c r="Q8" s="156">
        <v>1</v>
      </c>
      <c r="R8" s="156"/>
      <c r="S8" s="156">
        <v>1</v>
      </c>
      <c r="T8" s="156">
        <v>1</v>
      </c>
      <c r="U8" s="156">
        <v>1</v>
      </c>
      <c r="V8" s="156">
        <v>1</v>
      </c>
      <c r="W8" s="156">
        <v>1</v>
      </c>
      <c r="X8" s="156">
        <v>1</v>
      </c>
      <c r="Y8" s="156">
        <v>1</v>
      </c>
      <c r="Z8" s="156">
        <v>1</v>
      </c>
      <c r="AA8" s="156"/>
      <c r="AB8" s="156"/>
      <c r="AC8" s="156"/>
      <c r="AD8" s="156"/>
      <c r="AE8" s="156"/>
      <c r="AF8" s="156"/>
      <c r="AG8" s="19">
        <v>1</v>
      </c>
      <c r="AH8" s="19">
        <v>1</v>
      </c>
      <c r="AI8" s="19">
        <f t="shared" si="3"/>
        <v>0</v>
      </c>
      <c r="AJ8" s="19">
        <v>1</v>
      </c>
      <c r="AK8" s="19">
        <v>1</v>
      </c>
      <c r="AL8" s="19">
        <v>1</v>
      </c>
      <c r="AM8" s="19">
        <v>1</v>
      </c>
      <c r="AN8" s="19">
        <v>1</v>
      </c>
      <c r="AO8" s="156">
        <v>1</v>
      </c>
      <c r="AP8" s="7"/>
      <c r="AQ8" s="7"/>
      <c r="AR8" s="7"/>
      <c r="AS8" s="7"/>
      <c r="AT8" s="7"/>
      <c r="AU8" s="7"/>
      <c r="AV8" s="7"/>
      <c r="AW8" s="5"/>
      <c r="AX8" s="8" t="s">
        <v>322</v>
      </c>
      <c r="AY8" s="8">
        <f>COUNTIF(B2:B85,"OA")</f>
        <v>5</v>
      </c>
      <c r="BA8" s="27"/>
      <c r="BB8" s="7"/>
      <c r="BC8" s="7"/>
      <c r="BD8" s="27" t="s">
        <v>269</v>
      </c>
      <c r="BE8" s="117">
        <f t="shared" ca="1" si="4"/>
        <v>42</v>
      </c>
      <c r="BF8" s="117"/>
      <c r="BG8" s="10" t="str">
        <f t="shared" si="5"/>
        <v>E_MG</v>
      </c>
      <c r="BH8" s="27">
        <v>42</v>
      </c>
      <c r="BI8" s="27">
        <v>42</v>
      </c>
      <c r="BJ8" s="27">
        <v>42</v>
      </c>
      <c r="BK8" s="27">
        <v>42</v>
      </c>
      <c r="BL8" s="27">
        <v>42</v>
      </c>
      <c r="BM8" s="27">
        <v>42</v>
      </c>
      <c r="BN8" s="27">
        <v>42</v>
      </c>
      <c r="BO8" s="27">
        <v>42</v>
      </c>
      <c r="BP8" s="27">
        <v>42</v>
      </c>
      <c r="BQ8" s="27">
        <v>42</v>
      </c>
      <c r="BR8" s="27">
        <v>42</v>
      </c>
      <c r="BS8" s="27">
        <v>42</v>
      </c>
      <c r="BT8" s="27">
        <v>42</v>
      </c>
      <c r="BU8" s="27">
        <v>42</v>
      </c>
      <c r="BV8" s="27">
        <v>42</v>
      </c>
      <c r="BW8" s="27">
        <v>42</v>
      </c>
      <c r="BX8" s="27">
        <v>42</v>
      </c>
      <c r="BY8" s="27">
        <v>42</v>
      </c>
      <c r="BZ8" s="27">
        <v>42</v>
      </c>
      <c r="CA8" s="27">
        <v>42</v>
      </c>
      <c r="CB8" s="27">
        <v>42</v>
      </c>
      <c r="CC8" s="27">
        <v>42</v>
      </c>
      <c r="CF8" s="156">
        <v>40</v>
      </c>
      <c r="CG8" s="24" t="str">
        <f t="shared" si="6"/>
        <v>E_MG</v>
      </c>
      <c r="CH8" s="10"/>
      <c r="CI8" s="28"/>
      <c r="CJ8" s="28"/>
      <c r="CK8" s="28"/>
      <c r="CL8" s="28"/>
      <c r="CM8" s="28"/>
      <c r="CN8" s="28"/>
      <c r="CX8" s="7"/>
      <c r="CY8" s="7"/>
      <c r="CZ8" s="7"/>
      <c r="DM8" s="14"/>
    </row>
    <row r="9" spans="1:117" ht="15.75" thickBot="1" x14ac:dyDescent="0.3">
      <c r="A9" s="138" t="s">
        <v>127</v>
      </c>
      <c r="B9" s="140" t="s">
        <v>231</v>
      </c>
      <c r="C9" s="156">
        <v>26.67</v>
      </c>
      <c r="D9" s="156">
        <v>0</v>
      </c>
      <c r="E9" s="159">
        <v>0</v>
      </c>
      <c r="F9" s="156">
        <v>1</v>
      </c>
      <c r="G9" s="156">
        <v>1</v>
      </c>
      <c r="H9" s="19">
        <f>IF(C9&gt;=40,5*G9,IF(AND(C9&lt;40,C9&gt;20),3*G9,IF(AND(C9&lt;=20,C9&gt;0),2*G9,0)))*Tage!$G$4</f>
        <v>3</v>
      </c>
      <c r="I9" s="156">
        <v>20</v>
      </c>
      <c r="J9" s="19">
        <f t="shared" si="1"/>
        <v>60</v>
      </c>
      <c r="K9" s="162">
        <v>26.55</v>
      </c>
      <c r="L9" s="162">
        <v>1</v>
      </c>
      <c r="M9" s="56">
        <f ca="1">IF(LetztesWE=4,SUM(INDIRECT("$BH9:$CC9")),IF(LetztesWE=5,SUM(INDIRECT("$BH9:$CB9")),0))</f>
        <v>567</v>
      </c>
      <c r="N9" s="141">
        <f t="shared" ca="1" si="2"/>
        <v>26</v>
      </c>
      <c r="O9" s="160">
        <v>1</v>
      </c>
      <c r="P9" s="156">
        <v>1</v>
      </c>
      <c r="Q9" s="156">
        <v>1</v>
      </c>
      <c r="R9" s="156"/>
      <c r="S9" s="156">
        <v>1</v>
      </c>
      <c r="T9" s="156">
        <v>1</v>
      </c>
      <c r="U9" s="156">
        <v>1</v>
      </c>
      <c r="V9" s="156">
        <v>1</v>
      </c>
      <c r="W9" s="156">
        <v>1</v>
      </c>
      <c r="X9" s="156">
        <v>1</v>
      </c>
      <c r="Y9" s="156">
        <v>1</v>
      </c>
      <c r="Z9" s="156">
        <v>1</v>
      </c>
      <c r="AA9" s="156"/>
      <c r="AB9" s="156"/>
      <c r="AC9" s="156"/>
      <c r="AD9" s="156"/>
      <c r="AE9" s="156"/>
      <c r="AF9" s="156"/>
      <c r="AG9" s="19">
        <v>1</v>
      </c>
      <c r="AH9" s="19">
        <v>1</v>
      </c>
      <c r="AI9" s="19">
        <f t="shared" si="3"/>
        <v>1</v>
      </c>
      <c r="AJ9" s="19">
        <v>1</v>
      </c>
      <c r="AK9" s="19">
        <v>1</v>
      </c>
      <c r="AL9" s="19">
        <v>1</v>
      </c>
      <c r="AM9" s="19">
        <v>1</v>
      </c>
      <c r="AN9" s="19">
        <v>1</v>
      </c>
      <c r="AO9" s="156">
        <v>1</v>
      </c>
      <c r="AP9" s="7"/>
      <c r="AQ9" s="7"/>
      <c r="AR9" s="7"/>
      <c r="AS9" s="7"/>
      <c r="AT9" s="7"/>
      <c r="AU9" s="7"/>
      <c r="AV9" s="7"/>
      <c r="AW9" s="5"/>
      <c r="AX9" s="25" t="s">
        <v>323</v>
      </c>
      <c r="AY9" s="25">
        <f>COUNTIF(B2:B85,"CA")</f>
        <v>1</v>
      </c>
      <c r="BA9" s="27"/>
      <c r="BB9" s="7"/>
      <c r="BC9" s="7"/>
      <c r="BD9" s="27" t="s">
        <v>270</v>
      </c>
      <c r="BE9" s="117">
        <f t="shared" ca="1" si="4"/>
        <v>27</v>
      </c>
      <c r="BF9" s="117"/>
      <c r="BG9" s="10" t="str">
        <f t="shared" si="5"/>
        <v>I_CG</v>
      </c>
      <c r="BH9" s="27">
        <v>27</v>
      </c>
      <c r="BI9" s="27">
        <v>27</v>
      </c>
      <c r="BJ9" s="27">
        <v>27</v>
      </c>
      <c r="BK9" s="27">
        <v>27</v>
      </c>
      <c r="BL9" s="27">
        <v>27</v>
      </c>
      <c r="BM9" s="27">
        <v>27</v>
      </c>
      <c r="BN9" s="27">
        <v>27</v>
      </c>
      <c r="BO9" s="27">
        <v>27</v>
      </c>
      <c r="BP9" s="27">
        <v>27</v>
      </c>
      <c r="BQ9" s="27">
        <v>27</v>
      </c>
      <c r="BR9" s="27">
        <v>27</v>
      </c>
      <c r="BS9" s="27">
        <v>27</v>
      </c>
      <c r="BT9" s="27">
        <v>27</v>
      </c>
      <c r="BU9" s="27">
        <v>27</v>
      </c>
      <c r="BV9" s="27">
        <v>27</v>
      </c>
      <c r="BW9" s="27">
        <v>27</v>
      </c>
      <c r="BX9" s="27">
        <v>27</v>
      </c>
      <c r="BY9" s="27">
        <v>27</v>
      </c>
      <c r="BZ9" s="27">
        <v>27</v>
      </c>
      <c r="CA9" s="27">
        <v>27</v>
      </c>
      <c r="CB9" s="27">
        <v>27</v>
      </c>
      <c r="CC9" s="27">
        <v>27</v>
      </c>
      <c r="CF9" s="156">
        <v>26.67</v>
      </c>
      <c r="CG9" s="24" t="str">
        <f t="shared" ref="CG9:CG42" si="7">A9</f>
        <v>I_CG</v>
      </c>
      <c r="CH9" s="10"/>
      <c r="CI9" s="28">
        <v>2</v>
      </c>
      <c r="CJ9" s="28">
        <v>1</v>
      </c>
      <c r="CK9" s="28">
        <v>2</v>
      </c>
      <c r="CL9" s="28">
        <v>1</v>
      </c>
      <c r="CM9" s="28">
        <v>2</v>
      </c>
      <c r="CN9" s="28">
        <v>1</v>
      </c>
      <c r="CX9" s="7"/>
      <c r="CY9" s="7"/>
      <c r="CZ9" s="7"/>
      <c r="DM9" s="14"/>
    </row>
    <row r="10" spans="1:117" ht="15.75" thickBot="1" x14ac:dyDescent="0.3">
      <c r="A10" s="138" t="s">
        <v>130</v>
      </c>
      <c r="B10" s="140" t="s">
        <v>231</v>
      </c>
      <c r="C10" s="156">
        <v>32</v>
      </c>
      <c r="D10" s="156">
        <v>0</v>
      </c>
      <c r="E10" s="159">
        <v>0</v>
      </c>
      <c r="F10" s="156">
        <v>1</v>
      </c>
      <c r="G10" s="156">
        <v>1</v>
      </c>
      <c r="H10" s="19">
        <f>IF(C10&gt;=40,5*G10,IF(AND(C10&lt;40,C10&gt;20),3*G10,IF(AND(C10&lt;=20,C10&gt;0),2*G10,0)))*Tage!$G$4</f>
        <v>3</v>
      </c>
      <c r="I10" s="156">
        <v>20</v>
      </c>
      <c r="J10" s="19">
        <f t="shared" si="1"/>
        <v>60</v>
      </c>
      <c r="K10" s="162">
        <v>23.05</v>
      </c>
      <c r="L10" s="162">
        <v>1</v>
      </c>
      <c r="M10" s="56">
        <f ca="1">IF(LetztesWE=4,SUM(INDIRECT("$BH10:$CC10")),IF(LetztesWE=5,SUM(INDIRECT("$BH10:$CB10")),0))</f>
        <v>693</v>
      </c>
      <c r="N10" s="141">
        <f t="shared" ca="1" si="2"/>
        <v>26</v>
      </c>
      <c r="O10" s="160">
        <v>1</v>
      </c>
      <c r="P10" s="156">
        <v>1</v>
      </c>
      <c r="Q10" s="156">
        <v>1</v>
      </c>
      <c r="R10" s="156"/>
      <c r="S10" s="156">
        <v>1</v>
      </c>
      <c r="T10" s="156">
        <v>1</v>
      </c>
      <c r="U10" s="156">
        <v>1</v>
      </c>
      <c r="V10" s="156">
        <v>1</v>
      </c>
      <c r="W10" s="156">
        <v>1</v>
      </c>
      <c r="X10" s="156">
        <v>1</v>
      </c>
      <c r="Y10" s="156">
        <v>1</v>
      </c>
      <c r="Z10" s="156">
        <v>1</v>
      </c>
      <c r="AA10" s="156"/>
      <c r="AB10" s="156"/>
      <c r="AC10" s="156"/>
      <c r="AD10" s="156"/>
      <c r="AE10" s="156"/>
      <c r="AF10" s="156"/>
      <c r="AG10" s="19">
        <v>1</v>
      </c>
      <c r="AH10" s="19">
        <v>1</v>
      </c>
      <c r="AI10" s="19">
        <f t="shared" si="3"/>
        <v>1</v>
      </c>
      <c r="AJ10" s="19">
        <v>1</v>
      </c>
      <c r="AK10" s="19">
        <v>1</v>
      </c>
      <c r="AL10" s="19">
        <v>1</v>
      </c>
      <c r="AM10" s="19">
        <v>1</v>
      </c>
      <c r="AN10" s="19">
        <v>1</v>
      </c>
      <c r="AO10" s="156">
        <v>1</v>
      </c>
      <c r="AP10" s="7"/>
      <c r="AQ10" s="7"/>
      <c r="AR10" s="7"/>
      <c r="AS10" s="7"/>
      <c r="AT10" s="7"/>
      <c r="AU10" s="7"/>
      <c r="AV10" s="7"/>
      <c r="AW10" s="5"/>
      <c r="AX10" s="8" t="s">
        <v>112</v>
      </c>
      <c r="AY10" s="8">
        <v>7</v>
      </c>
      <c r="AZ10" t="s">
        <v>242</v>
      </c>
      <c r="BA10" s="27"/>
      <c r="BB10" s="7"/>
      <c r="BC10" s="7"/>
      <c r="BD10" s="27" t="s">
        <v>271</v>
      </c>
      <c r="BE10" s="117">
        <f t="shared" ca="1" si="4"/>
        <v>33</v>
      </c>
      <c r="BF10" s="117"/>
      <c r="BG10" s="10" t="str">
        <f t="shared" ref="BG10:BG42" si="8">A10</f>
        <v>M_BJ</v>
      </c>
      <c r="BH10" s="27">
        <v>33</v>
      </c>
      <c r="BI10" s="27">
        <v>33</v>
      </c>
      <c r="BJ10" s="27">
        <v>33</v>
      </c>
      <c r="BK10" s="27">
        <v>33</v>
      </c>
      <c r="BL10" s="27">
        <v>33</v>
      </c>
      <c r="BM10" s="27">
        <v>33</v>
      </c>
      <c r="BN10" s="27">
        <v>33</v>
      </c>
      <c r="BO10" s="27">
        <v>33</v>
      </c>
      <c r="BP10" s="27">
        <v>33</v>
      </c>
      <c r="BQ10" s="27">
        <v>33</v>
      </c>
      <c r="BR10" s="27">
        <v>33</v>
      </c>
      <c r="BS10" s="27">
        <v>33</v>
      </c>
      <c r="BT10" s="27">
        <v>33</v>
      </c>
      <c r="BU10" s="27">
        <v>33</v>
      </c>
      <c r="BV10" s="27">
        <v>33</v>
      </c>
      <c r="BW10" s="27">
        <v>33</v>
      </c>
      <c r="BX10" s="27">
        <v>33</v>
      </c>
      <c r="BY10" s="27">
        <v>33</v>
      </c>
      <c r="BZ10" s="27">
        <v>33</v>
      </c>
      <c r="CA10" s="27">
        <v>33</v>
      </c>
      <c r="CB10" s="27">
        <v>33</v>
      </c>
      <c r="CC10" s="27">
        <v>33</v>
      </c>
      <c r="CF10" s="156">
        <v>32</v>
      </c>
      <c r="CG10" s="24" t="str">
        <f t="shared" si="7"/>
        <v>M_BJ</v>
      </c>
      <c r="CH10" s="10"/>
      <c r="CI10" s="28">
        <v>1</v>
      </c>
      <c r="CJ10" s="28">
        <v>1</v>
      </c>
      <c r="CK10" s="28">
        <v>1</v>
      </c>
      <c r="CL10" s="28">
        <v>1</v>
      </c>
      <c r="CM10" s="28">
        <v>1</v>
      </c>
      <c r="CN10" s="28">
        <v>1</v>
      </c>
      <c r="CX10" s="7"/>
      <c r="CY10" s="7"/>
      <c r="CZ10" s="7"/>
      <c r="DM10" s="14"/>
    </row>
    <row r="11" spans="1:117" ht="15.75" thickBot="1" x14ac:dyDescent="0.3">
      <c r="A11" s="138" t="s">
        <v>131</v>
      </c>
      <c r="B11" s="140" t="s">
        <v>231</v>
      </c>
      <c r="C11" s="156">
        <v>40</v>
      </c>
      <c r="D11" s="156">
        <v>0</v>
      </c>
      <c r="E11" s="159">
        <v>0</v>
      </c>
      <c r="F11" s="156">
        <v>1</v>
      </c>
      <c r="G11" s="156">
        <v>1</v>
      </c>
      <c r="H11" s="19">
        <f>IF(C11&gt;=40,5*G11,IF(AND(C11&lt;40,C11&gt;20),3*G11,IF(AND(C11&lt;=20,C11&gt;0),2*G11,0)))*Tage!$G$4</f>
        <v>5</v>
      </c>
      <c r="I11" s="156">
        <v>20</v>
      </c>
      <c r="J11" s="19">
        <f t="shared" si="1"/>
        <v>60</v>
      </c>
      <c r="K11" s="162">
        <v>7.7</v>
      </c>
      <c r="L11" s="162"/>
      <c r="M11" s="56">
        <f ca="1">IF(LetztesWE=4,SUM(INDIRECT("$BH11:$CC11")),IF(LetztesWE=5,SUM(INDIRECT("$BH11:$CB11")),0))</f>
        <v>882</v>
      </c>
      <c r="N11" s="141">
        <f t="shared" ca="1" si="2"/>
        <v>26</v>
      </c>
      <c r="O11" s="160">
        <v>1</v>
      </c>
      <c r="P11" s="156">
        <v>1</v>
      </c>
      <c r="Q11" s="156">
        <v>1</v>
      </c>
      <c r="R11" s="156">
        <v>1</v>
      </c>
      <c r="S11" s="156">
        <v>1</v>
      </c>
      <c r="T11" s="156">
        <v>1</v>
      </c>
      <c r="U11" s="156">
        <v>1</v>
      </c>
      <c r="V11" s="156">
        <v>1</v>
      </c>
      <c r="W11" s="156">
        <v>1</v>
      </c>
      <c r="X11" s="156">
        <v>1</v>
      </c>
      <c r="Y11" s="156">
        <v>1</v>
      </c>
      <c r="Z11" s="156">
        <v>1</v>
      </c>
      <c r="AA11" s="156">
        <v>1</v>
      </c>
      <c r="AB11" s="156"/>
      <c r="AC11" s="156"/>
      <c r="AD11" s="156"/>
      <c r="AE11" s="156"/>
      <c r="AF11" s="156"/>
      <c r="AG11" s="19">
        <v>1</v>
      </c>
      <c r="AH11" s="19">
        <v>1</v>
      </c>
      <c r="AI11" s="19">
        <f t="shared" si="3"/>
        <v>0</v>
      </c>
      <c r="AJ11" s="19">
        <v>1</v>
      </c>
      <c r="AK11" s="19">
        <v>1</v>
      </c>
      <c r="AL11" s="19">
        <v>1</v>
      </c>
      <c r="AM11" s="19">
        <v>1</v>
      </c>
      <c r="AN11" s="19">
        <v>1</v>
      </c>
      <c r="AO11" s="156">
        <v>1</v>
      </c>
      <c r="AP11" s="20">
        <v>1</v>
      </c>
      <c r="AQ11" s="7"/>
      <c r="AR11" s="7"/>
      <c r="AS11" s="7"/>
      <c r="AT11" s="7"/>
      <c r="AU11" s="7"/>
      <c r="AV11" s="7"/>
      <c r="AW11" s="5"/>
      <c r="AX11" s="22" t="s">
        <v>240</v>
      </c>
      <c r="AY11" s="22">
        <f>2*Tage!G4</f>
        <v>2</v>
      </c>
      <c r="AZ11" t="s">
        <v>244</v>
      </c>
      <c r="BA11" s="27"/>
      <c r="BB11" s="7"/>
      <c r="BC11" s="7"/>
      <c r="BD11" s="27" t="s">
        <v>272</v>
      </c>
      <c r="BE11" s="117">
        <f t="shared" ca="1" si="4"/>
        <v>42</v>
      </c>
      <c r="BF11" s="117"/>
      <c r="BG11" s="10" t="str">
        <f t="shared" si="8"/>
        <v>O_CK</v>
      </c>
      <c r="BH11" s="27">
        <v>42</v>
      </c>
      <c r="BI11" s="27">
        <v>42</v>
      </c>
      <c r="BJ11" s="27">
        <v>42</v>
      </c>
      <c r="BK11" s="27">
        <v>42</v>
      </c>
      <c r="BL11" s="27">
        <v>42</v>
      </c>
      <c r="BM11" s="27">
        <v>42</v>
      </c>
      <c r="BN11" s="27">
        <v>42</v>
      </c>
      <c r="BO11" s="27">
        <v>42</v>
      </c>
      <c r="BP11" s="27">
        <v>42</v>
      </c>
      <c r="BQ11" s="27">
        <v>42</v>
      </c>
      <c r="BR11" s="27">
        <v>42</v>
      </c>
      <c r="BS11" s="27">
        <v>42</v>
      </c>
      <c r="BT11" s="27">
        <v>42</v>
      </c>
      <c r="BU11" s="27">
        <v>42</v>
      </c>
      <c r="BV11" s="27">
        <v>42</v>
      </c>
      <c r="BW11" s="27">
        <v>42</v>
      </c>
      <c r="BX11" s="27">
        <v>42</v>
      </c>
      <c r="BY11" s="27">
        <v>42</v>
      </c>
      <c r="BZ11" s="27">
        <v>42</v>
      </c>
      <c r="CA11" s="27">
        <v>42</v>
      </c>
      <c r="CB11" s="27">
        <v>42</v>
      </c>
      <c r="CC11" s="27">
        <v>42</v>
      </c>
      <c r="CF11" s="156">
        <v>40</v>
      </c>
      <c r="CG11" s="24" t="str">
        <f t="shared" si="7"/>
        <v>O_CK</v>
      </c>
      <c r="CH11" s="10"/>
      <c r="CI11" s="28"/>
      <c r="CJ11" s="28"/>
      <c r="CK11" s="28"/>
      <c r="CL11" s="28"/>
      <c r="CM11" s="28"/>
      <c r="CN11" s="28"/>
      <c r="CX11" s="7"/>
      <c r="CY11" s="7"/>
      <c r="CZ11" s="7"/>
      <c r="DM11" s="14"/>
    </row>
    <row r="12" spans="1:117" ht="15.75" thickBot="1" x14ac:dyDescent="0.3">
      <c r="A12" s="138" t="s">
        <v>135</v>
      </c>
      <c r="B12" s="140" t="s">
        <v>231</v>
      </c>
      <c r="C12" s="156">
        <v>40</v>
      </c>
      <c r="D12" s="156">
        <v>0</v>
      </c>
      <c r="E12" s="159">
        <v>0</v>
      </c>
      <c r="F12" s="156">
        <v>1</v>
      </c>
      <c r="G12" s="156">
        <v>1</v>
      </c>
      <c r="H12" s="19">
        <f>IF(C12&gt;=40,5*G12,IF(AND(C12&lt;40,C12&gt;20),3*G12,IF(AND(C12&lt;=20,C12&gt;0),2*G12,0)))*Tage!$G$4</f>
        <v>5</v>
      </c>
      <c r="I12" s="156">
        <v>20</v>
      </c>
      <c r="J12" s="19">
        <f t="shared" si="1"/>
        <v>60</v>
      </c>
      <c r="K12" s="162">
        <v>17.45</v>
      </c>
      <c r="L12" s="162"/>
      <c r="M12" s="56">
        <f ca="1">IF(LetztesWE=4,SUM(INDIRECT("$BH12:$CC12")),IF(LetztesWE=5,SUM(INDIRECT("$BH12:$CB12")),0))</f>
        <v>882</v>
      </c>
      <c r="N12" s="141">
        <f t="shared" ca="1" si="2"/>
        <v>26</v>
      </c>
      <c r="O12" s="160">
        <v>1</v>
      </c>
      <c r="P12" s="156">
        <v>1</v>
      </c>
      <c r="Q12" s="156">
        <v>1</v>
      </c>
      <c r="R12" s="156"/>
      <c r="S12" s="156">
        <v>1</v>
      </c>
      <c r="T12" s="156">
        <v>1</v>
      </c>
      <c r="U12" s="156">
        <v>1</v>
      </c>
      <c r="V12" s="156">
        <v>1</v>
      </c>
      <c r="W12" s="156">
        <v>1</v>
      </c>
      <c r="X12" s="156">
        <v>1</v>
      </c>
      <c r="Y12" s="156">
        <v>1</v>
      </c>
      <c r="Z12" s="156">
        <v>1</v>
      </c>
      <c r="AA12" s="156"/>
      <c r="AB12" s="156"/>
      <c r="AC12" s="156"/>
      <c r="AD12" s="156"/>
      <c r="AE12" s="156"/>
      <c r="AF12" s="156"/>
      <c r="AG12" s="19">
        <v>1</v>
      </c>
      <c r="AH12" s="19">
        <v>1</v>
      </c>
      <c r="AI12" s="19">
        <f t="shared" si="3"/>
        <v>0</v>
      </c>
      <c r="AJ12" s="19">
        <v>1</v>
      </c>
      <c r="AK12" s="19">
        <v>1</v>
      </c>
      <c r="AL12" s="19">
        <v>1</v>
      </c>
      <c r="AM12" s="19">
        <v>1</v>
      </c>
      <c r="AN12" s="19">
        <v>1</v>
      </c>
      <c r="AO12" s="156">
        <v>1</v>
      </c>
      <c r="AP12" s="7"/>
      <c r="AQ12" s="7"/>
      <c r="AR12" s="7"/>
      <c r="AS12" s="7"/>
      <c r="AT12" s="7"/>
      <c r="AU12" s="7"/>
      <c r="AV12" s="7"/>
      <c r="AW12" s="5"/>
      <c r="AX12" s="8" t="s">
        <v>241</v>
      </c>
      <c r="AY12" s="8">
        <v>3</v>
      </c>
      <c r="AZ12" t="s">
        <v>243</v>
      </c>
      <c r="BA12" s="27"/>
      <c r="BB12" s="7"/>
      <c r="BC12" s="7"/>
      <c r="BD12" s="27" t="s">
        <v>273</v>
      </c>
      <c r="BE12" s="117">
        <f t="shared" ca="1" si="4"/>
        <v>42</v>
      </c>
      <c r="BF12" s="117"/>
      <c r="BG12" s="10" t="str">
        <f t="shared" si="8"/>
        <v>S_DL</v>
      </c>
      <c r="BH12" s="27">
        <v>42</v>
      </c>
      <c r="BI12" s="27">
        <v>42</v>
      </c>
      <c r="BJ12" s="27">
        <v>42</v>
      </c>
      <c r="BK12" s="27">
        <v>42</v>
      </c>
      <c r="BL12" s="27">
        <v>42</v>
      </c>
      <c r="BM12" s="27">
        <v>42</v>
      </c>
      <c r="BN12" s="27">
        <v>42</v>
      </c>
      <c r="BO12" s="27">
        <v>42</v>
      </c>
      <c r="BP12" s="27">
        <v>42</v>
      </c>
      <c r="BQ12" s="27">
        <v>42</v>
      </c>
      <c r="BR12" s="27">
        <v>42</v>
      </c>
      <c r="BS12" s="27">
        <v>42</v>
      </c>
      <c r="BT12" s="27">
        <v>42</v>
      </c>
      <c r="BU12" s="27">
        <v>42</v>
      </c>
      <c r="BV12" s="27">
        <v>42</v>
      </c>
      <c r="BW12" s="27">
        <v>42</v>
      </c>
      <c r="BX12" s="27">
        <v>42</v>
      </c>
      <c r="BY12" s="27">
        <v>42</v>
      </c>
      <c r="BZ12" s="27">
        <v>42</v>
      </c>
      <c r="CA12" s="27">
        <v>42</v>
      </c>
      <c r="CB12" s="27">
        <v>42</v>
      </c>
      <c r="CC12" s="27">
        <v>42</v>
      </c>
      <c r="CF12" s="156">
        <v>40</v>
      </c>
      <c r="CG12" s="24" t="str">
        <f t="shared" si="7"/>
        <v>S_DL</v>
      </c>
      <c r="CH12" s="10"/>
      <c r="CI12" s="28"/>
      <c r="CJ12" s="28"/>
      <c r="CK12" s="28"/>
      <c r="CL12" s="28"/>
      <c r="CM12" s="28"/>
      <c r="CN12" s="28"/>
      <c r="CX12" s="7"/>
      <c r="CY12" s="7"/>
      <c r="CZ12" s="7"/>
      <c r="DM12" s="14"/>
    </row>
    <row r="13" spans="1:117" ht="15.75" thickBot="1" x14ac:dyDescent="0.3">
      <c r="A13" s="138" t="s">
        <v>146</v>
      </c>
      <c r="B13" s="140" t="s">
        <v>231</v>
      </c>
      <c r="C13" s="156">
        <v>20</v>
      </c>
      <c r="D13" s="156">
        <v>1</v>
      </c>
      <c r="E13" s="159">
        <v>0</v>
      </c>
      <c r="F13" s="156">
        <v>1</v>
      </c>
      <c r="G13" s="156">
        <v>1</v>
      </c>
      <c r="H13" s="19">
        <f>IF(C13&gt;=40,5*G13,IF(AND(C13&lt;40,C13&gt;20),3*G13,IF(AND(C13&lt;=20,C13&gt;0),2*G13,0)))*Tage!$G$4</f>
        <v>2</v>
      </c>
      <c r="I13" s="156">
        <v>20</v>
      </c>
      <c r="J13" s="19">
        <f t="shared" si="1"/>
        <v>64</v>
      </c>
      <c r="K13" s="162">
        <v>11</v>
      </c>
      <c r="L13" s="162"/>
      <c r="M13" s="56">
        <f ca="1">IF(LetztesWE=4,SUM(INDIRECT("$BH13:$CC13")),IF(LetztesWE=5,SUM(INDIRECT("$BH13:$CB13")),0))</f>
        <v>441</v>
      </c>
      <c r="N13" s="141">
        <f t="shared" ca="1" si="2"/>
        <v>26</v>
      </c>
      <c r="O13" s="160">
        <v>1</v>
      </c>
      <c r="P13" s="156">
        <v>1</v>
      </c>
      <c r="Q13" s="156">
        <v>1</v>
      </c>
      <c r="R13" s="156"/>
      <c r="S13" s="156">
        <v>1</v>
      </c>
      <c r="T13" s="156">
        <v>1</v>
      </c>
      <c r="U13" s="156">
        <v>1</v>
      </c>
      <c r="V13" s="156">
        <v>1</v>
      </c>
      <c r="W13" s="156">
        <v>1</v>
      </c>
      <c r="X13" s="156">
        <v>1</v>
      </c>
      <c r="Y13" s="156">
        <v>1</v>
      </c>
      <c r="Z13" s="156">
        <v>1</v>
      </c>
      <c r="AA13" s="156"/>
      <c r="AB13" s="156"/>
      <c r="AC13" s="156"/>
      <c r="AD13" s="156"/>
      <c r="AE13" s="156"/>
      <c r="AF13" s="156"/>
      <c r="AG13" s="19">
        <v>1</v>
      </c>
      <c r="AH13" s="19">
        <v>1</v>
      </c>
      <c r="AI13" s="19">
        <f t="shared" si="3"/>
        <v>1</v>
      </c>
      <c r="AJ13" s="19">
        <v>1</v>
      </c>
      <c r="AK13" s="19">
        <v>1</v>
      </c>
      <c r="AL13" s="19">
        <v>1</v>
      </c>
      <c r="AM13" s="19">
        <v>1</v>
      </c>
      <c r="AN13" s="19">
        <v>1</v>
      </c>
      <c r="AO13" s="156">
        <v>1</v>
      </c>
      <c r="AP13" s="7"/>
      <c r="AQ13" s="7"/>
      <c r="AR13" s="7"/>
      <c r="AS13" s="7"/>
      <c r="AT13" s="7"/>
      <c r="AU13" s="7"/>
      <c r="AV13" s="7"/>
      <c r="AW13" s="5"/>
      <c r="AX13" s="22" t="s">
        <v>309</v>
      </c>
      <c r="AY13" s="22">
        <v>1</v>
      </c>
      <c r="AZ13" t="s">
        <v>316</v>
      </c>
      <c r="BA13" s="27"/>
      <c r="BB13" s="7"/>
      <c r="BC13" s="7"/>
      <c r="BD13" s="27" t="s">
        <v>274</v>
      </c>
      <c r="BE13" s="117">
        <f t="shared" ca="1" si="4"/>
        <v>21</v>
      </c>
      <c r="BF13" s="117"/>
      <c r="BG13" s="10" t="str">
        <f t="shared" si="8"/>
        <v>V_UP</v>
      </c>
      <c r="BH13" s="27">
        <v>21</v>
      </c>
      <c r="BI13" s="27">
        <v>21</v>
      </c>
      <c r="BJ13" s="27">
        <v>21</v>
      </c>
      <c r="BK13" s="27">
        <v>21</v>
      </c>
      <c r="BL13" s="27">
        <v>21</v>
      </c>
      <c r="BM13" s="27">
        <v>21</v>
      </c>
      <c r="BN13" s="27">
        <v>21</v>
      </c>
      <c r="BO13" s="27">
        <v>21</v>
      </c>
      <c r="BP13" s="27">
        <v>21</v>
      </c>
      <c r="BQ13" s="27">
        <v>21</v>
      </c>
      <c r="BR13" s="27">
        <v>21</v>
      </c>
      <c r="BS13" s="27">
        <v>21</v>
      </c>
      <c r="BT13" s="27">
        <v>21</v>
      </c>
      <c r="BU13" s="27">
        <v>21</v>
      </c>
      <c r="BV13" s="27">
        <v>21</v>
      </c>
      <c r="BW13" s="27">
        <v>21</v>
      </c>
      <c r="BX13" s="27">
        <v>21</v>
      </c>
      <c r="BY13" s="27">
        <v>21</v>
      </c>
      <c r="BZ13" s="27">
        <v>21</v>
      </c>
      <c r="CA13" s="27">
        <v>21</v>
      </c>
      <c r="CB13" s="27">
        <v>21</v>
      </c>
      <c r="CC13" s="27">
        <v>21</v>
      </c>
      <c r="CF13" s="156">
        <v>20</v>
      </c>
      <c r="CG13" s="24" t="str">
        <f t="shared" si="7"/>
        <v>V_UP</v>
      </c>
      <c r="CH13" s="10"/>
      <c r="CI13" s="28">
        <v>2</v>
      </c>
      <c r="CJ13" s="28">
        <v>2</v>
      </c>
      <c r="CK13" s="28">
        <v>2</v>
      </c>
      <c r="CL13" s="28">
        <v>2</v>
      </c>
      <c r="CM13" s="28">
        <v>2</v>
      </c>
      <c r="CN13" s="28">
        <v>2</v>
      </c>
      <c r="CX13" s="7"/>
      <c r="CY13" s="7"/>
      <c r="CZ13" s="7"/>
      <c r="DM13" s="14"/>
    </row>
    <row r="14" spans="1:117" ht="15.75" thickBot="1" x14ac:dyDescent="0.3">
      <c r="A14" s="138" t="s">
        <v>138</v>
      </c>
      <c r="B14" s="140" t="s">
        <v>231</v>
      </c>
      <c r="C14" s="156">
        <v>40</v>
      </c>
      <c r="D14" s="156">
        <v>1</v>
      </c>
      <c r="E14" s="159">
        <v>0</v>
      </c>
      <c r="F14" s="156">
        <v>1</v>
      </c>
      <c r="G14" s="156">
        <v>1</v>
      </c>
      <c r="H14" s="19">
        <f>IF(C14&gt;=40,5*G14,IF(AND(C14&lt;40,C14&gt;20),3*G14,IF(AND(C14&lt;=20,C14&gt;0),2*G14,0)))*Tage!$G$4</f>
        <v>5</v>
      </c>
      <c r="I14" s="156">
        <v>20</v>
      </c>
      <c r="J14" s="19">
        <f t="shared" si="1"/>
        <v>64</v>
      </c>
      <c r="K14" s="162">
        <v>15.1</v>
      </c>
      <c r="L14" s="162"/>
      <c r="M14" s="56">
        <f ca="1">IF(LetztesWE=4,SUM(INDIRECT("$BH14:$CC14")),IF(LetztesWE=5,SUM(INDIRECT("$BH14:$CB14")),0))</f>
        <v>882</v>
      </c>
      <c r="N14" s="141">
        <f t="shared" ca="1" si="2"/>
        <v>26</v>
      </c>
      <c r="O14" s="160">
        <v>1</v>
      </c>
      <c r="P14" s="156">
        <v>1</v>
      </c>
      <c r="Q14" s="156">
        <v>1</v>
      </c>
      <c r="R14" s="156">
        <v>1</v>
      </c>
      <c r="S14" s="156">
        <v>1</v>
      </c>
      <c r="T14" s="156">
        <v>1</v>
      </c>
      <c r="U14" s="156">
        <v>1</v>
      </c>
      <c r="V14" s="156">
        <v>1</v>
      </c>
      <c r="W14" s="156">
        <v>1</v>
      </c>
      <c r="X14" s="156">
        <v>1</v>
      </c>
      <c r="Y14" s="156">
        <v>1</v>
      </c>
      <c r="Z14" s="156">
        <v>1</v>
      </c>
      <c r="AA14" s="156">
        <v>1</v>
      </c>
      <c r="AB14" s="156">
        <v>1</v>
      </c>
      <c r="AC14" s="156">
        <v>1</v>
      </c>
      <c r="AD14" s="156"/>
      <c r="AE14" s="156">
        <v>1</v>
      </c>
      <c r="AF14" s="156"/>
      <c r="AG14" s="19">
        <v>1</v>
      </c>
      <c r="AH14" s="19">
        <v>1</v>
      </c>
      <c r="AI14" s="19">
        <f t="shared" si="3"/>
        <v>0</v>
      </c>
      <c r="AJ14" s="19">
        <v>1</v>
      </c>
      <c r="AK14" s="19">
        <v>1</v>
      </c>
      <c r="AL14" s="19">
        <v>1</v>
      </c>
      <c r="AM14" s="19">
        <v>1</v>
      </c>
      <c r="AN14" s="19">
        <v>1</v>
      </c>
      <c r="AO14" s="156">
        <v>1</v>
      </c>
      <c r="AP14" s="20">
        <v>1</v>
      </c>
      <c r="AQ14" s="20">
        <v>1</v>
      </c>
      <c r="AR14" s="20">
        <v>1</v>
      </c>
      <c r="AS14" s="20">
        <v>1</v>
      </c>
      <c r="AT14" s="7"/>
      <c r="AU14" s="7"/>
      <c r="AV14" s="7"/>
      <c r="AW14" s="5"/>
      <c r="AX14" s="8" t="s">
        <v>310</v>
      </c>
      <c r="AY14" s="8">
        <v>1.5</v>
      </c>
      <c r="AZ14" t="s">
        <v>313</v>
      </c>
      <c r="BA14" s="27"/>
      <c r="BB14" s="7"/>
      <c r="BC14" s="7"/>
      <c r="BD14" s="27" t="s">
        <v>275</v>
      </c>
      <c r="BE14" s="117">
        <f t="shared" ca="1" si="4"/>
        <v>42</v>
      </c>
      <c r="BF14" s="117"/>
      <c r="BG14" s="10" t="str">
        <f t="shared" si="8"/>
        <v>W_BP</v>
      </c>
      <c r="BH14" s="27">
        <v>42</v>
      </c>
      <c r="BI14" s="27">
        <v>42</v>
      </c>
      <c r="BJ14" s="27">
        <v>42</v>
      </c>
      <c r="BK14" s="27">
        <v>42</v>
      </c>
      <c r="BL14" s="27">
        <v>42</v>
      </c>
      <c r="BM14" s="27">
        <v>42</v>
      </c>
      <c r="BN14" s="27">
        <v>42</v>
      </c>
      <c r="BO14" s="27">
        <v>42</v>
      </c>
      <c r="BP14" s="27">
        <v>42</v>
      </c>
      <c r="BQ14" s="27">
        <v>42</v>
      </c>
      <c r="BR14" s="27">
        <v>42</v>
      </c>
      <c r="BS14" s="27">
        <v>42</v>
      </c>
      <c r="BT14" s="27">
        <v>42</v>
      </c>
      <c r="BU14" s="27">
        <v>42</v>
      </c>
      <c r="BV14" s="27">
        <v>42</v>
      </c>
      <c r="BW14" s="27">
        <v>42</v>
      </c>
      <c r="BX14" s="27">
        <v>42</v>
      </c>
      <c r="BY14" s="27">
        <v>42</v>
      </c>
      <c r="BZ14" s="27">
        <v>42</v>
      </c>
      <c r="CA14" s="27">
        <v>42</v>
      </c>
      <c r="CB14" s="27">
        <v>42</v>
      </c>
      <c r="CC14" s="27">
        <v>42</v>
      </c>
      <c r="CF14" s="156">
        <v>40</v>
      </c>
      <c r="CG14" s="24" t="str">
        <f t="shared" si="7"/>
        <v>W_BP</v>
      </c>
      <c r="CH14" s="10"/>
      <c r="CI14" s="28"/>
      <c r="CJ14" s="28"/>
      <c r="CK14" s="28"/>
      <c r="CL14" s="28"/>
      <c r="CM14" s="28"/>
      <c r="CN14" s="28"/>
      <c r="CO14" s="27"/>
      <c r="CP14" s="27"/>
      <c r="CQ14" s="27"/>
      <c r="CR14" s="27"/>
      <c r="CS14" s="27"/>
      <c r="CT14" s="27"/>
      <c r="CU14" s="27"/>
      <c r="CV14" s="27"/>
      <c r="CW14" s="27"/>
      <c r="CX14" s="7"/>
      <c r="CY14" s="7"/>
      <c r="CZ14" s="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14"/>
    </row>
    <row r="15" spans="1:117" ht="15.75" thickBot="1" x14ac:dyDescent="0.3">
      <c r="A15" s="138" t="s">
        <v>139</v>
      </c>
      <c r="B15" s="140" t="s">
        <v>231</v>
      </c>
      <c r="C15" s="156">
        <v>40</v>
      </c>
      <c r="D15" s="156">
        <v>1</v>
      </c>
      <c r="E15" s="159">
        <v>0</v>
      </c>
      <c r="F15" s="156">
        <v>1</v>
      </c>
      <c r="G15" s="156">
        <v>1</v>
      </c>
      <c r="H15" s="19">
        <f>IF(C15&gt;=40,5*G15,IF(AND(C15&lt;40,C15&gt;20),3*G15,IF(AND(C15&lt;=20,C15&gt;0),2*G15,0)))*Tage!$G$4</f>
        <v>5</v>
      </c>
      <c r="I15" s="156">
        <v>20</v>
      </c>
      <c r="J15" s="19">
        <f t="shared" si="1"/>
        <v>64</v>
      </c>
      <c r="K15" s="162">
        <v>7.7</v>
      </c>
      <c r="L15" s="162"/>
      <c r="M15" s="56">
        <f ca="1">IF(LetztesWE=4,SUM(INDIRECT("$BH15:$CC15")),IF(LetztesWE=5,SUM(INDIRECT("$BH15:$CB15")),0))</f>
        <v>882</v>
      </c>
      <c r="N15" s="141">
        <f t="shared" ca="1" si="2"/>
        <v>26</v>
      </c>
      <c r="O15" s="160">
        <v>1</v>
      </c>
      <c r="P15" s="156">
        <v>1</v>
      </c>
      <c r="Q15" s="156">
        <v>1</v>
      </c>
      <c r="R15" s="156">
        <v>1</v>
      </c>
      <c r="S15" s="156">
        <v>1</v>
      </c>
      <c r="T15" s="156">
        <v>1</v>
      </c>
      <c r="U15" s="156">
        <v>1</v>
      </c>
      <c r="V15" s="156">
        <v>1</v>
      </c>
      <c r="W15" s="156">
        <v>1</v>
      </c>
      <c r="X15" s="156">
        <v>1</v>
      </c>
      <c r="Y15" s="156">
        <v>1</v>
      </c>
      <c r="Z15" s="156">
        <v>1</v>
      </c>
      <c r="AA15" s="156">
        <v>1</v>
      </c>
      <c r="AB15" s="156">
        <v>1</v>
      </c>
      <c r="AC15" s="156">
        <v>1</v>
      </c>
      <c r="AD15" s="156"/>
      <c r="AE15" s="156">
        <v>1</v>
      </c>
      <c r="AF15" s="156"/>
      <c r="AG15" s="19">
        <v>1</v>
      </c>
      <c r="AH15" s="19">
        <v>1</v>
      </c>
      <c r="AI15" s="19">
        <f t="shared" si="3"/>
        <v>0</v>
      </c>
      <c r="AJ15" s="19">
        <v>1</v>
      </c>
      <c r="AK15" s="19">
        <v>1</v>
      </c>
      <c r="AL15" s="19">
        <v>1</v>
      </c>
      <c r="AM15" s="19">
        <v>1</v>
      </c>
      <c r="AN15" s="19">
        <v>1</v>
      </c>
      <c r="AO15" s="156">
        <v>1</v>
      </c>
      <c r="AP15" s="20">
        <v>1</v>
      </c>
      <c r="AQ15" s="20">
        <v>1</v>
      </c>
      <c r="AR15" s="20">
        <v>1</v>
      </c>
      <c r="AS15" s="20">
        <v>1</v>
      </c>
      <c r="AT15" s="7"/>
      <c r="AU15" s="7"/>
      <c r="AV15" s="7"/>
      <c r="AW15" s="5"/>
      <c r="AX15" s="22" t="s">
        <v>311</v>
      </c>
      <c r="AY15" s="22">
        <v>1.2</v>
      </c>
      <c r="AZ15" t="s">
        <v>314</v>
      </c>
      <c r="BA15" s="27"/>
      <c r="BB15" s="7"/>
      <c r="BC15" s="7"/>
      <c r="BD15" s="27" t="s">
        <v>276</v>
      </c>
      <c r="BE15" s="117">
        <f t="shared" ca="1" si="4"/>
        <v>42</v>
      </c>
      <c r="BF15" s="117"/>
      <c r="BG15" s="10" t="str">
        <f t="shared" si="8"/>
        <v>X_AP</v>
      </c>
      <c r="BH15" s="27">
        <v>42</v>
      </c>
      <c r="BI15" s="27">
        <v>42</v>
      </c>
      <c r="BJ15" s="27">
        <v>42</v>
      </c>
      <c r="BK15" s="27">
        <v>42</v>
      </c>
      <c r="BL15" s="27">
        <v>42</v>
      </c>
      <c r="BM15" s="27">
        <v>42</v>
      </c>
      <c r="BN15" s="27">
        <v>42</v>
      </c>
      <c r="BO15" s="27">
        <v>42</v>
      </c>
      <c r="BP15" s="27">
        <v>42</v>
      </c>
      <c r="BQ15" s="27">
        <v>42</v>
      </c>
      <c r="BR15" s="27">
        <v>42</v>
      </c>
      <c r="BS15" s="27">
        <v>42</v>
      </c>
      <c r="BT15" s="27">
        <v>42</v>
      </c>
      <c r="BU15" s="27">
        <v>42</v>
      </c>
      <c r="BV15" s="27">
        <v>42</v>
      </c>
      <c r="BW15" s="27">
        <v>42</v>
      </c>
      <c r="BX15" s="27">
        <v>42</v>
      </c>
      <c r="BY15" s="27">
        <v>42</v>
      </c>
      <c r="BZ15" s="27">
        <v>42</v>
      </c>
      <c r="CA15" s="27">
        <v>42</v>
      </c>
      <c r="CB15" s="27">
        <v>42</v>
      </c>
      <c r="CC15" s="27">
        <v>42</v>
      </c>
      <c r="CF15" s="156">
        <v>40</v>
      </c>
      <c r="CG15" s="24" t="str">
        <f t="shared" si="7"/>
        <v>X_AP</v>
      </c>
      <c r="CH15" s="10"/>
      <c r="CI15" s="28"/>
      <c r="CJ15" s="28"/>
      <c r="CK15" s="28"/>
      <c r="CL15" s="28"/>
      <c r="CM15" s="28"/>
      <c r="CN15" s="28"/>
      <c r="CX15" s="7"/>
      <c r="CY15" s="7"/>
      <c r="CZ15" s="7"/>
      <c r="DM15" s="14"/>
    </row>
    <row r="16" spans="1:117" ht="15.75" thickBot="1" x14ac:dyDescent="0.3">
      <c r="A16" s="138" t="s">
        <v>140</v>
      </c>
      <c r="B16" s="140" t="s">
        <v>231</v>
      </c>
      <c r="C16" s="156">
        <v>40</v>
      </c>
      <c r="D16" s="156">
        <v>1</v>
      </c>
      <c r="E16" s="159">
        <v>0</v>
      </c>
      <c r="F16" s="156">
        <v>1</v>
      </c>
      <c r="G16" s="156">
        <v>1</v>
      </c>
      <c r="H16" s="19">
        <f>IF(C16&gt;=40,5*G16,IF(AND(C16&lt;40,C16&gt;20),3*G16,IF(AND(C16&lt;=20,C16&gt;0),2*G16,0)))*Tage!$G$4</f>
        <v>5</v>
      </c>
      <c r="I16" s="156">
        <v>20</v>
      </c>
      <c r="J16" s="19">
        <f t="shared" si="1"/>
        <v>64</v>
      </c>
      <c r="K16" s="162">
        <v>8.4</v>
      </c>
      <c r="L16" s="162"/>
      <c r="M16" s="56">
        <f ca="1">IF(LetztesWE=4,SUM(INDIRECT("$BH16:$CC16")),IF(LetztesWE=5,SUM(INDIRECT("$BH16:$CB16")),0))</f>
        <v>882</v>
      </c>
      <c r="N16" s="141">
        <f t="shared" ca="1" si="2"/>
        <v>26</v>
      </c>
      <c r="O16" s="160">
        <v>1</v>
      </c>
      <c r="P16" s="156">
        <v>1</v>
      </c>
      <c r="Q16" s="156">
        <v>1</v>
      </c>
      <c r="R16" s="156">
        <v>1</v>
      </c>
      <c r="S16" s="156">
        <v>1</v>
      </c>
      <c r="T16" s="156">
        <v>1</v>
      </c>
      <c r="U16" s="156">
        <v>1</v>
      </c>
      <c r="V16" s="156">
        <v>1</v>
      </c>
      <c r="W16" s="156">
        <v>1</v>
      </c>
      <c r="X16" s="156">
        <v>1</v>
      </c>
      <c r="Y16" s="156">
        <v>1</v>
      </c>
      <c r="Z16" s="156">
        <v>1</v>
      </c>
      <c r="AA16" s="156"/>
      <c r="AB16" s="156"/>
      <c r="AC16" s="156"/>
      <c r="AD16" s="156"/>
      <c r="AE16" s="156">
        <v>1</v>
      </c>
      <c r="AF16" s="156"/>
      <c r="AG16" s="19">
        <v>1</v>
      </c>
      <c r="AH16" s="19">
        <v>1</v>
      </c>
      <c r="AI16" s="19">
        <f t="shared" si="3"/>
        <v>0</v>
      </c>
      <c r="AJ16" s="19">
        <v>1</v>
      </c>
      <c r="AK16" s="19">
        <v>1</v>
      </c>
      <c r="AL16" s="19">
        <v>1</v>
      </c>
      <c r="AM16" s="19">
        <v>1</v>
      </c>
      <c r="AN16" s="19">
        <v>1</v>
      </c>
      <c r="AO16" s="156">
        <v>1</v>
      </c>
      <c r="AP16" s="7"/>
      <c r="AQ16" s="7"/>
      <c r="AR16" s="7"/>
      <c r="AS16" s="7"/>
      <c r="AT16" s="7"/>
      <c r="AU16" s="7"/>
      <c r="AV16" s="7"/>
      <c r="AW16" s="5"/>
      <c r="AX16" s="8" t="s">
        <v>312</v>
      </c>
      <c r="AY16" s="8">
        <v>0.3</v>
      </c>
      <c r="AZ16" t="s">
        <v>315</v>
      </c>
      <c r="BA16" s="27"/>
      <c r="BB16" s="7"/>
      <c r="BC16" s="7"/>
      <c r="BD16" s="27" t="s">
        <v>277</v>
      </c>
      <c r="BE16" s="117">
        <f t="shared" ca="1" si="4"/>
        <v>42</v>
      </c>
      <c r="BF16" s="167"/>
      <c r="BG16" s="10" t="str">
        <f t="shared" si="8"/>
        <v>Y_DS</v>
      </c>
      <c r="BH16" s="27">
        <v>42</v>
      </c>
      <c r="BI16" s="27">
        <v>42</v>
      </c>
      <c r="BJ16" s="27">
        <v>42</v>
      </c>
      <c r="BK16" s="27">
        <v>42</v>
      </c>
      <c r="BL16" s="27">
        <v>42</v>
      </c>
      <c r="BM16" s="27">
        <v>42</v>
      </c>
      <c r="BN16" s="27">
        <v>42</v>
      </c>
      <c r="BO16" s="27">
        <v>42</v>
      </c>
      <c r="BP16" s="27">
        <v>42</v>
      </c>
      <c r="BQ16" s="27">
        <v>42</v>
      </c>
      <c r="BR16" s="27">
        <v>42</v>
      </c>
      <c r="BS16" s="27">
        <v>42</v>
      </c>
      <c r="BT16" s="27">
        <v>42</v>
      </c>
      <c r="BU16" s="27">
        <v>42</v>
      </c>
      <c r="BV16" s="27">
        <v>42</v>
      </c>
      <c r="BW16" s="27">
        <v>42</v>
      </c>
      <c r="BX16" s="27">
        <v>42</v>
      </c>
      <c r="BY16" s="27">
        <v>42</v>
      </c>
      <c r="BZ16" s="27">
        <v>42</v>
      </c>
      <c r="CA16" s="27">
        <v>42</v>
      </c>
      <c r="CB16" s="27">
        <v>42</v>
      </c>
      <c r="CC16" s="27">
        <v>42</v>
      </c>
      <c r="CF16" s="156">
        <v>40</v>
      </c>
      <c r="CG16" s="24" t="str">
        <f t="shared" si="7"/>
        <v>Y_DS</v>
      </c>
      <c r="CH16" s="22"/>
      <c r="CI16" s="39"/>
      <c r="CJ16" s="39"/>
      <c r="CK16" s="39"/>
      <c r="CL16" s="39"/>
      <c r="CM16" s="39"/>
      <c r="CN16" s="39"/>
      <c r="CO16" s="15"/>
      <c r="CP16" s="15"/>
      <c r="CQ16" s="15"/>
      <c r="CR16" s="15"/>
      <c r="CS16" s="15"/>
      <c r="CT16" s="15"/>
      <c r="CU16" s="15"/>
      <c r="CV16" s="15"/>
      <c r="CW16" s="15"/>
      <c r="CX16" s="7"/>
      <c r="CY16" s="7"/>
      <c r="CZ16" s="7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4"/>
    </row>
    <row r="17" spans="1:117" ht="15.75" thickBot="1" x14ac:dyDescent="0.3">
      <c r="A17" s="138" t="s">
        <v>141</v>
      </c>
      <c r="B17" s="140" t="s">
        <v>231</v>
      </c>
      <c r="C17" s="156">
        <v>40</v>
      </c>
      <c r="D17" s="156">
        <v>1</v>
      </c>
      <c r="E17" s="159">
        <v>0</v>
      </c>
      <c r="F17" s="156">
        <v>1</v>
      </c>
      <c r="G17" s="156">
        <v>1</v>
      </c>
      <c r="H17" s="19">
        <f>IF(C17&gt;=40,5*G17,IF(AND(C17&lt;40,C17&gt;20),3*G17,IF(AND(C17&lt;=20,C17&gt;0),2*G17,0)))*Tage!$G$4</f>
        <v>5</v>
      </c>
      <c r="I17" s="156">
        <v>20</v>
      </c>
      <c r="J17" s="19">
        <f t="shared" si="1"/>
        <v>64</v>
      </c>
      <c r="K17" s="162">
        <v>34</v>
      </c>
      <c r="L17" s="162"/>
      <c r="M17" s="56">
        <f ca="1">IF(LetztesWE=4,SUM(INDIRECT("$BH17:$CC17")),IF(LetztesWE=5,SUM(INDIRECT("$BH17:$CB17")),0))</f>
        <v>882</v>
      </c>
      <c r="N17" s="141">
        <f t="shared" ca="1" si="2"/>
        <v>26</v>
      </c>
      <c r="O17" s="160">
        <v>1</v>
      </c>
      <c r="P17" s="156">
        <v>1</v>
      </c>
      <c r="Q17" s="156">
        <v>1</v>
      </c>
      <c r="R17" s="156">
        <v>1</v>
      </c>
      <c r="S17" s="156">
        <v>1</v>
      </c>
      <c r="T17" s="156">
        <v>1</v>
      </c>
      <c r="U17" s="156">
        <v>1</v>
      </c>
      <c r="V17" s="156">
        <v>1</v>
      </c>
      <c r="W17" s="156">
        <v>1</v>
      </c>
      <c r="X17" s="156">
        <v>1</v>
      </c>
      <c r="Y17" s="156">
        <v>1</v>
      </c>
      <c r="Z17" s="156">
        <v>1</v>
      </c>
      <c r="AA17" s="156">
        <v>1</v>
      </c>
      <c r="AB17" s="156">
        <v>1</v>
      </c>
      <c r="AC17" s="156">
        <v>1</v>
      </c>
      <c r="AD17" s="156"/>
      <c r="AE17" s="156">
        <v>1</v>
      </c>
      <c r="AF17" s="156"/>
      <c r="AG17" s="19">
        <v>1</v>
      </c>
      <c r="AH17" s="19">
        <v>1</v>
      </c>
      <c r="AI17" s="19">
        <f t="shared" si="3"/>
        <v>0</v>
      </c>
      <c r="AJ17" s="19">
        <v>1</v>
      </c>
      <c r="AK17" s="19">
        <v>1</v>
      </c>
      <c r="AL17" s="19">
        <v>1</v>
      </c>
      <c r="AM17" s="19">
        <v>1</v>
      </c>
      <c r="AN17" s="19">
        <v>1</v>
      </c>
      <c r="AO17" s="156">
        <v>1</v>
      </c>
      <c r="AP17" s="20">
        <v>1</v>
      </c>
      <c r="AQ17" s="20">
        <v>1</v>
      </c>
      <c r="AR17" s="20">
        <v>1</v>
      </c>
      <c r="AS17" s="20">
        <v>1</v>
      </c>
      <c r="AT17" s="7"/>
      <c r="AU17" s="7"/>
      <c r="AV17" s="7"/>
      <c r="AW17" s="5"/>
      <c r="AX17" s="22" t="s">
        <v>317</v>
      </c>
      <c r="AY17" s="22">
        <v>100000</v>
      </c>
      <c r="AZ17" t="s">
        <v>318</v>
      </c>
      <c r="BA17" s="27"/>
      <c r="BB17" s="7"/>
      <c r="BC17" s="7"/>
      <c r="BD17" s="27" t="s">
        <v>278</v>
      </c>
      <c r="BE17" s="117">
        <f t="shared" ca="1" si="4"/>
        <v>42</v>
      </c>
      <c r="BF17" s="117"/>
      <c r="BG17" s="10" t="str">
        <f t="shared" si="8"/>
        <v>Z_HS</v>
      </c>
      <c r="BH17" s="15">
        <v>42</v>
      </c>
      <c r="BI17" s="15">
        <v>42</v>
      </c>
      <c r="BJ17" s="15">
        <v>42</v>
      </c>
      <c r="BK17" s="15">
        <v>42</v>
      </c>
      <c r="BL17" s="15">
        <v>42</v>
      </c>
      <c r="BM17" s="15">
        <v>42</v>
      </c>
      <c r="BN17" s="15">
        <v>42</v>
      </c>
      <c r="BO17" s="15">
        <v>42</v>
      </c>
      <c r="BP17" s="15">
        <v>42</v>
      </c>
      <c r="BQ17" s="15">
        <v>42</v>
      </c>
      <c r="BR17" s="15">
        <v>42</v>
      </c>
      <c r="BS17" s="15">
        <v>42</v>
      </c>
      <c r="BT17" s="15">
        <v>42</v>
      </c>
      <c r="BU17" s="15">
        <v>42</v>
      </c>
      <c r="BV17" s="15">
        <v>42</v>
      </c>
      <c r="BW17" s="15">
        <v>42</v>
      </c>
      <c r="BX17" s="15">
        <v>42</v>
      </c>
      <c r="BY17" s="15">
        <v>42</v>
      </c>
      <c r="BZ17" s="15">
        <v>42</v>
      </c>
      <c r="CA17" s="15">
        <v>42</v>
      </c>
      <c r="CB17" s="15">
        <v>42</v>
      </c>
      <c r="CC17" s="15">
        <v>42</v>
      </c>
      <c r="CF17" s="156">
        <v>40</v>
      </c>
      <c r="CG17" s="24" t="str">
        <f t="shared" si="7"/>
        <v>Z_HS</v>
      </c>
      <c r="CH17" s="10"/>
      <c r="CI17" s="28"/>
      <c r="CJ17" s="28"/>
      <c r="CK17" s="28"/>
      <c r="CL17" s="28"/>
      <c r="CM17" s="28"/>
      <c r="CN17" s="28"/>
      <c r="CX17" s="7"/>
      <c r="CY17" s="7"/>
      <c r="CZ17" s="7"/>
      <c r="DM17" s="14"/>
    </row>
    <row r="18" spans="1:117" ht="15.75" thickBot="1" x14ac:dyDescent="0.3">
      <c r="A18" s="138" t="s">
        <v>142</v>
      </c>
      <c r="B18" s="140" t="s">
        <v>231</v>
      </c>
      <c r="C18" s="156">
        <v>32</v>
      </c>
      <c r="D18" s="156">
        <v>0</v>
      </c>
      <c r="E18" s="159">
        <v>0</v>
      </c>
      <c r="F18" s="156">
        <v>1</v>
      </c>
      <c r="G18" s="156">
        <v>1</v>
      </c>
      <c r="H18" s="19">
        <f>IF(C18&gt;=40,5*G18,IF(AND(C18&lt;40,C18&gt;20),3*G18,IF(AND(C18&lt;=20,C18&gt;0),2*G18,0)))*Tage!$G$4</f>
        <v>3</v>
      </c>
      <c r="I18" s="156">
        <v>20</v>
      </c>
      <c r="J18" s="19">
        <f t="shared" si="1"/>
        <v>60</v>
      </c>
      <c r="K18" s="162">
        <v>9.6</v>
      </c>
      <c r="L18" s="162">
        <v>1</v>
      </c>
      <c r="M18" s="56">
        <f ca="1">IF(LetztesWE=4,SUM(INDIRECT("$BH18:$CC18")),IF(LetztesWE=5,SUM(INDIRECT("$BH18:$CB18")),0))</f>
        <v>693</v>
      </c>
      <c r="N18" s="141">
        <f t="shared" ca="1" si="2"/>
        <v>26</v>
      </c>
      <c r="O18" s="160">
        <v>1</v>
      </c>
      <c r="P18" s="156">
        <v>1</v>
      </c>
      <c r="Q18" s="156">
        <v>1</v>
      </c>
      <c r="R18" s="156"/>
      <c r="S18" s="156">
        <v>1</v>
      </c>
      <c r="T18" s="156">
        <v>1</v>
      </c>
      <c r="U18" s="156">
        <v>1</v>
      </c>
      <c r="V18" s="156">
        <v>1</v>
      </c>
      <c r="W18" s="156">
        <v>1</v>
      </c>
      <c r="X18" s="156">
        <v>1</v>
      </c>
      <c r="Y18" s="156">
        <v>1</v>
      </c>
      <c r="Z18" s="156">
        <v>1</v>
      </c>
      <c r="AA18" s="156"/>
      <c r="AB18" s="156"/>
      <c r="AC18" s="156"/>
      <c r="AD18" s="156"/>
      <c r="AE18" s="156"/>
      <c r="AF18" s="156"/>
      <c r="AG18" s="19">
        <v>1</v>
      </c>
      <c r="AH18" s="19">
        <v>1</v>
      </c>
      <c r="AI18" s="19">
        <f t="shared" si="3"/>
        <v>1</v>
      </c>
      <c r="AJ18" s="19">
        <v>1</v>
      </c>
      <c r="AK18" s="19">
        <v>1</v>
      </c>
      <c r="AL18" s="19">
        <v>1</v>
      </c>
      <c r="AM18" s="19">
        <v>1</v>
      </c>
      <c r="AN18" s="19">
        <v>1</v>
      </c>
      <c r="AO18" s="156">
        <v>1</v>
      </c>
      <c r="AP18" s="7"/>
      <c r="AQ18" s="7"/>
      <c r="AR18" s="7"/>
      <c r="AS18" s="7"/>
      <c r="AT18" s="7"/>
      <c r="AU18" s="7"/>
      <c r="AV18" s="7"/>
      <c r="AW18" s="5"/>
      <c r="AX18" s="27"/>
      <c r="AY18" s="27"/>
      <c r="BA18" s="27"/>
      <c r="BB18" s="7"/>
      <c r="BC18" s="7"/>
      <c r="BD18" s="27" t="s">
        <v>279</v>
      </c>
      <c r="BE18" s="117">
        <f t="shared" ca="1" si="4"/>
        <v>33</v>
      </c>
      <c r="BF18" s="117"/>
      <c r="BG18" s="10" t="str">
        <f t="shared" si="8"/>
        <v>ZB_TW</v>
      </c>
      <c r="BH18" s="15">
        <v>33</v>
      </c>
      <c r="BI18" s="15">
        <v>33</v>
      </c>
      <c r="BJ18" s="15">
        <v>33</v>
      </c>
      <c r="BK18" s="15">
        <v>33</v>
      </c>
      <c r="BL18" s="15">
        <v>33</v>
      </c>
      <c r="BM18" s="15">
        <v>33</v>
      </c>
      <c r="BN18" s="15">
        <v>33</v>
      </c>
      <c r="BO18" s="15">
        <v>33</v>
      </c>
      <c r="BP18" s="15">
        <v>33</v>
      </c>
      <c r="BQ18" s="15">
        <v>33</v>
      </c>
      <c r="BR18" s="15">
        <v>33</v>
      </c>
      <c r="BS18" s="15">
        <v>33</v>
      </c>
      <c r="BT18" s="15">
        <v>33</v>
      </c>
      <c r="BU18" s="15">
        <v>33</v>
      </c>
      <c r="BV18" s="15">
        <v>33</v>
      </c>
      <c r="BW18" s="15">
        <v>33</v>
      </c>
      <c r="BX18" s="15">
        <v>33</v>
      </c>
      <c r="BY18" s="15">
        <v>33</v>
      </c>
      <c r="BZ18" s="15">
        <v>33</v>
      </c>
      <c r="CA18" s="15">
        <v>33</v>
      </c>
      <c r="CB18" s="15">
        <v>33</v>
      </c>
      <c r="CC18" s="15">
        <v>33</v>
      </c>
      <c r="CF18" s="156">
        <v>32</v>
      </c>
      <c r="CG18" s="24" t="str">
        <f t="shared" si="7"/>
        <v>ZB_TW</v>
      </c>
      <c r="CH18" s="10"/>
      <c r="CI18" s="28">
        <v>1</v>
      </c>
      <c r="CJ18" s="28">
        <v>1</v>
      </c>
      <c r="CK18" s="28">
        <v>1</v>
      </c>
      <c r="CL18" s="28">
        <v>1</v>
      </c>
      <c r="CM18" s="28">
        <v>1</v>
      </c>
      <c r="CN18" s="28">
        <v>1</v>
      </c>
      <c r="CX18" s="7"/>
      <c r="CY18" s="7"/>
      <c r="CZ18" s="7"/>
      <c r="DM18" s="14"/>
    </row>
    <row r="19" spans="1:117" ht="15.75" thickBot="1" x14ac:dyDescent="0.3">
      <c r="A19" s="138" t="s">
        <v>334</v>
      </c>
      <c r="B19" s="140" t="s">
        <v>230</v>
      </c>
      <c r="C19" s="156">
        <v>32</v>
      </c>
      <c r="D19" s="156">
        <v>0</v>
      </c>
      <c r="E19" s="159">
        <v>0</v>
      </c>
      <c r="F19" s="156">
        <v>0</v>
      </c>
      <c r="G19" s="156">
        <v>0</v>
      </c>
      <c r="H19" s="19">
        <f>IF(C19&gt;=40,5*G19,IF(AND(C19&lt;40,C19&gt;20),3*G19,IF(AND(C19&lt;=20,C19&gt;0),2*G19,0)))*Tage!$G$4</f>
        <v>0</v>
      </c>
      <c r="I19" s="156">
        <v>20</v>
      </c>
      <c r="J19" s="19">
        <f t="shared" si="1"/>
        <v>60</v>
      </c>
      <c r="K19" s="162">
        <v>20.149999999999999</v>
      </c>
      <c r="L19" s="162">
        <v>1</v>
      </c>
      <c r="M19" s="56">
        <f ca="1">IF(LetztesWE=4,SUM(INDIRECT("$BH19:$CC19")),IF(LetztesWE=5,SUM(INDIRECT("$BH19:$CB19")),0))</f>
        <v>693</v>
      </c>
      <c r="N19" s="141">
        <f t="shared" ca="1" si="2"/>
        <v>26</v>
      </c>
      <c r="O19" s="160">
        <v>1</v>
      </c>
      <c r="P19" s="156">
        <v>1</v>
      </c>
      <c r="Q19" s="156">
        <v>1</v>
      </c>
      <c r="R19" s="156">
        <v>1</v>
      </c>
      <c r="S19" s="156">
        <v>1</v>
      </c>
      <c r="T19" s="156">
        <v>1</v>
      </c>
      <c r="U19" s="156">
        <v>1</v>
      </c>
      <c r="V19" s="156">
        <v>1</v>
      </c>
      <c r="W19" s="156">
        <v>1</v>
      </c>
      <c r="X19" s="156">
        <v>1</v>
      </c>
      <c r="Y19" s="156">
        <v>1</v>
      </c>
      <c r="Z19" s="156">
        <v>1</v>
      </c>
      <c r="AA19" s="156"/>
      <c r="AB19" s="156"/>
      <c r="AC19" s="156"/>
      <c r="AD19" s="156"/>
      <c r="AE19" s="156"/>
      <c r="AF19" s="156"/>
      <c r="AG19" s="19">
        <v>1</v>
      </c>
      <c r="AH19" s="19">
        <v>1</v>
      </c>
      <c r="AI19" s="19">
        <f t="shared" si="3"/>
        <v>1</v>
      </c>
      <c r="AJ19" s="19">
        <v>1</v>
      </c>
      <c r="AK19" s="19">
        <v>1</v>
      </c>
      <c r="AL19" s="19">
        <v>1</v>
      </c>
      <c r="AM19" s="19">
        <v>1</v>
      </c>
      <c r="AN19" s="19">
        <v>1</v>
      </c>
      <c r="AO19" s="156">
        <v>1</v>
      </c>
      <c r="AP19" s="7"/>
      <c r="AQ19" s="7"/>
      <c r="AR19" s="7"/>
      <c r="AS19" s="7"/>
      <c r="AT19" s="7"/>
      <c r="AU19" s="7"/>
      <c r="AV19" s="7"/>
      <c r="AW19" s="5"/>
      <c r="BA19" s="27"/>
      <c r="BB19" s="7"/>
      <c r="BC19" s="7"/>
      <c r="BD19" s="27" t="s">
        <v>280</v>
      </c>
      <c r="BE19" s="117">
        <f t="shared" ca="1" si="4"/>
        <v>33</v>
      </c>
      <c r="BF19" s="117"/>
      <c r="BG19" s="10" t="str">
        <f t="shared" si="8"/>
        <v>A_1JA</v>
      </c>
      <c r="BH19" s="27">
        <v>33</v>
      </c>
      <c r="BI19" s="27">
        <v>33</v>
      </c>
      <c r="BJ19" s="27">
        <v>33</v>
      </c>
      <c r="BK19" s="27">
        <v>33</v>
      </c>
      <c r="BL19" s="27">
        <v>33</v>
      </c>
      <c r="BM19" s="27">
        <v>33</v>
      </c>
      <c r="BN19" s="27">
        <v>33</v>
      </c>
      <c r="BO19" s="27">
        <v>33</v>
      </c>
      <c r="BP19" s="27">
        <v>33</v>
      </c>
      <c r="BQ19" s="27">
        <v>33</v>
      </c>
      <c r="BR19" s="27">
        <v>33</v>
      </c>
      <c r="BS19" s="27">
        <v>33</v>
      </c>
      <c r="BT19" s="27">
        <v>33</v>
      </c>
      <c r="BU19" s="27">
        <v>33</v>
      </c>
      <c r="BV19" s="27">
        <v>33</v>
      </c>
      <c r="BW19" s="27">
        <v>33</v>
      </c>
      <c r="BX19" s="27">
        <v>33</v>
      </c>
      <c r="BY19" s="27">
        <v>33</v>
      </c>
      <c r="BZ19" s="27">
        <v>33</v>
      </c>
      <c r="CA19" s="27">
        <v>33</v>
      </c>
      <c r="CB19" s="27">
        <v>33</v>
      </c>
      <c r="CC19" s="27">
        <v>33</v>
      </c>
      <c r="CF19" s="156">
        <v>32</v>
      </c>
      <c r="CG19" s="24" t="str">
        <f t="shared" si="7"/>
        <v>A_1JA</v>
      </c>
      <c r="CH19" s="10"/>
      <c r="CI19" s="28">
        <v>1</v>
      </c>
      <c r="CJ19" s="28">
        <v>1</v>
      </c>
      <c r="CK19" s="28">
        <v>1</v>
      </c>
      <c r="CL19" s="28">
        <v>1</v>
      </c>
      <c r="CM19" s="28">
        <v>1</v>
      </c>
      <c r="CN19" s="28">
        <v>1</v>
      </c>
      <c r="CX19" s="7"/>
      <c r="CY19" s="7"/>
      <c r="CZ19" s="7"/>
      <c r="DM19" s="14"/>
    </row>
    <row r="20" spans="1:117" ht="15.75" thickBot="1" x14ac:dyDescent="0.3">
      <c r="A20" s="138" t="s">
        <v>122</v>
      </c>
      <c r="B20" s="140" t="s">
        <v>230</v>
      </c>
      <c r="C20" s="156">
        <v>16</v>
      </c>
      <c r="D20" s="156">
        <v>1</v>
      </c>
      <c r="E20" s="159">
        <v>0</v>
      </c>
      <c r="F20" s="156">
        <v>0</v>
      </c>
      <c r="G20" s="156">
        <v>0</v>
      </c>
      <c r="H20" s="19">
        <f>IF(C20&gt;=40,5*G20,IF(AND(C20&lt;40,C20&gt;20),3*G20,IF(AND(C20&lt;=20,C20&gt;0),2*G20,0)))*Tage!$G$4</f>
        <v>0</v>
      </c>
      <c r="I20" s="156">
        <v>20</v>
      </c>
      <c r="J20" s="19">
        <f t="shared" si="1"/>
        <v>64</v>
      </c>
      <c r="K20" s="162">
        <v>-10.4</v>
      </c>
      <c r="L20" s="162"/>
      <c r="M20" s="56">
        <f ca="1">IF(LetztesWE=4,SUM(INDIRECT("$BH20:$CC20")),IF(LetztesWE=5,SUM(INDIRECT("$BH20:$CB20")),0))</f>
        <v>357</v>
      </c>
      <c r="N20" s="141">
        <f t="shared" ca="1" si="2"/>
        <v>26</v>
      </c>
      <c r="O20" s="160">
        <v>1</v>
      </c>
      <c r="P20" s="156"/>
      <c r="Q20" s="156"/>
      <c r="R20" s="156"/>
      <c r="S20" s="156">
        <v>1</v>
      </c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9">
        <v>1</v>
      </c>
      <c r="AH20" s="19">
        <v>1</v>
      </c>
      <c r="AI20" s="19">
        <f t="shared" si="3"/>
        <v>1</v>
      </c>
      <c r="AJ20" s="19">
        <v>1</v>
      </c>
      <c r="AK20" s="19">
        <v>1</v>
      </c>
      <c r="AL20" s="19">
        <v>1</v>
      </c>
      <c r="AM20" s="19">
        <v>1</v>
      </c>
      <c r="AN20" s="19">
        <v>1</v>
      </c>
      <c r="AO20" s="156">
        <v>1</v>
      </c>
      <c r="AP20" s="7"/>
      <c r="AQ20" s="7"/>
      <c r="AR20" s="7"/>
      <c r="AS20" s="7"/>
      <c r="AT20" s="7"/>
      <c r="AU20" s="7"/>
      <c r="AV20" s="7"/>
      <c r="AW20" s="5"/>
      <c r="AX20" s="27"/>
      <c r="AY20" s="27"/>
      <c r="BA20" s="27"/>
      <c r="BB20" s="7"/>
      <c r="BC20" s="7"/>
      <c r="BD20" s="27" t="s">
        <v>281</v>
      </c>
      <c r="BE20" s="117">
        <f t="shared" ca="1" si="4"/>
        <v>17</v>
      </c>
      <c r="BF20" s="117"/>
      <c r="BG20" s="10" t="str">
        <f t="shared" si="8"/>
        <v>A_CA</v>
      </c>
      <c r="BH20" s="27">
        <v>17</v>
      </c>
      <c r="BI20" s="27">
        <v>17</v>
      </c>
      <c r="BJ20" s="27">
        <v>17</v>
      </c>
      <c r="BK20" s="27">
        <v>17</v>
      </c>
      <c r="BL20" s="27">
        <v>17</v>
      </c>
      <c r="BM20" s="27">
        <v>17</v>
      </c>
      <c r="BN20" s="27">
        <v>17</v>
      </c>
      <c r="BO20" s="27">
        <v>17</v>
      </c>
      <c r="BP20" s="27">
        <v>17</v>
      </c>
      <c r="BQ20" s="27">
        <v>17</v>
      </c>
      <c r="BR20" s="27">
        <v>17</v>
      </c>
      <c r="BS20" s="27">
        <v>17</v>
      </c>
      <c r="BT20" s="27">
        <v>17</v>
      </c>
      <c r="BU20" s="27">
        <v>17</v>
      </c>
      <c r="BV20" s="27">
        <v>17</v>
      </c>
      <c r="BW20" s="27">
        <v>17</v>
      </c>
      <c r="BX20" s="27">
        <v>17</v>
      </c>
      <c r="BY20" s="27">
        <v>17</v>
      </c>
      <c r="BZ20" s="27">
        <v>17</v>
      </c>
      <c r="CA20" s="27">
        <v>17</v>
      </c>
      <c r="CB20" s="27">
        <v>17</v>
      </c>
      <c r="CC20" s="27">
        <v>17</v>
      </c>
      <c r="CF20" s="156">
        <v>16</v>
      </c>
      <c r="CG20" s="24" t="str">
        <f t="shared" si="7"/>
        <v>A_CA</v>
      </c>
      <c r="CH20" s="10"/>
      <c r="CI20" s="28">
        <v>3</v>
      </c>
      <c r="CJ20" s="28">
        <v>3</v>
      </c>
      <c r="CK20" s="28">
        <v>3</v>
      </c>
      <c r="CL20" s="28">
        <v>3</v>
      </c>
      <c r="CM20" s="28">
        <v>3</v>
      </c>
      <c r="CN20" s="28">
        <v>3</v>
      </c>
      <c r="CX20" s="7"/>
      <c r="CY20" s="7"/>
      <c r="CZ20" s="7"/>
      <c r="DM20" s="14"/>
    </row>
    <row r="21" spans="1:117" ht="15.75" thickBot="1" x14ac:dyDescent="0.3">
      <c r="A21" s="138" t="s">
        <v>124</v>
      </c>
      <c r="B21" s="140" t="s">
        <v>230</v>
      </c>
      <c r="C21" s="156">
        <v>32</v>
      </c>
      <c r="D21" s="156">
        <v>1</v>
      </c>
      <c r="E21" s="159">
        <v>0</v>
      </c>
      <c r="F21" s="156">
        <v>0</v>
      </c>
      <c r="G21" s="156">
        <v>0</v>
      </c>
      <c r="H21" s="19">
        <f>IF(C21&gt;=40,5*G21,IF(AND(C21&lt;40,C21&gt;20),3*G21,IF(AND(C21&lt;=20,C21&gt;0),2*G21,0)))*Tage!$G$4</f>
        <v>0</v>
      </c>
      <c r="I21" s="156">
        <v>20</v>
      </c>
      <c r="J21" s="19">
        <f t="shared" si="1"/>
        <v>64</v>
      </c>
      <c r="K21" s="162">
        <v>-0.6</v>
      </c>
      <c r="L21" s="162"/>
      <c r="M21" s="56">
        <f ca="1">IF(LetztesWE=4,SUM(INDIRECT("$BH21:$CC21")),IF(LetztesWE=5,SUM(INDIRECT("$BH21:$CB21")),0))</f>
        <v>693</v>
      </c>
      <c r="N21" s="141">
        <f t="shared" ca="1" si="2"/>
        <v>26</v>
      </c>
      <c r="O21" s="160">
        <v>1</v>
      </c>
      <c r="P21" s="156"/>
      <c r="Q21" s="156"/>
      <c r="R21" s="156"/>
      <c r="S21" s="156">
        <v>1</v>
      </c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9">
        <v>1</v>
      </c>
      <c r="AH21" s="19">
        <v>1</v>
      </c>
      <c r="AI21" s="19">
        <f t="shared" si="3"/>
        <v>1</v>
      </c>
      <c r="AJ21" s="19">
        <v>1</v>
      </c>
      <c r="AK21" s="19">
        <v>1</v>
      </c>
      <c r="AL21" s="19">
        <v>1</v>
      </c>
      <c r="AM21" s="19">
        <v>1</v>
      </c>
      <c r="AN21" s="19">
        <v>1</v>
      </c>
      <c r="AO21" s="156">
        <v>1</v>
      </c>
      <c r="AP21" s="7"/>
      <c r="AQ21" s="7"/>
      <c r="AR21" s="7"/>
      <c r="AS21" s="7"/>
      <c r="AT21" s="7"/>
      <c r="AU21" s="7"/>
      <c r="AV21" s="7"/>
      <c r="AW21" s="5"/>
      <c r="AX21" s="27"/>
      <c r="AY21" s="27"/>
      <c r="BA21" s="27"/>
      <c r="BB21" s="7"/>
      <c r="BC21" s="7"/>
      <c r="BD21" s="27" t="s">
        <v>282</v>
      </c>
      <c r="BE21" s="117">
        <f t="shared" ca="1" si="4"/>
        <v>33</v>
      </c>
      <c r="BF21" s="117"/>
      <c r="BG21" s="10" t="str">
        <f t="shared" si="8"/>
        <v>D_VB</v>
      </c>
      <c r="BH21" s="27">
        <v>33</v>
      </c>
      <c r="BI21" s="27">
        <v>33</v>
      </c>
      <c r="BJ21" s="27">
        <v>33</v>
      </c>
      <c r="BK21" s="27">
        <v>33</v>
      </c>
      <c r="BL21" s="27">
        <v>33</v>
      </c>
      <c r="BM21" s="27">
        <v>33</v>
      </c>
      <c r="BN21" s="27">
        <v>33</v>
      </c>
      <c r="BO21" s="27">
        <v>33</v>
      </c>
      <c r="BP21" s="27">
        <v>33</v>
      </c>
      <c r="BQ21" s="27">
        <v>33</v>
      </c>
      <c r="BR21" s="27">
        <v>33</v>
      </c>
      <c r="BS21" s="27">
        <v>33</v>
      </c>
      <c r="BT21" s="27">
        <v>33</v>
      </c>
      <c r="BU21" s="27">
        <v>33</v>
      </c>
      <c r="BV21" s="27">
        <v>33</v>
      </c>
      <c r="BW21" s="27">
        <v>33</v>
      </c>
      <c r="BX21" s="27">
        <v>33</v>
      </c>
      <c r="BY21" s="27">
        <v>33</v>
      </c>
      <c r="BZ21" s="27">
        <v>33</v>
      </c>
      <c r="CA21" s="27">
        <v>33</v>
      </c>
      <c r="CB21" s="27">
        <v>33</v>
      </c>
      <c r="CC21" s="27">
        <v>33</v>
      </c>
      <c r="CF21" s="156">
        <v>32</v>
      </c>
      <c r="CG21" s="24" t="str">
        <f t="shared" si="7"/>
        <v>D_VB</v>
      </c>
      <c r="CH21" s="10"/>
      <c r="CI21" s="28">
        <v>1</v>
      </c>
      <c r="CJ21" s="28">
        <v>1</v>
      </c>
      <c r="CK21" s="28">
        <v>1</v>
      </c>
      <c r="CL21" s="28">
        <v>1</v>
      </c>
      <c r="CM21" s="28">
        <v>1</v>
      </c>
      <c r="CN21" s="28">
        <v>1</v>
      </c>
      <c r="CX21" s="7"/>
      <c r="CY21" s="7"/>
      <c r="CZ21" s="7"/>
      <c r="DM21" s="14"/>
    </row>
    <row r="22" spans="1:117" ht="15.75" thickBot="1" x14ac:dyDescent="0.3">
      <c r="A22" s="138" t="s">
        <v>126</v>
      </c>
      <c r="B22" s="140" t="s">
        <v>230</v>
      </c>
      <c r="C22" s="156">
        <v>40</v>
      </c>
      <c r="D22" s="156">
        <v>0</v>
      </c>
      <c r="E22" s="159">
        <v>0</v>
      </c>
      <c r="F22" s="156">
        <v>1</v>
      </c>
      <c r="G22" s="156">
        <v>1</v>
      </c>
      <c r="H22" s="19">
        <f>IF(C22&gt;=40,5*G22,IF(AND(C22&lt;40,C22&gt;20),3*G22,IF(AND(C22&lt;=20,C22&gt;0),2*G22,0)))*Tage!$G$4</f>
        <v>5</v>
      </c>
      <c r="I22" s="156">
        <v>20</v>
      </c>
      <c r="J22" s="19">
        <f t="shared" si="1"/>
        <v>60</v>
      </c>
      <c r="K22" s="162">
        <v>-2.25</v>
      </c>
      <c r="L22" s="162">
        <v>1</v>
      </c>
      <c r="M22" s="56">
        <f ca="1">IF(LetztesWE=4,SUM(INDIRECT("$BH22:$CC22")),IF(LetztesWE=5,SUM(INDIRECT("$BH22:$CB22")),0))</f>
        <v>882</v>
      </c>
      <c r="N22" s="141">
        <f t="shared" ca="1" si="2"/>
        <v>26</v>
      </c>
      <c r="O22" s="160">
        <v>1</v>
      </c>
      <c r="P22" s="156">
        <v>1</v>
      </c>
      <c r="Q22" s="156">
        <v>1</v>
      </c>
      <c r="R22" s="156"/>
      <c r="S22" s="156">
        <v>1</v>
      </c>
      <c r="T22" s="156">
        <v>1</v>
      </c>
      <c r="U22" s="156">
        <v>1</v>
      </c>
      <c r="V22" s="156">
        <v>1</v>
      </c>
      <c r="W22" s="156">
        <v>1</v>
      </c>
      <c r="X22" s="156">
        <v>1</v>
      </c>
      <c r="Y22" s="156"/>
      <c r="Z22" s="156">
        <v>1</v>
      </c>
      <c r="AA22" s="156"/>
      <c r="AB22" s="156"/>
      <c r="AC22" s="156"/>
      <c r="AD22" s="156"/>
      <c r="AE22" s="156"/>
      <c r="AF22" s="156"/>
      <c r="AG22" s="19">
        <v>1</v>
      </c>
      <c r="AH22" s="19">
        <v>1</v>
      </c>
      <c r="AI22" s="19">
        <f t="shared" si="3"/>
        <v>0</v>
      </c>
      <c r="AJ22" s="19">
        <v>1</v>
      </c>
      <c r="AK22" s="19">
        <v>1</v>
      </c>
      <c r="AL22" s="19">
        <v>1</v>
      </c>
      <c r="AM22" s="19">
        <v>1</v>
      </c>
      <c r="AN22" s="19">
        <v>1</v>
      </c>
      <c r="AO22" s="156">
        <v>1</v>
      </c>
      <c r="AP22" s="7"/>
      <c r="AQ22" s="7"/>
      <c r="AR22" s="7"/>
      <c r="AS22" s="7"/>
      <c r="AT22" s="7"/>
      <c r="AU22" s="7"/>
      <c r="AV22" s="7"/>
      <c r="AW22" s="5"/>
      <c r="AX22" s="15"/>
      <c r="AY22" s="15"/>
      <c r="BA22" s="27"/>
      <c r="BB22" s="7"/>
      <c r="BC22" s="7"/>
      <c r="BD22" s="27" t="s">
        <v>283</v>
      </c>
      <c r="BE22" s="117">
        <f t="shared" ca="1" si="4"/>
        <v>42</v>
      </c>
      <c r="BF22" s="117"/>
      <c r="BG22" s="10" t="str">
        <f t="shared" si="8"/>
        <v>F_AG</v>
      </c>
      <c r="BH22" s="27">
        <v>42</v>
      </c>
      <c r="BI22" s="27">
        <v>42</v>
      </c>
      <c r="BJ22" s="27">
        <v>42</v>
      </c>
      <c r="BK22" s="27">
        <v>42</v>
      </c>
      <c r="BL22" s="27">
        <v>42</v>
      </c>
      <c r="BM22" s="27">
        <v>42</v>
      </c>
      <c r="BN22" s="27">
        <v>42</v>
      </c>
      <c r="BO22" s="27">
        <v>42</v>
      </c>
      <c r="BP22" s="27">
        <v>42</v>
      </c>
      <c r="BQ22" s="27">
        <v>42</v>
      </c>
      <c r="BR22" s="27">
        <v>42</v>
      </c>
      <c r="BS22" s="27">
        <v>42</v>
      </c>
      <c r="BT22" s="27">
        <v>42</v>
      </c>
      <c r="BU22" s="27">
        <v>42</v>
      </c>
      <c r="BV22" s="27">
        <v>42</v>
      </c>
      <c r="BW22" s="27">
        <v>42</v>
      </c>
      <c r="BX22" s="27">
        <v>42</v>
      </c>
      <c r="BY22" s="27">
        <v>42</v>
      </c>
      <c r="BZ22" s="27">
        <v>42</v>
      </c>
      <c r="CA22" s="27">
        <v>42</v>
      </c>
      <c r="CB22" s="27">
        <v>42</v>
      </c>
      <c r="CC22" s="27">
        <v>42</v>
      </c>
      <c r="CF22" s="156">
        <v>40</v>
      </c>
      <c r="CG22" s="24" t="str">
        <f t="shared" si="7"/>
        <v>F_AG</v>
      </c>
      <c r="CH22" s="10"/>
      <c r="CI22" s="28"/>
      <c r="CJ22" s="28"/>
      <c r="CK22" s="28"/>
      <c r="CL22" s="28"/>
      <c r="CM22" s="28"/>
      <c r="CN22" s="28"/>
      <c r="CX22" s="7"/>
      <c r="CY22" s="7"/>
      <c r="CZ22" s="7"/>
      <c r="DM22" s="14"/>
    </row>
    <row r="23" spans="1:117" ht="15.75" thickBot="1" x14ac:dyDescent="0.3">
      <c r="A23" s="138" t="s">
        <v>132</v>
      </c>
      <c r="B23" s="140" t="s">
        <v>230</v>
      </c>
      <c r="C23" s="156">
        <v>40</v>
      </c>
      <c r="D23" s="156">
        <v>1</v>
      </c>
      <c r="E23" s="159">
        <v>0</v>
      </c>
      <c r="F23" s="156">
        <v>1</v>
      </c>
      <c r="G23" s="156">
        <v>1</v>
      </c>
      <c r="H23" s="19">
        <f>IF(C23&gt;=40,5*G23,IF(AND(C23&lt;40,C23&gt;20),3*G23,IF(AND(C23&lt;=20,C23&gt;0),2*G23,0)))*Tage!$G$4</f>
        <v>5</v>
      </c>
      <c r="I23" s="156">
        <v>20</v>
      </c>
      <c r="J23" s="19">
        <f t="shared" si="1"/>
        <v>64</v>
      </c>
      <c r="K23" s="162">
        <v>1.7</v>
      </c>
      <c r="L23" s="162"/>
      <c r="M23" s="56">
        <f ca="1">IF(LetztesWE=4,SUM(INDIRECT("$BH23:$CC23")),IF(LetztesWE=5,SUM(INDIRECT("$BH23:$CB23")),0))</f>
        <v>882</v>
      </c>
      <c r="N23" s="141">
        <f t="shared" ca="1" si="2"/>
        <v>26</v>
      </c>
      <c r="O23" s="160">
        <v>1</v>
      </c>
      <c r="P23" s="156">
        <v>1</v>
      </c>
      <c r="Q23" s="156">
        <v>1</v>
      </c>
      <c r="R23" s="156">
        <v>1</v>
      </c>
      <c r="S23" s="156">
        <v>1</v>
      </c>
      <c r="T23" s="156">
        <v>1</v>
      </c>
      <c r="U23" s="156">
        <v>1</v>
      </c>
      <c r="V23" s="156">
        <v>1</v>
      </c>
      <c r="W23" s="156">
        <v>1</v>
      </c>
      <c r="X23" s="156">
        <v>1</v>
      </c>
      <c r="Y23" s="156">
        <v>1</v>
      </c>
      <c r="Z23" s="156">
        <v>1</v>
      </c>
      <c r="AA23" s="156">
        <v>1</v>
      </c>
      <c r="AB23" s="166"/>
      <c r="AC23" s="166"/>
      <c r="AD23" s="156"/>
      <c r="AE23" s="156"/>
      <c r="AF23" s="156"/>
      <c r="AG23" s="19">
        <v>1</v>
      </c>
      <c r="AH23" s="19">
        <v>1</v>
      </c>
      <c r="AI23" s="19">
        <f t="shared" si="3"/>
        <v>0</v>
      </c>
      <c r="AJ23" s="19">
        <v>1</v>
      </c>
      <c r="AK23" s="19">
        <v>1</v>
      </c>
      <c r="AL23" s="19">
        <v>1</v>
      </c>
      <c r="AM23" s="19">
        <v>1</v>
      </c>
      <c r="AN23" s="19">
        <v>1</v>
      </c>
      <c r="AO23" s="156">
        <v>1</v>
      </c>
      <c r="AP23" s="20">
        <v>1</v>
      </c>
      <c r="AQ23" s="7"/>
      <c r="AR23" s="7"/>
      <c r="AS23" s="7"/>
      <c r="AT23" s="7"/>
      <c r="AU23" s="7"/>
      <c r="AV23" s="7"/>
      <c r="AW23" s="5"/>
      <c r="AX23" s="15"/>
      <c r="AY23" s="15"/>
      <c r="BA23" s="27"/>
      <c r="BB23" s="7"/>
      <c r="BC23" s="7"/>
      <c r="BD23" s="27" t="s">
        <v>284</v>
      </c>
      <c r="BE23" s="117">
        <f t="shared" ca="1" si="4"/>
        <v>42</v>
      </c>
      <c r="BF23" s="117"/>
      <c r="BG23" s="10" t="str">
        <f t="shared" si="8"/>
        <v>P_AK</v>
      </c>
      <c r="BH23" s="27">
        <v>42</v>
      </c>
      <c r="BI23" s="27">
        <v>42</v>
      </c>
      <c r="BJ23" s="27">
        <v>42</v>
      </c>
      <c r="BK23" s="27">
        <v>42</v>
      </c>
      <c r="BL23" s="27">
        <v>42</v>
      </c>
      <c r="BM23" s="27">
        <v>42</v>
      </c>
      <c r="BN23" s="27">
        <v>42</v>
      </c>
      <c r="BO23" s="27">
        <v>42</v>
      </c>
      <c r="BP23" s="27">
        <v>42</v>
      </c>
      <c r="BQ23" s="27">
        <v>42</v>
      </c>
      <c r="BR23" s="27">
        <v>42</v>
      </c>
      <c r="BS23" s="27">
        <v>42</v>
      </c>
      <c r="BT23" s="27">
        <v>42</v>
      </c>
      <c r="BU23" s="27">
        <v>42</v>
      </c>
      <c r="BV23" s="27">
        <v>42</v>
      </c>
      <c r="BW23" s="27">
        <v>42</v>
      </c>
      <c r="BX23" s="27">
        <v>42</v>
      </c>
      <c r="BY23" s="27">
        <v>42</v>
      </c>
      <c r="BZ23" s="27">
        <v>42</v>
      </c>
      <c r="CA23" s="27">
        <v>42</v>
      </c>
      <c r="CB23" s="27">
        <v>42</v>
      </c>
      <c r="CC23" s="27">
        <v>42</v>
      </c>
      <c r="CF23" s="156">
        <v>40</v>
      </c>
      <c r="CG23" s="24" t="str">
        <f t="shared" si="7"/>
        <v>P_AK</v>
      </c>
      <c r="CH23" s="10"/>
      <c r="CI23" s="28"/>
      <c r="CJ23" s="28"/>
      <c r="CK23" s="28"/>
      <c r="CL23" s="28"/>
      <c r="CM23" s="28"/>
      <c r="CN23" s="28"/>
      <c r="CX23" s="7"/>
      <c r="CY23" s="7"/>
      <c r="CZ23" s="7"/>
      <c r="DM23" s="14"/>
    </row>
    <row r="24" spans="1:117" ht="15.75" thickBot="1" x14ac:dyDescent="0.3">
      <c r="A24" s="138" t="s">
        <v>133</v>
      </c>
      <c r="B24" s="140" t="s">
        <v>230</v>
      </c>
      <c r="C24" s="156">
        <v>40</v>
      </c>
      <c r="D24" s="156">
        <v>1</v>
      </c>
      <c r="E24" s="159">
        <v>0</v>
      </c>
      <c r="F24" s="156">
        <v>1</v>
      </c>
      <c r="G24" s="156">
        <v>1</v>
      </c>
      <c r="H24" s="19">
        <f>IF(C24&gt;=40,5*G24,IF(AND(C24&lt;40,C24&gt;20),3*G24,IF(AND(C24&lt;=20,C24&gt;0),2*G24,0)))*Tage!$G$4</f>
        <v>5</v>
      </c>
      <c r="I24" s="156">
        <v>20</v>
      </c>
      <c r="J24" s="19">
        <f t="shared" si="1"/>
        <v>64</v>
      </c>
      <c r="K24" s="162">
        <v>2</v>
      </c>
      <c r="L24" s="162"/>
      <c r="M24" s="56">
        <f ca="1">IF(LetztesWE=4,SUM(INDIRECT("$BH24:$CC24")),IF(LetztesWE=5,SUM(INDIRECT("$BH24:$CB24")),0))</f>
        <v>882</v>
      </c>
      <c r="N24" s="141">
        <f t="shared" ca="1" si="2"/>
        <v>26</v>
      </c>
      <c r="O24" s="160">
        <v>1</v>
      </c>
      <c r="P24" s="156">
        <v>1</v>
      </c>
      <c r="Q24" s="156">
        <v>1</v>
      </c>
      <c r="R24" s="156"/>
      <c r="S24" s="156">
        <v>1</v>
      </c>
      <c r="T24" s="156">
        <v>1</v>
      </c>
      <c r="U24" s="156">
        <v>1</v>
      </c>
      <c r="V24" s="156">
        <v>1</v>
      </c>
      <c r="W24" s="156">
        <v>1</v>
      </c>
      <c r="X24" s="156">
        <v>1</v>
      </c>
      <c r="Y24" s="156"/>
      <c r="Z24" s="156">
        <v>1</v>
      </c>
      <c r="AA24" s="156"/>
      <c r="AB24" s="156"/>
      <c r="AC24" s="156"/>
      <c r="AD24" s="156"/>
      <c r="AE24" s="156"/>
      <c r="AF24" s="156"/>
      <c r="AG24" s="19">
        <v>1</v>
      </c>
      <c r="AH24" s="19">
        <v>1</v>
      </c>
      <c r="AI24" s="19">
        <f t="shared" si="3"/>
        <v>0</v>
      </c>
      <c r="AJ24" s="19">
        <v>1</v>
      </c>
      <c r="AK24" s="19">
        <v>1</v>
      </c>
      <c r="AL24" s="19">
        <v>1</v>
      </c>
      <c r="AM24" s="19">
        <v>1</v>
      </c>
      <c r="AN24" s="19">
        <v>1</v>
      </c>
      <c r="AO24" s="156">
        <v>1</v>
      </c>
      <c r="AP24" s="7"/>
      <c r="AQ24" s="7"/>
      <c r="AR24" s="7"/>
      <c r="AS24" s="7"/>
      <c r="AT24" s="7"/>
      <c r="AU24" s="7"/>
      <c r="AV24" s="7"/>
      <c r="AW24" s="5"/>
      <c r="AX24" s="27"/>
      <c r="AY24" s="27"/>
      <c r="BA24" s="27"/>
      <c r="BB24" s="7"/>
      <c r="BC24" s="7"/>
      <c r="BD24" s="27" t="s">
        <v>285</v>
      </c>
      <c r="BE24" s="117">
        <f t="shared" ca="1" si="4"/>
        <v>42</v>
      </c>
      <c r="BF24" s="117"/>
      <c r="BG24" s="10" t="str">
        <f t="shared" si="8"/>
        <v>Q_CK</v>
      </c>
      <c r="BH24" s="15">
        <v>42</v>
      </c>
      <c r="BI24" s="15">
        <v>42</v>
      </c>
      <c r="BJ24" s="15">
        <v>42</v>
      </c>
      <c r="BK24" s="15">
        <v>42</v>
      </c>
      <c r="BL24" s="15">
        <v>42</v>
      </c>
      <c r="BM24" s="15">
        <v>42</v>
      </c>
      <c r="BN24" s="15">
        <v>42</v>
      </c>
      <c r="BO24" s="15">
        <v>42</v>
      </c>
      <c r="BP24" s="15">
        <v>42</v>
      </c>
      <c r="BQ24" s="15">
        <v>42</v>
      </c>
      <c r="BR24" s="15">
        <v>42</v>
      </c>
      <c r="BS24" s="15">
        <v>42</v>
      </c>
      <c r="BT24" s="15">
        <v>42</v>
      </c>
      <c r="BU24" s="15">
        <v>42</v>
      </c>
      <c r="BV24" s="15">
        <v>42</v>
      </c>
      <c r="BW24" s="15">
        <v>42</v>
      </c>
      <c r="BX24" s="15">
        <v>42</v>
      </c>
      <c r="BY24" s="15">
        <v>42</v>
      </c>
      <c r="BZ24" s="15">
        <v>42</v>
      </c>
      <c r="CA24" s="15">
        <v>42</v>
      </c>
      <c r="CB24" s="15">
        <v>42</v>
      </c>
      <c r="CC24" s="15">
        <v>42</v>
      </c>
      <c r="CF24" s="156">
        <v>40</v>
      </c>
      <c r="CG24" s="24" t="str">
        <f t="shared" si="7"/>
        <v>Q_CK</v>
      </c>
      <c r="CH24" s="10"/>
      <c r="CI24" s="28"/>
      <c r="CJ24" s="28"/>
      <c r="CK24" s="28"/>
      <c r="CL24" s="28"/>
      <c r="CM24" s="28"/>
      <c r="CN24" s="28"/>
      <c r="CX24" s="7"/>
      <c r="CY24" s="7"/>
      <c r="CZ24" s="7"/>
      <c r="DM24" s="14"/>
    </row>
    <row r="25" spans="1:117" ht="15.75" thickBot="1" x14ac:dyDescent="0.3">
      <c r="A25" s="138" t="s">
        <v>136</v>
      </c>
      <c r="B25" s="140" t="s">
        <v>230</v>
      </c>
      <c r="C25" s="156">
        <v>40</v>
      </c>
      <c r="D25" s="156">
        <v>1</v>
      </c>
      <c r="E25" s="159">
        <v>0</v>
      </c>
      <c r="F25" s="156">
        <v>1</v>
      </c>
      <c r="G25" s="156">
        <v>1</v>
      </c>
      <c r="H25" s="19">
        <f>IF(C25&gt;=40,5*G25,IF(AND(C25&lt;40,C25&gt;20),3*G25,IF(AND(C25&lt;=20,C25&gt;0),2*G25,0)))*Tage!$G$4</f>
        <v>5</v>
      </c>
      <c r="I25" s="156">
        <v>20</v>
      </c>
      <c r="J25" s="19">
        <f t="shared" si="1"/>
        <v>64</v>
      </c>
      <c r="K25" s="162">
        <v>14</v>
      </c>
      <c r="L25" s="162"/>
      <c r="M25" s="56">
        <f ca="1">IF(LetztesWE=4,SUM(INDIRECT("$BH25:$CC25")),IF(LetztesWE=5,SUM(INDIRECT("$BH25:$CB25")),0))</f>
        <v>882</v>
      </c>
      <c r="N25" s="141">
        <f t="shared" ca="1" si="2"/>
        <v>26</v>
      </c>
      <c r="O25" s="160">
        <v>1</v>
      </c>
      <c r="P25" s="156">
        <v>1</v>
      </c>
      <c r="Q25" s="156">
        <v>1</v>
      </c>
      <c r="R25" s="156">
        <v>1</v>
      </c>
      <c r="S25" s="156">
        <v>1</v>
      </c>
      <c r="T25" s="156">
        <v>1</v>
      </c>
      <c r="U25" s="156">
        <v>1</v>
      </c>
      <c r="V25" s="156">
        <v>1</v>
      </c>
      <c r="W25" s="156">
        <v>1</v>
      </c>
      <c r="X25" s="156">
        <v>1</v>
      </c>
      <c r="Y25" s="156">
        <v>1</v>
      </c>
      <c r="Z25" s="156">
        <v>1</v>
      </c>
      <c r="AA25" s="156"/>
      <c r="AB25" s="156"/>
      <c r="AC25" s="156"/>
      <c r="AD25" s="156"/>
      <c r="AE25" s="156"/>
      <c r="AF25" s="156"/>
      <c r="AG25" s="19">
        <v>1</v>
      </c>
      <c r="AH25" s="19">
        <v>1</v>
      </c>
      <c r="AI25" s="19">
        <f t="shared" si="3"/>
        <v>0</v>
      </c>
      <c r="AJ25" s="19">
        <v>1</v>
      </c>
      <c r="AK25" s="19">
        <v>1</v>
      </c>
      <c r="AL25" s="19">
        <v>1</v>
      </c>
      <c r="AM25" s="19">
        <v>1</v>
      </c>
      <c r="AN25" s="19">
        <v>1</v>
      </c>
      <c r="AO25" s="156">
        <v>1</v>
      </c>
      <c r="AP25" s="7"/>
      <c r="AQ25" s="7"/>
      <c r="AR25" s="7"/>
      <c r="AS25" s="7"/>
      <c r="AT25" s="7"/>
      <c r="AU25" s="7"/>
      <c r="AV25" s="7"/>
      <c r="AW25" s="5"/>
      <c r="AX25" s="27"/>
      <c r="AY25" s="27"/>
      <c r="BA25" s="27"/>
      <c r="BB25" s="7"/>
      <c r="BC25" s="7"/>
      <c r="BD25" s="27" t="s">
        <v>286</v>
      </c>
      <c r="BE25" s="117">
        <f t="shared" ca="1" si="4"/>
        <v>42</v>
      </c>
      <c r="BF25" s="117"/>
      <c r="BG25" s="10" t="str">
        <f t="shared" si="8"/>
        <v>T_TM</v>
      </c>
      <c r="BH25" s="27">
        <v>42</v>
      </c>
      <c r="BI25" s="27">
        <v>42</v>
      </c>
      <c r="BJ25" s="27">
        <v>42</v>
      </c>
      <c r="BK25" s="27">
        <v>42</v>
      </c>
      <c r="BL25" s="27">
        <v>42</v>
      </c>
      <c r="BM25" s="27">
        <v>42</v>
      </c>
      <c r="BN25" s="27">
        <v>42</v>
      </c>
      <c r="BO25" s="27">
        <v>42</v>
      </c>
      <c r="BP25" s="27">
        <v>42</v>
      </c>
      <c r="BQ25" s="27">
        <v>42</v>
      </c>
      <c r="BR25" s="27">
        <v>42</v>
      </c>
      <c r="BS25" s="27">
        <v>42</v>
      </c>
      <c r="BT25" s="27">
        <v>42</v>
      </c>
      <c r="BU25" s="27">
        <v>42</v>
      </c>
      <c r="BV25" s="27">
        <v>42</v>
      </c>
      <c r="BW25" s="27">
        <v>42</v>
      </c>
      <c r="BX25" s="27">
        <v>42</v>
      </c>
      <c r="BY25" s="27">
        <v>42</v>
      </c>
      <c r="BZ25" s="27">
        <v>42</v>
      </c>
      <c r="CA25" s="27">
        <v>42</v>
      </c>
      <c r="CB25" s="27">
        <v>42</v>
      </c>
      <c r="CC25" s="27">
        <v>42</v>
      </c>
      <c r="CF25" s="156">
        <v>40</v>
      </c>
      <c r="CG25" s="24" t="str">
        <f t="shared" si="7"/>
        <v>T_TM</v>
      </c>
      <c r="CH25" s="10"/>
      <c r="CI25" s="28"/>
      <c r="CJ25" s="28"/>
      <c r="CK25" s="28"/>
      <c r="CL25" s="28"/>
      <c r="CM25" s="28"/>
      <c r="CN25" s="28"/>
      <c r="CO25" s="27"/>
      <c r="CP25" s="27"/>
      <c r="CQ25" s="27"/>
      <c r="CR25" s="27"/>
      <c r="CS25" s="27"/>
      <c r="CT25" s="27"/>
      <c r="CU25" s="27"/>
      <c r="CV25" s="27"/>
      <c r="CW25" s="27"/>
      <c r="CX25" s="7"/>
      <c r="CY25" s="7"/>
      <c r="CZ25" s="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14"/>
    </row>
    <row r="26" spans="1:117" ht="15.75" thickBot="1" x14ac:dyDescent="0.3">
      <c r="A26" s="138" t="s">
        <v>337</v>
      </c>
      <c r="B26" s="140" t="s">
        <v>230</v>
      </c>
      <c r="C26" s="156">
        <v>40</v>
      </c>
      <c r="D26" s="156">
        <v>1</v>
      </c>
      <c r="E26" s="159">
        <v>0</v>
      </c>
      <c r="F26" s="156">
        <v>1</v>
      </c>
      <c r="G26" s="156">
        <v>0</v>
      </c>
      <c r="H26" s="19">
        <f>IF(C26&gt;=40,5*G26,IF(AND(C26&lt;40,C26&gt;20),3*G26,IF(AND(C26&lt;=20,C26&gt;0),2*G26,0)))*Tage!$G$4</f>
        <v>0</v>
      </c>
      <c r="I26" s="156">
        <v>20</v>
      </c>
      <c r="J26" s="19">
        <f t="shared" si="1"/>
        <v>64</v>
      </c>
      <c r="K26" s="162">
        <v>27</v>
      </c>
      <c r="L26" s="162">
        <v>1</v>
      </c>
      <c r="M26" s="56">
        <f ca="1">IF(LetztesWE=4,SUM(INDIRECT("$BH26:$CC26")),IF(LetztesWE=5,SUM(INDIRECT("$BH26:$CB26")),0))</f>
        <v>882</v>
      </c>
      <c r="N26" s="141">
        <f t="shared" ca="1" si="2"/>
        <v>26</v>
      </c>
      <c r="O26" s="160">
        <v>1</v>
      </c>
      <c r="P26" s="156">
        <v>1</v>
      </c>
      <c r="Q26" s="156">
        <v>1</v>
      </c>
      <c r="R26" s="156"/>
      <c r="S26" s="156">
        <v>1</v>
      </c>
      <c r="T26" s="156">
        <v>1</v>
      </c>
      <c r="U26" s="156">
        <v>1</v>
      </c>
      <c r="V26" s="156">
        <v>1</v>
      </c>
      <c r="W26" s="156">
        <v>1</v>
      </c>
      <c r="X26" s="156">
        <v>1</v>
      </c>
      <c r="Y26" s="156"/>
      <c r="Z26" s="156">
        <v>1</v>
      </c>
      <c r="AA26" s="156"/>
      <c r="AB26" s="156"/>
      <c r="AC26" s="156"/>
      <c r="AD26" s="156"/>
      <c r="AE26" s="156"/>
      <c r="AF26" s="156"/>
      <c r="AG26" s="19">
        <v>1</v>
      </c>
      <c r="AH26" s="19">
        <v>1</v>
      </c>
      <c r="AI26" s="19">
        <f t="shared" si="3"/>
        <v>0</v>
      </c>
      <c r="AJ26" s="19">
        <v>1</v>
      </c>
      <c r="AK26" s="19">
        <v>1</v>
      </c>
      <c r="AL26" s="19">
        <v>1</v>
      </c>
      <c r="AM26" s="19">
        <v>1</v>
      </c>
      <c r="AN26" s="19">
        <v>1</v>
      </c>
      <c r="AO26" s="156">
        <v>0</v>
      </c>
      <c r="AP26" s="7"/>
      <c r="AQ26" s="7"/>
      <c r="AR26" s="7"/>
      <c r="AS26" s="7"/>
      <c r="AT26" s="7"/>
      <c r="AU26" s="7"/>
      <c r="AV26" s="7"/>
      <c r="AW26" s="5"/>
      <c r="AX26" s="27"/>
      <c r="AY26" s="27"/>
      <c r="BA26" s="27"/>
      <c r="BB26" s="7"/>
      <c r="BC26" s="7"/>
      <c r="BD26" s="27" t="s">
        <v>287</v>
      </c>
      <c r="BE26" s="117">
        <f t="shared" ca="1" si="4"/>
        <v>42</v>
      </c>
      <c r="BF26" s="117"/>
      <c r="BG26" s="10" t="str">
        <f t="shared" si="8"/>
        <v>T1_JS</v>
      </c>
      <c r="BH26" s="27">
        <v>42</v>
      </c>
      <c r="BI26" s="27">
        <v>42</v>
      </c>
      <c r="BJ26" s="27">
        <v>42</v>
      </c>
      <c r="BK26" s="27">
        <v>42</v>
      </c>
      <c r="BL26" s="27">
        <v>42</v>
      </c>
      <c r="BM26" s="27">
        <v>42</v>
      </c>
      <c r="BN26" s="27">
        <v>42</v>
      </c>
      <c r="BO26" s="27">
        <v>42</v>
      </c>
      <c r="BP26" s="27">
        <v>42</v>
      </c>
      <c r="BQ26" s="27">
        <v>42</v>
      </c>
      <c r="BR26" s="27">
        <v>42</v>
      </c>
      <c r="BS26" s="27">
        <v>42</v>
      </c>
      <c r="BT26" s="27">
        <v>42</v>
      </c>
      <c r="BU26" s="27">
        <v>42</v>
      </c>
      <c r="BV26" s="27">
        <v>42</v>
      </c>
      <c r="BW26" s="27">
        <v>42</v>
      </c>
      <c r="BX26" s="27">
        <v>42</v>
      </c>
      <c r="BY26" s="27">
        <v>42</v>
      </c>
      <c r="BZ26" s="27">
        <v>42</v>
      </c>
      <c r="CA26" s="27">
        <v>42</v>
      </c>
      <c r="CB26" s="27">
        <v>42</v>
      </c>
      <c r="CC26" s="27">
        <v>42</v>
      </c>
      <c r="CF26" s="156">
        <v>40</v>
      </c>
      <c r="CG26" s="24" t="str">
        <f t="shared" si="7"/>
        <v>T1_JS</v>
      </c>
      <c r="CH26" s="10"/>
      <c r="CI26" s="28"/>
      <c r="CJ26" s="28"/>
      <c r="CK26" s="28"/>
      <c r="CL26" s="28"/>
      <c r="CM26" s="28"/>
      <c r="CN26" s="28"/>
      <c r="CX26" s="7"/>
      <c r="CY26" s="7"/>
      <c r="CZ26" s="7"/>
      <c r="DM26" s="14"/>
    </row>
    <row r="27" spans="1:117" ht="15.75" thickBot="1" x14ac:dyDescent="0.3">
      <c r="A27" s="138" t="s">
        <v>335</v>
      </c>
      <c r="B27" s="140" t="s">
        <v>230</v>
      </c>
      <c r="C27" s="156">
        <v>40</v>
      </c>
      <c r="D27" s="156">
        <v>1</v>
      </c>
      <c r="E27" s="159">
        <v>0</v>
      </c>
      <c r="F27" s="156">
        <v>1</v>
      </c>
      <c r="G27" s="156">
        <v>1</v>
      </c>
      <c r="H27" s="19">
        <f>IF(C27&gt;=40,5*G27,IF(AND(C27&lt;40,C27&gt;20),3*G27,IF(AND(C27&lt;=20,C27&gt;0),2*G27,0)))*Tage!$G$4</f>
        <v>5</v>
      </c>
      <c r="I27" s="156">
        <v>20</v>
      </c>
      <c r="J27" s="19">
        <f t="shared" si="1"/>
        <v>64</v>
      </c>
      <c r="K27" s="162">
        <v>-0.5</v>
      </c>
      <c r="L27" s="162"/>
      <c r="M27" s="56">
        <f ca="1">IF(LetztesWE=4,SUM(INDIRECT("$BH27:$CC27")),IF(LetztesWE=5,SUM(INDIRECT("$BH27:$CB27")),0))</f>
        <v>882</v>
      </c>
      <c r="N27" s="141">
        <f t="shared" ca="1" si="2"/>
        <v>26</v>
      </c>
      <c r="O27" s="160">
        <v>1</v>
      </c>
      <c r="P27" s="156">
        <v>1</v>
      </c>
      <c r="Q27" s="156">
        <v>1</v>
      </c>
      <c r="R27" s="156"/>
      <c r="S27" s="156">
        <v>1</v>
      </c>
      <c r="T27" s="156">
        <v>1</v>
      </c>
      <c r="U27" s="156">
        <v>1</v>
      </c>
      <c r="V27" s="156">
        <v>1</v>
      </c>
      <c r="W27" s="156">
        <v>1</v>
      </c>
      <c r="X27" s="156">
        <v>1</v>
      </c>
      <c r="Y27" s="156"/>
      <c r="Z27" s="156">
        <v>1</v>
      </c>
      <c r="AA27" s="156"/>
      <c r="AB27" s="156"/>
      <c r="AC27" s="156"/>
      <c r="AD27" s="156"/>
      <c r="AE27" s="156"/>
      <c r="AF27" s="156"/>
      <c r="AG27" s="19">
        <v>1</v>
      </c>
      <c r="AH27" s="19">
        <v>1</v>
      </c>
      <c r="AI27" s="19">
        <f t="shared" si="3"/>
        <v>0</v>
      </c>
      <c r="AJ27" s="19">
        <v>1</v>
      </c>
      <c r="AK27" s="19">
        <v>1</v>
      </c>
      <c r="AL27" s="19">
        <v>1</v>
      </c>
      <c r="AM27" s="19">
        <v>1</v>
      </c>
      <c r="AN27" s="19">
        <v>1</v>
      </c>
      <c r="AO27" s="156">
        <v>1</v>
      </c>
      <c r="AP27" s="7"/>
      <c r="AQ27" s="7"/>
      <c r="AR27" s="7"/>
      <c r="AS27" s="7"/>
      <c r="AT27" s="7"/>
      <c r="AU27" s="7"/>
      <c r="AV27" s="7"/>
      <c r="AW27" s="5"/>
      <c r="AX27" s="15"/>
      <c r="AY27" s="15"/>
      <c r="BA27" s="27"/>
      <c r="BB27" s="7"/>
      <c r="BC27" s="7"/>
      <c r="BD27" s="27" t="s">
        <v>288</v>
      </c>
      <c r="BE27" s="117">
        <f t="shared" ca="1" si="4"/>
        <v>42</v>
      </c>
      <c r="BF27" s="117"/>
      <c r="BG27" s="10" t="str">
        <f t="shared" si="8"/>
        <v>Z1_TT</v>
      </c>
      <c r="BH27" s="27">
        <v>42</v>
      </c>
      <c r="BI27" s="27">
        <v>42</v>
      </c>
      <c r="BJ27" s="27">
        <v>42</v>
      </c>
      <c r="BK27" s="27">
        <v>42</v>
      </c>
      <c r="BL27" s="27">
        <v>42</v>
      </c>
      <c r="BM27" s="27">
        <v>42</v>
      </c>
      <c r="BN27" s="27">
        <v>42</v>
      </c>
      <c r="BO27" s="27">
        <v>42</v>
      </c>
      <c r="BP27" s="27">
        <v>42</v>
      </c>
      <c r="BQ27" s="27">
        <v>42</v>
      </c>
      <c r="BR27" s="27">
        <v>42</v>
      </c>
      <c r="BS27" s="27">
        <v>42</v>
      </c>
      <c r="BT27" s="27">
        <v>42</v>
      </c>
      <c r="BU27" s="27">
        <v>42</v>
      </c>
      <c r="BV27" s="27">
        <v>42</v>
      </c>
      <c r="BW27" s="27">
        <v>42</v>
      </c>
      <c r="BX27" s="27">
        <v>42</v>
      </c>
      <c r="BY27" s="27">
        <v>42</v>
      </c>
      <c r="BZ27" s="27">
        <v>42</v>
      </c>
      <c r="CA27" s="27">
        <v>42</v>
      </c>
      <c r="CB27" s="27">
        <v>42</v>
      </c>
      <c r="CC27" s="27">
        <v>42</v>
      </c>
      <c r="CF27" s="156">
        <v>40</v>
      </c>
      <c r="CG27" s="24" t="str">
        <f t="shared" si="7"/>
        <v>Z1_TT</v>
      </c>
      <c r="CH27" s="10"/>
      <c r="CI27" s="28"/>
      <c r="CJ27" s="28"/>
      <c r="CK27" s="28"/>
      <c r="CL27" s="28"/>
      <c r="CM27" s="28"/>
      <c r="CN27" s="28"/>
      <c r="CX27" s="7"/>
      <c r="CY27" s="7"/>
      <c r="CZ27" s="7"/>
      <c r="DM27" s="14"/>
    </row>
    <row r="28" spans="1:117" ht="15.75" thickBot="1" x14ac:dyDescent="0.3">
      <c r="A28" s="138" t="s">
        <v>336</v>
      </c>
      <c r="B28" s="140" t="s">
        <v>230</v>
      </c>
      <c r="C28" s="156">
        <v>40</v>
      </c>
      <c r="D28" s="156">
        <v>1</v>
      </c>
      <c r="E28" s="159">
        <v>0</v>
      </c>
      <c r="F28" s="156">
        <v>1</v>
      </c>
      <c r="G28" s="156">
        <v>1</v>
      </c>
      <c r="H28" s="19">
        <f>IF(C28&gt;=40,5*G28,IF(AND(C28&lt;40,C28&gt;20),3*G28,IF(AND(C28&lt;=20,C28&gt;0),2*G28,0)))*Tage!$G$4</f>
        <v>5</v>
      </c>
      <c r="I28" s="156">
        <v>20</v>
      </c>
      <c r="J28" s="19">
        <f t="shared" si="1"/>
        <v>64</v>
      </c>
      <c r="K28" s="162">
        <v>2.25</v>
      </c>
      <c r="L28" s="162"/>
      <c r="M28" s="56">
        <f ca="1">IF(LetztesWE=4,SUM(INDIRECT("$BH28:$CC28")),IF(LetztesWE=5,SUM(INDIRECT("$BH28:$CB28")),0))</f>
        <v>882</v>
      </c>
      <c r="N28" s="141">
        <f t="shared" ca="1" si="2"/>
        <v>26</v>
      </c>
      <c r="O28" s="160">
        <v>1</v>
      </c>
      <c r="P28" s="156">
        <v>1</v>
      </c>
      <c r="Q28" s="156">
        <v>1</v>
      </c>
      <c r="R28" s="156"/>
      <c r="S28" s="156">
        <v>1</v>
      </c>
      <c r="T28" s="156">
        <v>1</v>
      </c>
      <c r="U28" s="156">
        <v>1</v>
      </c>
      <c r="V28" s="156">
        <v>1</v>
      </c>
      <c r="W28" s="156">
        <v>1</v>
      </c>
      <c r="X28" s="156">
        <v>1</v>
      </c>
      <c r="Y28" s="156"/>
      <c r="Z28" s="156">
        <v>1</v>
      </c>
      <c r="AA28" s="156"/>
      <c r="AB28" s="156"/>
      <c r="AC28" s="156"/>
      <c r="AD28" s="156"/>
      <c r="AE28" s="156"/>
      <c r="AF28" s="156"/>
      <c r="AG28" s="19">
        <v>1</v>
      </c>
      <c r="AH28" s="19">
        <v>1</v>
      </c>
      <c r="AI28" s="19">
        <f t="shared" si="3"/>
        <v>0</v>
      </c>
      <c r="AJ28" s="19">
        <v>1</v>
      </c>
      <c r="AK28" s="19">
        <v>1</v>
      </c>
      <c r="AL28" s="19">
        <v>1</v>
      </c>
      <c r="AM28" s="19">
        <v>1</v>
      </c>
      <c r="AN28" s="19">
        <v>1</v>
      </c>
      <c r="AO28" s="156">
        <v>1</v>
      </c>
      <c r="AP28" s="7"/>
      <c r="AQ28" s="7"/>
      <c r="AR28" s="7"/>
      <c r="AS28" s="7"/>
      <c r="AT28" s="7"/>
      <c r="AU28" s="7"/>
      <c r="AV28" s="7"/>
      <c r="AW28" s="5"/>
      <c r="AX28" s="27"/>
      <c r="AY28" s="27"/>
      <c r="BA28" s="27"/>
      <c r="BB28" s="7"/>
      <c r="BC28" s="7"/>
      <c r="BD28" s="27" t="s">
        <v>289</v>
      </c>
      <c r="BE28" s="117">
        <f t="shared" ca="1" si="4"/>
        <v>42</v>
      </c>
      <c r="BF28" s="117"/>
      <c r="BG28" s="10" t="str">
        <f t="shared" si="8"/>
        <v>ZB1_LW</v>
      </c>
      <c r="BH28" s="27">
        <v>42</v>
      </c>
      <c r="BI28" s="27">
        <v>42</v>
      </c>
      <c r="BJ28" s="27">
        <v>42</v>
      </c>
      <c r="BK28" s="27">
        <v>42</v>
      </c>
      <c r="BL28" s="27">
        <v>42</v>
      </c>
      <c r="BM28" s="27">
        <v>42</v>
      </c>
      <c r="BN28" s="27">
        <v>42</v>
      </c>
      <c r="BO28" s="27">
        <v>42</v>
      </c>
      <c r="BP28" s="27">
        <v>42</v>
      </c>
      <c r="BQ28" s="27">
        <v>42</v>
      </c>
      <c r="BR28" s="27">
        <v>42</v>
      </c>
      <c r="BS28" s="27">
        <v>42</v>
      </c>
      <c r="BT28" s="27">
        <v>42</v>
      </c>
      <c r="BU28" s="27">
        <v>42</v>
      </c>
      <c r="BV28" s="27">
        <v>42</v>
      </c>
      <c r="BW28" s="27">
        <v>42</v>
      </c>
      <c r="BX28" s="27">
        <v>42</v>
      </c>
      <c r="BY28" s="27">
        <v>42</v>
      </c>
      <c r="BZ28" s="27">
        <v>42</v>
      </c>
      <c r="CA28" s="27">
        <v>42</v>
      </c>
      <c r="CB28" s="27">
        <v>42</v>
      </c>
      <c r="CC28" s="27">
        <v>42</v>
      </c>
      <c r="CF28" s="156">
        <v>40</v>
      </c>
      <c r="CG28" s="24" t="str">
        <f t="shared" si="7"/>
        <v>ZB1_LW</v>
      </c>
      <c r="CH28" s="10"/>
      <c r="CI28" s="28"/>
      <c r="CJ28" s="28"/>
      <c r="CK28" s="28"/>
      <c r="CL28" s="28"/>
      <c r="CM28" s="28"/>
      <c r="CN28" s="28"/>
      <c r="CX28" s="7"/>
      <c r="CY28" s="7"/>
      <c r="CZ28" s="7"/>
      <c r="DM28" s="14"/>
    </row>
    <row r="29" spans="1:117" ht="15.75" thickBot="1" x14ac:dyDescent="0.3">
      <c r="A29" s="138" t="s">
        <v>143</v>
      </c>
      <c r="B29" s="140" t="s">
        <v>230</v>
      </c>
      <c r="C29" s="156">
        <v>40</v>
      </c>
      <c r="D29" s="156">
        <v>1</v>
      </c>
      <c r="E29" s="159">
        <v>0</v>
      </c>
      <c r="F29" s="156">
        <v>1</v>
      </c>
      <c r="G29" s="156">
        <v>1</v>
      </c>
      <c r="H29" s="19">
        <f>IF(C29&gt;=40,5*G29,IF(AND(C29&lt;40,C29&gt;20),3*G29,IF(AND(C29&lt;=20,C29&gt;0),2*G29,0)))*Tage!$G$4</f>
        <v>5</v>
      </c>
      <c r="I29" s="156">
        <v>20</v>
      </c>
      <c r="J29" s="19">
        <f t="shared" si="1"/>
        <v>64</v>
      </c>
      <c r="K29" s="162">
        <v>20.399999999999999</v>
      </c>
      <c r="L29" s="162"/>
      <c r="M29" s="56">
        <f ca="1">IF(LetztesWE=4,SUM(INDIRECT("$BH29:$CC29")),IF(LetztesWE=5,SUM(INDIRECT("$BH29:$CB29")),0))</f>
        <v>882</v>
      </c>
      <c r="N29" s="141">
        <f t="shared" ca="1" si="2"/>
        <v>26</v>
      </c>
      <c r="O29" s="160">
        <v>1</v>
      </c>
      <c r="P29" s="156">
        <v>1</v>
      </c>
      <c r="Q29" s="156">
        <v>1</v>
      </c>
      <c r="R29" s="156"/>
      <c r="S29" s="156">
        <v>1</v>
      </c>
      <c r="T29" s="156">
        <v>1</v>
      </c>
      <c r="U29" s="156">
        <v>1</v>
      </c>
      <c r="V29" s="156">
        <v>1</v>
      </c>
      <c r="W29" s="156">
        <v>1</v>
      </c>
      <c r="X29" s="156">
        <v>1</v>
      </c>
      <c r="Y29" s="156">
        <v>1</v>
      </c>
      <c r="Z29" s="156">
        <v>1</v>
      </c>
      <c r="AA29" s="156">
        <v>1</v>
      </c>
      <c r="AB29" s="156">
        <v>1</v>
      </c>
      <c r="AC29" s="156">
        <v>1</v>
      </c>
      <c r="AD29" s="156"/>
      <c r="AE29" s="156"/>
      <c r="AF29" s="156"/>
      <c r="AG29" s="19">
        <v>1</v>
      </c>
      <c r="AH29" s="19">
        <v>1</v>
      </c>
      <c r="AI29" s="19">
        <f t="shared" si="3"/>
        <v>0</v>
      </c>
      <c r="AJ29" s="19">
        <v>1</v>
      </c>
      <c r="AK29" s="19">
        <v>1</v>
      </c>
      <c r="AL29" s="19">
        <v>1</v>
      </c>
      <c r="AM29" s="19">
        <v>1</v>
      </c>
      <c r="AN29" s="19">
        <v>1</v>
      </c>
      <c r="AO29" s="156">
        <v>1</v>
      </c>
      <c r="AP29" s="20">
        <v>1</v>
      </c>
      <c r="AQ29" s="20">
        <v>1</v>
      </c>
      <c r="AR29" s="20">
        <v>1</v>
      </c>
      <c r="AS29" s="20">
        <v>1</v>
      </c>
      <c r="AT29" s="7"/>
      <c r="AU29" s="7"/>
      <c r="AV29" s="7"/>
      <c r="AW29" s="5"/>
      <c r="AX29" s="27"/>
      <c r="AY29" s="27"/>
      <c r="BA29" s="27"/>
      <c r="BB29" s="7"/>
      <c r="BC29" s="7"/>
      <c r="BD29" s="27" t="s">
        <v>290</v>
      </c>
      <c r="BE29" s="117">
        <f t="shared" ca="1" si="4"/>
        <v>42</v>
      </c>
      <c r="BF29" s="117"/>
      <c r="BG29" s="10" t="str">
        <f t="shared" si="8"/>
        <v>ZC_CZ</v>
      </c>
      <c r="BH29" s="27">
        <v>42</v>
      </c>
      <c r="BI29" s="27">
        <v>42</v>
      </c>
      <c r="BJ29">
        <v>42</v>
      </c>
      <c r="BK29" s="27">
        <v>42</v>
      </c>
      <c r="BL29" s="27">
        <v>42</v>
      </c>
      <c r="BM29" s="27">
        <v>42</v>
      </c>
      <c r="BN29" s="27">
        <v>42</v>
      </c>
      <c r="BO29" s="27">
        <v>42</v>
      </c>
      <c r="BP29" s="27">
        <v>42</v>
      </c>
      <c r="BQ29" s="27">
        <v>42</v>
      </c>
      <c r="BR29" s="27">
        <v>42</v>
      </c>
      <c r="BS29" s="27">
        <v>42</v>
      </c>
      <c r="BT29" s="27">
        <v>42</v>
      </c>
      <c r="BU29" s="27">
        <v>42</v>
      </c>
      <c r="BV29" s="27">
        <v>42</v>
      </c>
      <c r="BW29" s="27">
        <v>42</v>
      </c>
      <c r="BX29" s="27">
        <v>42</v>
      </c>
      <c r="BY29" s="27">
        <v>42</v>
      </c>
      <c r="BZ29" s="27">
        <v>42</v>
      </c>
      <c r="CA29" s="27">
        <v>42</v>
      </c>
      <c r="CB29" s="27">
        <v>42</v>
      </c>
      <c r="CC29" s="27">
        <v>42</v>
      </c>
      <c r="CF29" s="156">
        <v>40</v>
      </c>
      <c r="CG29" s="24" t="str">
        <f t="shared" si="7"/>
        <v>ZC_CZ</v>
      </c>
      <c r="CH29" s="10"/>
      <c r="CI29" s="28"/>
      <c r="CJ29" s="28"/>
      <c r="CK29" s="28"/>
      <c r="CL29" s="28"/>
      <c r="CM29" s="28"/>
      <c r="CN29" s="28"/>
      <c r="CX29" s="7"/>
      <c r="CY29" s="7"/>
      <c r="CZ29" s="7"/>
      <c r="DM29" s="14"/>
    </row>
    <row r="30" spans="1:117" ht="15.75" thickBot="1" x14ac:dyDescent="0.3">
      <c r="A30" s="138" t="s">
        <v>144</v>
      </c>
      <c r="B30" s="140" t="s">
        <v>230</v>
      </c>
      <c r="C30" s="156">
        <v>40</v>
      </c>
      <c r="D30" s="156">
        <v>1</v>
      </c>
      <c r="E30" s="159">
        <v>0</v>
      </c>
      <c r="F30" s="156">
        <v>1</v>
      </c>
      <c r="G30" s="156">
        <v>0</v>
      </c>
      <c r="H30" s="19">
        <f>IF(C30&gt;=40,5*G30,IF(AND(C30&lt;40,C30&gt;20),3*G30,IF(AND(C30&lt;=20,C30&gt;0),2*G30,0)))*Tage!$G$4</f>
        <v>0</v>
      </c>
      <c r="I30" s="156">
        <v>20</v>
      </c>
      <c r="J30" s="19">
        <f t="shared" si="1"/>
        <v>64</v>
      </c>
      <c r="K30" s="162">
        <v>11.1</v>
      </c>
      <c r="L30" s="162">
        <v>1</v>
      </c>
      <c r="M30" s="56">
        <f ca="1">IF(LetztesWE=4,SUM(INDIRECT("$BH30:$CC30")),IF(LetztesWE=5,SUM(INDIRECT("$BH30:$CB30")),0))</f>
        <v>882</v>
      </c>
      <c r="N30" s="141">
        <f t="shared" ca="1" si="2"/>
        <v>26</v>
      </c>
      <c r="O30" s="160">
        <v>1</v>
      </c>
      <c r="P30" s="156">
        <v>1</v>
      </c>
      <c r="Q30" s="156">
        <v>1</v>
      </c>
      <c r="R30" s="156"/>
      <c r="S30" s="156">
        <v>1</v>
      </c>
      <c r="T30" s="156">
        <v>1</v>
      </c>
      <c r="U30" s="156">
        <v>1</v>
      </c>
      <c r="V30" s="156">
        <v>1</v>
      </c>
      <c r="W30" s="156">
        <v>1</v>
      </c>
      <c r="X30" s="156">
        <v>1</v>
      </c>
      <c r="Y30" s="156"/>
      <c r="Z30" s="156">
        <v>1</v>
      </c>
      <c r="AA30" s="156"/>
      <c r="AB30" s="156"/>
      <c r="AC30" s="156"/>
      <c r="AD30" s="156"/>
      <c r="AE30" s="156"/>
      <c r="AF30" s="156"/>
      <c r="AG30" s="19">
        <v>1</v>
      </c>
      <c r="AH30" s="19">
        <v>1</v>
      </c>
      <c r="AI30" s="19">
        <f t="shared" si="3"/>
        <v>0</v>
      </c>
      <c r="AJ30" s="19">
        <v>1</v>
      </c>
      <c r="AK30" s="19">
        <v>1</v>
      </c>
      <c r="AL30" s="19">
        <v>1</v>
      </c>
      <c r="AM30" s="19">
        <v>1</v>
      </c>
      <c r="AN30" s="19">
        <v>1</v>
      </c>
      <c r="AO30" s="156">
        <v>1</v>
      </c>
      <c r="AP30" s="7"/>
      <c r="AQ30" s="7"/>
      <c r="AR30" s="7"/>
      <c r="AS30" s="7"/>
      <c r="AT30" s="7"/>
      <c r="AU30" s="7"/>
      <c r="AV30" s="7"/>
      <c r="AW30" s="5"/>
      <c r="AX30" s="27"/>
      <c r="AY30" s="27"/>
      <c r="BA30" s="27"/>
      <c r="BB30" s="7"/>
      <c r="BC30" s="7"/>
      <c r="BD30" s="27" t="s">
        <v>291</v>
      </c>
      <c r="BE30" s="117">
        <f t="shared" ca="1" si="4"/>
        <v>42</v>
      </c>
      <c r="BF30" s="117"/>
      <c r="BG30" s="10" t="str">
        <f t="shared" si="8"/>
        <v>ZD_JZ</v>
      </c>
      <c r="BH30" s="27">
        <v>42</v>
      </c>
      <c r="BI30" s="27">
        <v>42</v>
      </c>
      <c r="BJ30" s="27">
        <v>42</v>
      </c>
      <c r="BK30" s="27">
        <v>42</v>
      </c>
      <c r="BL30" s="27">
        <v>42</v>
      </c>
      <c r="BM30" s="27">
        <v>42</v>
      </c>
      <c r="BN30" s="27">
        <v>42</v>
      </c>
      <c r="BO30" s="27">
        <v>42</v>
      </c>
      <c r="BP30" s="27">
        <v>42</v>
      </c>
      <c r="BQ30" s="27">
        <v>42</v>
      </c>
      <c r="BR30" s="27">
        <v>42</v>
      </c>
      <c r="BS30" s="27">
        <v>42</v>
      </c>
      <c r="BT30" s="27">
        <v>42</v>
      </c>
      <c r="BU30" s="27">
        <v>42</v>
      </c>
      <c r="BV30" s="27">
        <v>42</v>
      </c>
      <c r="BW30" s="27">
        <v>42</v>
      </c>
      <c r="BX30" s="27">
        <v>42</v>
      </c>
      <c r="BY30" s="27">
        <v>42</v>
      </c>
      <c r="BZ30" s="27">
        <v>42</v>
      </c>
      <c r="CA30" s="27">
        <v>42</v>
      </c>
      <c r="CB30" s="27">
        <v>42</v>
      </c>
      <c r="CC30" s="27">
        <v>42</v>
      </c>
      <c r="CF30" s="156">
        <v>40</v>
      </c>
      <c r="CG30" s="24" t="str">
        <f t="shared" si="7"/>
        <v>ZD_JZ</v>
      </c>
      <c r="CH30" s="10"/>
      <c r="CI30" s="28"/>
      <c r="CJ30" s="28"/>
      <c r="CK30" s="28"/>
      <c r="CL30" s="28"/>
      <c r="CM30" s="28"/>
      <c r="CN30" s="28"/>
      <c r="CO30" s="27"/>
      <c r="CP30" s="27"/>
      <c r="CQ30" s="27"/>
      <c r="CR30" s="27"/>
      <c r="CS30" s="27"/>
      <c r="CT30" s="27"/>
      <c r="CU30" s="27"/>
      <c r="CV30" s="27"/>
      <c r="CW30" s="27"/>
      <c r="CX30" s="7"/>
      <c r="CY30" s="7"/>
      <c r="CZ30" s="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14"/>
    </row>
    <row r="31" spans="1:117" ht="15.75" thickBot="1" x14ac:dyDescent="0.3">
      <c r="A31" s="138" t="s">
        <v>341</v>
      </c>
      <c r="B31" s="140" t="s">
        <v>230</v>
      </c>
      <c r="C31" s="156">
        <v>40</v>
      </c>
      <c r="D31" s="156">
        <v>0</v>
      </c>
      <c r="E31" s="159">
        <v>0</v>
      </c>
      <c r="F31" s="156">
        <v>0</v>
      </c>
      <c r="G31" s="156">
        <v>0</v>
      </c>
      <c r="H31" s="19">
        <f>IF(C31&gt;=40,5*G31,IF(AND(C31&lt;40,C31&gt;20),3*G31,IF(AND(C31&lt;=20,C31&gt;0),2*G31,0)))*Tage!$G$4</f>
        <v>0</v>
      </c>
      <c r="I31" s="156">
        <v>20</v>
      </c>
      <c r="J31" s="19">
        <f t="shared" si="1"/>
        <v>60</v>
      </c>
      <c r="K31" s="162">
        <v>0</v>
      </c>
      <c r="L31" s="162"/>
      <c r="M31" s="56">
        <f ca="1">IF(LetztesWE=4,SUM(INDIRECT("$BH31:$CC31")),IF(LetztesWE=5,SUM(INDIRECT("$BH31:$CB31")),0))</f>
        <v>168</v>
      </c>
      <c r="N31" s="141">
        <f t="shared" ca="1" si="2"/>
        <v>9</v>
      </c>
      <c r="O31" s="160">
        <v>1</v>
      </c>
      <c r="P31" s="156">
        <v>1</v>
      </c>
      <c r="Q31" s="156">
        <v>1</v>
      </c>
      <c r="R31" s="156"/>
      <c r="S31" s="156">
        <v>1</v>
      </c>
      <c r="T31" s="156">
        <v>1</v>
      </c>
      <c r="U31" s="156">
        <v>1</v>
      </c>
      <c r="V31" s="156">
        <v>1</v>
      </c>
      <c r="W31" s="156">
        <v>1</v>
      </c>
      <c r="X31" s="156">
        <v>1</v>
      </c>
      <c r="Y31" s="156"/>
      <c r="Z31" s="156">
        <v>1</v>
      </c>
      <c r="AA31" s="156"/>
      <c r="AB31" s="156"/>
      <c r="AC31" s="156"/>
      <c r="AD31" s="156"/>
      <c r="AE31" s="156"/>
      <c r="AF31" s="156"/>
      <c r="AG31" s="19">
        <v>1</v>
      </c>
      <c r="AH31" s="19">
        <v>1</v>
      </c>
      <c r="AI31" s="19">
        <f t="shared" si="3"/>
        <v>0</v>
      </c>
      <c r="AJ31" s="19">
        <v>1</v>
      </c>
      <c r="AK31" s="19">
        <v>1</v>
      </c>
      <c r="AL31" s="19">
        <v>1</v>
      </c>
      <c r="AM31" s="19">
        <v>1</v>
      </c>
      <c r="AN31" s="19">
        <v>1</v>
      </c>
      <c r="AO31" s="156">
        <v>1</v>
      </c>
      <c r="AP31" s="7"/>
      <c r="AQ31" s="7"/>
      <c r="AR31" s="7"/>
      <c r="AS31" s="7"/>
      <c r="AT31" s="7"/>
      <c r="AU31" s="7"/>
      <c r="AV31" s="7"/>
      <c r="AW31" s="5"/>
      <c r="AX31" s="27"/>
      <c r="AY31" s="27"/>
      <c r="BA31" s="27"/>
      <c r="BB31" s="7"/>
      <c r="BC31" s="7"/>
      <c r="BD31" s="27" t="s">
        <v>292</v>
      </c>
      <c r="BE31" s="117">
        <f t="shared" ca="1" si="4"/>
        <v>42</v>
      </c>
      <c r="BF31" s="117"/>
      <c r="BG31" s="10" t="str">
        <f t="shared" si="8"/>
        <v>MA_SJ</v>
      </c>
      <c r="BH31" s="27">
        <v>42</v>
      </c>
      <c r="BI31" s="27">
        <v>42</v>
      </c>
      <c r="BJ31" s="27">
        <v>42</v>
      </c>
      <c r="BK31" s="27">
        <v>42</v>
      </c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F31" s="156">
        <v>40</v>
      </c>
      <c r="CG31" s="24" t="str">
        <f t="shared" si="7"/>
        <v>MA_SJ</v>
      </c>
      <c r="CH31" s="10"/>
      <c r="CI31" s="28"/>
      <c r="CJ31" s="28"/>
      <c r="CK31" s="28"/>
      <c r="CL31" s="28"/>
      <c r="CM31" s="28"/>
      <c r="CN31" s="28"/>
      <c r="CX31" s="7"/>
      <c r="CY31" s="7"/>
      <c r="CZ31" s="7"/>
      <c r="DM31" s="14"/>
    </row>
    <row r="32" spans="1:117" ht="15.75" thickBot="1" x14ac:dyDescent="0.3">
      <c r="A32" s="138" t="s">
        <v>342</v>
      </c>
      <c r="B32" s="140" t="s">
        <v>230</v>
      </c>
      <c r="C32" s="156">
        <v>40</v>
      </c>
      <c r="D32" s="156">
        <v>0</v>
      </c>
      <c r="E32" s="159">
        <v>0</v>
      </c>
      <c r="F32" s="156">
        <v>0</v>
      </c>
      <c r="G32" s="156">
        <v>0</v>
      </c>
      <c r="H32" s="19">
        <f>IF(C32&gt;=40,5*G32,IF(AND(C32&lt;40,C32&gt;20),3*G32,IF(AND(C32&lt;=20,C32&gt;0),2*G32,0)))*Tage!$G$4</f>
        <v>0</v>
      </c>
      <c r="I32" s="156">
        <v>20</v>
      </c>
      <c r="J32" s="19">
        <f t="shared" si="1"/>
        <v>60</v>
      </c>
      <c r="K32" s="162">
        <v>0</v>
      </c>
      <c r="L32" s="162"/>
      <c r="M32" s="56">
        <f ca="1">IF(LetztesWE=4,SUM(INDIRECT("$BH32:$CC32")),IF(LetztesWE=5,SUM(INDIRECT("$BH32:$CB32")),0))</f>
        <v>168</v>
      </c>
      <c r="N32" s="141">
        <f t="shared" ca="1" si="2"/>
        <v>9</v>
      </c>
      <c r="O32" s="160">
        <v>1</v>
      </c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9">
        <v>1</v>
      </c>
      <c r="AH32" s="19">
        <v>1</v>
      </c>
      <c r="AI32" s="19">
        <f t="shared" si="3"/>
        <v>0</v>
      </c>
      <c r="AJ32" s="19">
        <v>1</v>
      </c>
      <c r="AK32" s="19">
        <v>1</v>
      </c>
      <c r="AL32" s="19">
        <v>1</v>
      </c>
      <c r="AM32" s="19">
        <v>1</v>
      </c>
      <c r="AN32" s="19">
        <v>1</v>
      </c>
      <c r="AO32" s="156">
        <v>1</v>
      </c>
      <c r="AP32" s="7"/>
      <c r="AQ32" s="7"/>
      <c r="AR32" s="7"/>
      <c r="AS32" s="7"/>
      <c r="AT32" s="7"/>
      <c r="AU32" s="7"/>
      <c r="AV32" s="7"/>
      <c r="AW32" s="5"/>
      <c r="AX32" s="27"/>
      <c r="AY32" s="27"/>
      <c r="BA32" s="27"/>
      <c r="BB32" s="7"/>
      <c r="BC32" s="7"/>
      <c r="BD32" s="27" t="s">
        <v>293</v>
      </c>
      <c r="BE32" s="117">
        <f t="shared" ca="1" si="4"/>
        <v>42</v>
      </c>
      <c r="BF32" s="132"/>
      <c r="BG32" s="10" t="str">
        <f t="shared" si="8"/>
        <v>T0_PS</v>
      </c>
      <c r="BH32" s="27">
        <v>42</v>
      </c>
      <c r="BI32" s="27">
        <v>42</v>
      </c>
      <c r="BJ32" s="27">
        <v>42</v>
      </c>
      <c r="BK32" s="27">
        <v>42</v>
      </c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F32" s="156">
        <v>40</v>
      </c>
      <c r="CG32" s="24" t="str">
        <f t="shared" si="7"/>
        <v>T0_PS</v>
      </c>
      <c r="CH32" s="33"/>
      <c r="CI32" s="40"/>
      <c r="CJ32" s="40"/>
      <c r="CK32" s="40"/>
      <c r="CL32" s="40"/>
      <c r="CM32" s="40"/>
      <c r="CN32" s="40"/>
      <c r="CO32" s="16"/>
      <c r="CP32" s="16"/>
      <c r="CQ32" s="16"/>
      <c r="CR32" s="16"/>
      <c r="CS32" s="16"/>
      <c r="CT32" s="16"/>
      <c r="CU32" s="16"/>
      <c r="CV32" s="16"/>
      <c r="CW32" s="16"/>
      <c r="CX32" s="47"/>
      <c r="CY32" s="47"/>
      <c r="CZ32" s="47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7"/>
    </row>
    <row r="33" spans="1:117" ht="15.75" thickBot="1" x14ac:dyDescent="0.3">
      <c r="A33" s="138"/>
      <c r="B33" s="140"/>
      <c r="C33" s="156"/>
      <c r="D33" s="156"/>
      <c r="E33" s="159"/>
      <c r="F33" s="156"/>
      <c r="G33" s="156"/>
      <c r="H33" s="19">
        <f>IF(C33&gt;=40,5*G33,IF(AND(C33&lt;40,C33&gt;20),3*G33,IF(AND(C33&lt;=20,C33&gt;0),2*G33,0)))*Tage!$G$4</f>
        <v>0</v>
      </c>
      <c r="I33" s="156">
        <v>19</v>
      </c>
      <c r="J33" s="19">
        <f t="shared" ref="J33" si="9">IF(D33=1,64,60)</f>
        <v>60</v>
      </c>
      <c r="K33" s="162"/>
      <c r="L33" s="162"/>
      <c r="M33" s="56">
        <f ca="1">IF(LetztesWE=4,SUM(INDIRECT("$BH33:$CC33")),IF(LetztesWE=5,SUM(INDIRECT("$BH33:$CB33")),0))</f>
        <v>0</v>
      </c>
      <c r="N33" s="141">
        <f t="shared" ca="1" si="2"/>
        <v>5</v>
      </c>
      <c r="O33" s="160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9">
        <v>1</v>
      </c>
      <c r="AH33" s="19">
        <v>1</v>
      </c>
      <c r="AI33" s="19">
        <f t="shared" ref="AI33" si="10">IF(AND(C33&lt;40,C33&gt;0),1,0)</f>
        <v>0</v>
      </c>
      <c r="AJ33" s="19">
        <v>1</v>
      </c>
      <c r="AK33" s="19">
        <v>1</v>
      </c>
      <c r="AL33" s="19">
        <v>1</v>
      </c>
      <c r="AM33" s="19">
        <v>1</v>
      </c>
      <c r="AN33" s="19">
        <v>1</v>
      </c>
      <c r="AO33" s="156"/>
      <c r="AP33" s="7"/>
      <c r="AQ33" s="7"/>
      <c r="AR33" s="7"/>
      <c r="AS33" s="7"/>
      <c r="AT33" s="7"/>
      <c r="AU33" s="7"/>
      <c r="AV33" s="7"/>
      <c r="AW33" s="5"/>
      <c r="AX33" s="27"/>
      <c r="AY33" s="27"/>
      <c r="BA33" s="27"/>
      <c r="BB33" s="7"/>
      <c r="BC33" s="7"/>
      <c r="BD33" s="27" t="s">
        <v>294</v>
      </c>
      <c r="BE33" s="117" t="e">
        <f t="shared" ca="1" si="4"/>
        <v>#DIV/0!</v>
      </c>
      <c r="BF33" s="117"/>
      <c r="BG33" s="10">
        <f t="shared" si="8"/>
        <v>0</v>
      </c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G33" s="24">
        <f t="shared" si="7"/>
        <v>0</v>
      </c>
      <c r="CH33" s="10"/>
      <c r="CI33" s="28"/>
      <c r="CJ33" s="28"/>
      <c r="CK33" s="28"/>
      <c r="CL33" s="28"/>
      <c r="CM33" s="28"/>
      <c r="CN33" s="28"/>
      <c r="CX33" s="7"/>
      <c r="CY33" s="7"/>
      <c r="CZ33" s="7"/>
      <c r="DM33" s="14"/>
    </row>
    <row r="34" spans="1:117" ht="15.75" thickBot="1" x14ac:dyDescent="0.3">
      <c r="A34" s="138"/>
      <c r="B34" s="140"/>
      <c r="C34" s="156"/>
      <c r="D34" s="156"/>
      <c r="E34" s="159"/>
      <c r="F34" s="156"/>
      <c r="G34" s="156"/>
      <c r="H34" s="19">
        <f>IF(C34&gt;=40,5*G34,IF(AND(C34&lt;40,C34&gt;20),3*G34,IF(AND(C34&lt;=20,C34&gt;0),2*G34,0)))*Tage!$G$4</f>
        <v>0</v>
      </c>
      <c r="I34" s="156">
        <v>20</v>
      </c>
      <c r="J34" s="19">
        <f t="shared" ref="J34:J36" si="11">IF(D34=1,64,60)</f>
        <v>60</v>
      </c>
      <c r="K34" s="162"/>
      <c r="L34" s="162"/>
      <c r="M34" s="56">
        <f ca="1">IF(LetztesWE=4,SUM(INDIRECT("$BH34:$CC34")),IF(LetztesWE=5,SUM(INDIRECT("$BH34:$CB34")),0))</f>
        <v>0</v>
      </c>
      <c r="N34" s="141">
        <f t="shared" ca="1" si="2"/>
        <v>5</v>
      </c>
      <c r="O34" s="160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9">
        <v>1</v>
      </c>
      <c r="AH34" s="19">
        <v>1</v>
      </c>
      <c r="AI34" s="19">
        <f t="shared" ref="AI34:AI36" si="12">IF(AND(C34&lt;40,C34&gt;0),1,0)</f>
        <v>0</v>
      </c>
      <c r="AJ34" s="19">
        <v>1</v>
      </c>
      <c r="AK34" s="19">
        <v>1</v>
      </c>
      <c r="AL34" s="19">
        <v>1</v>
      </c>
      <c r="AM34" s="19">
        <v>1</v>
      </c>
      <c r="AN34" s="19">
        <v>1</v>
      </c>
      <c r="AO34" s="156"/>
      <c r="AP34" s="7"/>
      <c r="AQ34" s="7"/>
      <c r="AR34" s="7"/>
      <c r="AS34" s="7"/>
      <c r="AT34" s="7"/>
      <c r="AU34" s="7"/>
      <c r="AV34" s="7"/>
      <c r="AW34" s="5"/>
      <c r="BA34" s="27"/>
      <c r="BB34" s="7"/>
      <c r="BC34" s="7"/>
      <c r="BD34" s="27" t="s">
        <v>295</v>
      </c>
      <c r="BE34" s="117" t="e">
        <f t="shared" ca="1" si="4"/>
        <v>#DIV/0!</v>
      </c>
      <c r="BF34" s="167"/>
      <c r="BG34" s="10">
        <f t="shared" si="8"/>
        <v>0</v>
      </c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G34" s="24">
        <f t="shared" si="7"/>
        <v>0</v>
      </c>
      <c r="CH34" s="22"/>
      <c r="CI34" s="39"/>
      <c r="CJ34" s="39"/>
      <c r="CK34" s="39"/>
      <c r="CL34" s="39"/>
      <c r="CM34" s="39"/>
      <c r="CN34" s="39"/>
      <c r="CO34" s="15"/>
      <c r="CP34" s="15"/>
      <c r="CQ34" s="15"/>
      <c r="CR34" s="15"/>
      <c r="CS34" s="15"/>
      <c r="CT34" s="15"/>
      <c r="CU34" s="15"/>
      <c r="CV34" s="15"/>
      <c r="CW34" s="15"/>
      <c r="CX34" s="7"/>
      <c r="CY34" s="7"/>
      <c r="CZ34" s="7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4"/>
    </row>
    <row r="35" spans="1:117" ht="15.75" thickBot="1" x14ac:dyDescent="0.3">
      <c r="A35" s="138"/>
      <c r="B35" s="140"/>
      <c r="C35" s="156"/>
      <c r="D35" s="156"/>
      <c r="E35" s="159"/>
      <c r="F35" s="156"/>
      <c r="G35" s="156"/>
      <c r="H35" s="19">
        <f>IF(C35&gt;=40,5*G35,IF(AND(C35&lt;40,C35&gt;20),3*G35,IF(AND(C35&lt;=20,C35&gt;0),2*G35,0)))*Tage!$G$4</f>
        <v>0</v>
      </c>
      <c r="I35" s="156">
        <v>20</v>
      </c>
      <c r="J35" s="19">
        <f t="shared" si="11"/>
        <v>60</v>
      </c>
      <c r="K35" s="162"/>
      <c r="L35" s="162"/>
      <c r="M35" s="56">
        <f ca="1">IF(LetztesWE=4,SUM(INDIRECT("$BH35:$CC35")),IF(LetztesWE=5,SUM(INDIRECT("$BH35:$CB35")),0))</f>
        <v>0</v>
      </c>
      <c r="N35" s="141">
        <f t="shared" ca="1" si="2"/>
        <v>5</v>
      </c>
      <c r="O35" s="160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9">
        <v>1</v>
      </c>
      <c r="AH35" s="19">
        <v>1</v>
      </c>
      <c r="AI35" s="19">
        <f t="shared" si="12"/>
        <v>0</v>
      </c>
      <c r="AJ35" s="19">
        <v>1</v>
      </c>
      <c r="AK35" s="19">
        <v>1</v>
      </c>
      <c r="AL35" s="19">
        <v>1</v>
      </c>
      <c r="AM35" s="19">
        <v>1</v>
      </c>
      <c r="AN35" s="19">
        <v>1</v>
      </c>
      <c r="AO35" s="156"/>
      <c r="AP35" s="7"/>
      <c r="AQ35" s="7"/>
      <c r="AR35" s="7"/>
      <c r="AS35" s="7"/>
      <c r="AT35" s="7"/>
      <c r="AU35" s="7"/>
      <c r="AV35" s="7"/>
      <c r="AW35" s="5"/>
      <c r="BA35" s="27"/>
      <c r="BB35" s="27"/>
      <c r="BC35" s="27"/>
      <c r="BD35" s="27" t="s">
        <v>296</v>
      </c>
      <c r="BE35" s="117" t="e">
        <f t="shared" ca="1" si="4"/>
        <v>#DIV/0!</v>
      </c>
      <c r="BF35" s="117">
        <v>0</v>
      </c>
      <c r="BG35" s="10">
        <f t="shared" si="8"/>
        <v>0</v>
      </c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G35" s="24">
        <f t="shared" si="7"/>
        <v>0</v>
      </c>
      <c r="CH35" s="10"/>
      <c r="CI35" s="28"/>
      <c r="CJ35" s="28"/>
      <c r="CK35" s="28"/>
      <c r="CL35" s="28"/>
      <c r="CM35" s="28"/>
      <c r="CN35" s="28"/>
      <c r="CX35" s="7"/>
      <c r="CY35" s="7"/>
      <c r="CZ35" s="7"/>
      <c r="DM35" s="14"/>
    </row>
    <row r="36" spans="1:117" ht="15.75" thickBot="1" x14ac:dyDescent="0.3">
      <c r="A36" s="138"/>
      <c r="B36" s="140"/>
      <c r="C36" s="156"/>
      <c r="D36" s="156"/>
      <c r="E36" s="159"/>
      <c r="F36" s="156"/>
      <c r="G36" s="156"/>
      <c r="H36" s="19">
        <f>IF(C36&gt;=40,5*G36,IF(AND(C36&lt;40,C36&gt;20),3*G36,IF(AND(C36&lt;=20,C36&gt;0),2*G36,0)))*Tage!$G$4</f>
        <v>0</v>
      </c>
      <c r="I36" s="156">
        <v>20</v>
      </c>
      <c r="J36" s="19">
        <f t="shared" si="11"/>
        <v>60</v>
      </c>
      <c r="K36" s="162"/>
      <c r="L36" s="162"/>
      <c r="M36" s="56">
        <f ca="1">IF(LetztesWE=4,SUM(INDIRECT("$BH36:$CC36")),IF(LetztesWE=5,SUM(INDIRECT("$BH36:$CB36")),0))</f>
        <v>0</v>
      </c>
      <c r="N36" s="141">
        <f t="shared" ca="1" si="2"/>
        <v>5</v>
      </c>
      <c r="O36" s="160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9">
        <v>1</v>
      </c>
      <c r="AH36" s="19">
        <v>1</v>
      </c>
      <c r="AI36" s="19">
        <f t="shared" si="12"/>
        <v>0</v>
      </c>
      <c r="AJ36" s="19">
        <v>1</v>
      </c>
      <c r="AK36" s="19">
        <v>1</v>
      </c>
      <c r="AL36" s="19">
        <v>1</v>
      </c>
      <c r="AM36" s="19">
        <v>1</v>
      </c>
      <c r="AN36" s="19">
        <v>1</v>
      </c>
      <c r="AO36" s="156"/>
      <c r="AP36" s="7"/>
      <c r="AQ36" s="7"/>
      <c r="AR36" s="7"/>
      <c r="AS36" s="7"/>
      <c r="AT36" s="7"/>
      <c r="AU36" s="7"/>
      <c r="AV36" s="7"/>
      <c r="AW36" s="5"/>
      <c r="AX36" s="27"/>
      <c r="AY36" s="27"/>
      <c r="BA36" s="27"/>
      <c r="BB36" s="27"/>
      <c r="BC36" s="27"/>
      <c r="BD36" s="27" t="s">
        <v>297</v>
      </c>
      <c r="BE36" s="117" t="e">
        <f t="shared" ca="1" si="4"/>
        <v>#DIV/0!</v>
      </c>
      <c r="BF36" s="117">
        <v>0</v>
      </c>
      <c r="BG36" s="10">
        <f t="shared" si="8"/>
        <v>0</v>
      </c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G36" s="24">
        <f t="shared" si="7"/>
        <v>0</v>
      </c>
      <c r="CH36" s="10"/>
      <c r="CI36" s="28"/>
      <c r="CJ36" s="28"/>
      <c r="CK36" s="28"/>
      <c r="CL36" s="28"/>
      <c r="CM36" s="28"/>
      <c r="CN36" s="28"/>
      <c r="CX36" s="7"/>
      <c r="CY36" s="7"/>
      <c r="CZ36" s="7"/>
      <c r="DM36" s="14"/>
    </row>
    <row r="37" spans="1:117" ht="15.75" thickBot="1" x14ac:dyDescent="0.3">
      <c r="A37" s="138"/>
      <c r="B37" s="140"/>
      <c r="C37" s="156"/>
      <c r="D37" s="156"/>
      <c r="E37" s="159"/>
      <c r="F37" s="156"/>
      <c r="G37" s="156"/>
      <c r="H37" s="19">
        <f>IF(C37&gt;=40,5*G37,IF(AND(C37&lt;40,C37&gt;20),3*G37,IF(AND(C37&lt;=20,C37&gt;0),2*G37,0)))*Tage!$G$4</f>
        <v>0</v>
      </c>
      <c r="I37" s="156">
        <v>20</v>
      </c>
      <c r="J37" s="19">
        <f t="shared" ref="J37:J42" si="13">IF(D37=1,64,60)</f>
        <v>60</v>
      </c>
      <c r="K37" s="162"/>
      <c r="L37" s="162"/>
      <c r="M37" s="56">
        <f ca="1">IF(LetztesWE=4,SUM(INDIRECT("$BH37:$CC37")),IF(LetztesWE=5,SUM(INDIRECT("$BH37:$CB37")),0))</f>
        <v>0</v>
      </c>
      <c r="N37" s="141">
        <f t="shared" ca="1" si="2"/>
        <v>5</v>
      </c>
      <c r="O37" s="160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9">
        <v>1</v>
      </c>
      <c r="AH37" s="19">
        <v>1</v>
      </c>
      <c r="AI37" s="19">
        <f t="shared" ref="AI37:AI42" si="14">IF(AND(C37&lt;40,C37&gt;0),1,0)</f>
        <v>0</v>
      </c>
      <c r="AJ37" s="19">
        <v>1</v>
      </c>
      <c r="AK37" s="19">
        <v>1</v>
      </c>
      <c r="AL37" s="19">
        <v>1</v>
      </c>
      <c r="AM37" s="19">
        <v>1</v>
      </c>
      <c r="AN37" s="19">
        <v>1</v>
      </c>
      <c r="AO37" s="156"/>
      <c r="AP37" s="7"/>
      <c r="AQ37" s="7"/>
      <c r="AR37" s="7"/>
      <c r="AS37" s="7"/>
      <c r="AT37" s="7"/>
      <c r="AU37" s="7"/>
      <c r="AV37" s="7"/>
      <c r="AW37" s="5"/>
      <c r="BA37" s="27"/>
      <c r="BB37" s="27"/>
      <c r="BD37" s="27" t="s">
        <v>298</v>
      </c>
      <c r="BE37" s="117" t="e">
        <f t="shared" ca="1" si="4"/>
        <v>#DIV/0!</v>
      </c>
      <c r="BF37" s="117">
        <v>0</v>
      </c>
      <c r="BG37" s="10">
        <f t="shared" si="8"/>
        <v>0</v>
      </c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G37" s="24">
        <f t="shared" si="7"/>
        <v>0</v>
      </c>
      <c r="CH37" s="10"/>
      <c r="CI37" s="28"/>
      <c r="CJ37" s="28"/>
      <c r="CK37" s="28"/>
      <c r="CL37" s="28"/>
      <c r="CM37" s="28"/>
      <c r="CN37" s="28"/>
      <c r="CX37" s="7"/>
      <c r="CY37" s="7"/>
      <c r="CZ37" s="7"/>
      <c r="DM37" s="14"/>
    </row>
    <row r="38" spans="1:117" ht="15.75" thickBot="1" x14ac:dyDescent="0.3">
      <c r="A38" s="138"/>
      <c r="B38" s="140"/>
      <c r="C38" s="156"/>
      <c r="D38" s="156"/>
      <c r="E38" s="159"/>
      <c r="F38" s="156"/>
      <c r="G38" s="156"/>
      <c r="H38" s="19">
        <f>IF(C38&gt;=40,5*G38,IF(AND(C38&lt;40,C38&gt;20),3*G38,IF(AND(C38&lt;=20,C38&gt;0),2*G38,0)))*Tage!$G$4</f>
        <v>0</v>
      </c>
      <c r="I38" s="156">
        <v>20</v>
      </c>
      <c r="J38" s="19">
        <f t="shared" si="13"/>
        <v>60</v>
      </c>
      <c r="K38" s="162"/>
      <c r="L38" s="162"/>
      <c r="M38" s="56">
        <f ca="1">IF(LetztesWE=4,SUM(INDIRECT("$BH38:$CC38")),IF(LetztesWE=5,SUM(INDIRECT("$BH38:$CB38")),0))</f>
        <v>0</v>
      </c>
      <c r="N38" s="141">
        <f t="shared" ca="1" si="2"/>
        <v>5</v>
      </c>
      <c r="O38" s="160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9">
        <v>1</v>
      </c>
      <c r="AH38" s="19">
        <v>1</v>
      </c>
      <c r="AI38" s="19">
        <f t="shared" si="14"/>
        <v>0</v>
      </c>
      <c r="AJ38" s="19">
        <v>1</v>
      </c>
      <c r="AK38" s="19">
        <v>1</v>
      </c>
      <c r="AL38" s="19">
        <v>1</v>
      </c>
      <c r="AM38" s="19">
        <v>1</v>
      </c>
      <c r="AN38" s="19">
        <v>1</v>
      </c>
      <c r="AO38" s="156"/>
      <c r="AP38" s="7"/>
      <c r="AQ38" s="7"/>
      <c r="AR38" s="7"/>
      <c r="AS38" s="7"/>
      <c r="AT38" s="7"/>
      <c r="AU38" s="7"/>
      <c r="AV38" s="7"/>
      <c r="AW38" s="5"/>
      <c r="BA38" s="27"/>
      <c r="BB38" s="27"/>
      <c r="BD38" s="27" t="s">
        <v>299</v>
      </c>
      <c r="BE38" s="117" t="e">
        <f t="shared" ca="1" si="4"/>
        <v>#DIV/0!</v>
      </c>
      <c r="BF38" s="117">
        <v>0</v>
      </c>
      <c r="BG38" s="10">
        <f t="shared" si="8"/>
        <v>0</v>
      </c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G38" s="24">
        <f t="shared" si="7"/>
        <v>0</v>
      </c>
      <c r="CH38" s="10"/>
      <c r="CI38" s="28"/>
      <c r="CJ38" s="28"/>
      <c r="CK38" s="28"/>
      <c r="CL38" s="28"/>
      <c r="CM38" s="28"/>
      <c r="CN38" s="28"/>
      <c r="CX38" s="7"/>
      <c r="CY38" s="7"/>
      <c r="CZ38" s="7"/>
      <c r="DM38" s="14"/>
    </row>
    <row r="39" spans="1:117" ht="15.75" thickBot="1" x14ac:dyDescent="0.3">
      <c r="A39" s="138"/>
      <c r="B39" s="140"/>
      <c r="C39" s="156"/>
      <c r="D39" s="156"/>
      <c r="E39" s="159"/>
      <c r="F39" s="156"/>
      <c r="G39" s="156"/>
      <c r="H39" s="19">
        <f>IF(C39&gt;=40,5*G39,IF(AND(C39&lt;40,C39&gt;20),3*G39,IF(AND(C39&lt;=20,C39&gt;0),2*G39,0)))*Tage!$G$4</f>
        <v>0</v>
      </c>
      <c r="I39" s="156">
        <v>20</v>
      </c>
      <c r="J39" s="19">
        <f t="shared" si="13"/>
        <v>60</v>
      </c>
      <c r="K39" s="162"/>
      <c r="L39" s="162"/>
      <c r="M39" s="56">
        <f ca="1">IF(LetztesWE=4,SUM(INDIRECT("$BH39:$CC39")),IF(LetztesWE=5,SUM(INDIRECT("$BH39:$CB39")),0))</f>
        <v>0</v>
      </c>
      <c r="N39" s="141">
        <f t="shared" ca="1" si="2"/>
        <v>5</v>
      </c>
      <c r="O39" s="160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9">
        <v>1</v>
      </c>
      <c r="AH39" s="19">
        <v>1</v>
      </c>
      <c r="AI39" s="19">
        <f t="shared" si="14"/>
        <v>0</v>
      </c>
      <c r="AJ39" s="19">
        <v>1</v>
      </c>
      <c r="AK39" s="19">
        <v>1</v>
      </c>
      <c r="AL39" s="19">
        <v>1</v>
      </c>
      <c r="AM39" s="19">
        <v>1</v>
      </c>
      <c r="AN39" s="19">
        <v>1</v>
      </c>
      <c r="AO39" s="156"/>
      <c r="AP39" s="7"/>
      <c r="AQ39" s="7"/>
      <c r="AR39" s="7"/>
      <c r="AS39" s="7"/>
      <c r="AT39" s="7"/>
      <c r="AU39" s="7"/>
      <c r="AV39" s="7"/>
      <c r="AW39" s="5"/>
      <c r="BA39" s="27"/>
      <c r="BB39" s="27"/>
      <c r="BD39" s="27" t="s">
        <v>300</v>
      </c>
      <c r="BE39" s="117" t="e">
        <f t="shared" ca="1" si="4"/>
        <v>#DIV/0!</v>
      </c>
      <c r="BF39" s="117">
        <v>0</v>
      </c>
      <c r="BG39" s="10">
        <f t="shared" si="8"/>
        <v>0</v>
      </c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G39" s="24">
        <f t="shared" si="7"/>
        <v>0</v>
      </c>
      <c r="CH39" s="10"/>
      <c r="CI39" s="28"/>
      <c r="CJ39" s="28"/>
      <c r="CK39" s="28"/>
      <c r="CL39" s="28"/>
      <c r="CM39" s="28"/>
      <c r="CN39" s="28"/>
      <c r="CX39" s="7"/>
      <c r="CY39" s="7"/>
      <c r="CZ39" s="7"/>
      <c r="DM39" s="14"/>
    </row>
    <row r="40" spans="1:117" ht="15.75" thickBot="1" x14ac:dyDescent="0.3">
      <c r="A40" s="138"/>
      <c r="B40" s="140"/>
      <c r="C40" s="156"/>
      <c r="D40" s="156"/>
      <c r="E40" s="159"/>
      <c r="F40" s="156"/>
      <c r="G40" s="156"/>
      <c r="H40" s="19">
        <f>IF(C40&gt;=40,5*G40,IF(AND(C40&lt;40,C40&gt;20),3*G40,IF(AND(C40&lt;=20,C40&gt;0),2*G40,0)))*Tage!$G$4</f>
        <v>0</v>
      </c>
      <c r="I40" s="156">
        <v>20</v>
      </c>
      <c r="J40" s="19">
        <f t="shared" si="13"/>
        <v>60</v>
      </c>
      <c r="K40" s="162"/>
      <c r="L40" s="162"/>
      <c r="M40" s="56">
        <f ca="1">IF(LetztesWE=4,SUM(INDIRECT("$BH40:$CC40")),IF(LetztesWE=5,SUM(INDIRECT("$BH40:$CB40")),0))</f>
        <v>0</v>
      </c>
      <c r="N40" s="141">
        <f t="shared" ca="1" si="2"/>
        <v>5</v>
      </c>
      <c r="O40" s="160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9">
        <v>1</v>
      </c>
      <c r="AH40" s="19">
        <v>1</v>
      </c>
      <c r="AI40" s="19">
        <f t="shared" si="14"/>
        <v>0</v>
      </c>
      <c r="AJ40" s="19">
        <v>1</v>
      </c>
      <c r="AK40" s="19">
        <v>1</v>
      </c>
      <c r="AL40" s="19">
        <v>1</v>
      </c>
      <c r="AM40" s="19">
        <v>1</v>
      </c>
      <c r="AN40" s="19">
        <v>1</v>
      </c>
      <c r="AO40" s="156"/>
      <c r="AP40" s="7"/>
      <c r="AQ40" s="7"/>
      <c r="AR40" s="7"/>
      <c r="AS40" s="7"/>
      <c r="AT40" s="7"/>
      <c r="AU40" s="7"/>
      <c r="AV40" s="7"/>
      <c r="AW40" s="5"/>
      <c r="BA40" s="27"/>
      <c r="BB40" s="27"/>
      <c r="BD40" s="27" t="s">
        <v>301</v>
      </c>
      <c r="BE40" s="117" t="e">
        <f t="shared" ca="1" si="4"/>
        <v>#DIV/0!</v>
      </c>
      <c r="BF40" s="117">
        <v>0</v>
      </c>
      <c r="BG40" s="10">
        <f t="shared" si="8"/>
        <v>0</v>
      </c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G40" s="24">
        <f t="shared" si="7"/>
        <v>0</v>
      </c>
      <c r="CH40" s="10"/>
      <c r="CI40" s="28"/>
      <c r="CJ40" s="28"/>
      <c r="CK40" s="28"/>
      <c r="CL40" s="28"/>
      <c r="CM40" s="28"/>
      <c r="CN40" s="28"/>
      <c r="CX40" s="7"/>
      <c r="CY40" s="7"/>
      <c r="CZ40" s="7"/>
      <c r="DM40" s="14"/>
    </row>
    <row r="41" spans="1:117" ht="15.75" thickBot="1" x14ac:dyDescent="0.3">
      <c r="A41" s="138"/>
      <c r="B41" s="140"/>
      <c r="C41" s="156"/>
      <c r="D41" s="156"/>
      <c r="E41" s="159"/>
      <c r="F41" s="156"/>
      <c r="G41" s="156"/>
      <c r="H41" s="19">
        <f>IF(C41&gt;=40,5*G41,IF(AND(C41&lt;40,C41&gt;20),3*G41,IF(AND(C41&lt;=20,C41&gt;0),2*G41,0)))*Tage!$G$4</f>
        <v>0</v>
      </c>
      <c r="I41" s="156">
        <v>20</v>
      </c>
      <c r="J41" s="19">
        <f t="shared" si="13"/>
        <v>60</v>
      </c>
      <c r="K41" s="162"/>
      <c r="L41" s="162"/>
      <c r="M41" s="56">
        <f ca="1">IF(LetztesWE=4,SUM(INDIRECT("$BH41:$CC41")),IF(LetztesWE=5,SUM(INDIRECT("$BH41:$CB41")),0))</f>
        <v>0</v>
      </c>
      <c r="N41" s="141">
        <f t="shared" ca="1" si="2"/>
        <v>5</v>
      </c>
      <c r="O41" s="160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9">
        <v>1</v>
      </c>
      <c r="AH41" s="19">
        <v>1</v>
      </c>
      <c r="AI41" s="19">
        <f t="shared" si="14"/>
        <v>0</v>
      </c>
      <c r="AJ41" s="19">
        <v>1</v>
      </c>
      <c r="AK41" s="19">
        <v>1</v>
      </c>
      <c r="AL41" s="19">
        <v>1</v>
      </c>
      <c r="AM41" s="19">
        <v>1</v>
      </c>
      <c r="AN41" s="19">
        <v>1</v>
      </c>
      <c r="AO41" s="156"/>
      <c r="AP41" s="7"/>
      <c r="AQ41" s="7"/>
      <c r="AR41" s="7"/>
      <c r="AS41" s="7"/>
      <c r="AT41" s="7"/>
      <c r="AU41" s="7"/>
      <c r="AV41" s="7"/>
      <c r="AW41" s="5"/>
      <c r="BA41" s="27"/>
      <c r="BB41" s="27"/>
      <c r="BD41" s="27" t="s">
        <v>302</v>
      </c>
      <c r="BE41" s="117" t="e">
        <f t="shared" ca="1" si="4"/>
        <v>#DIV/0!</v>
      </c>
      <c r="BF41" s="117">
        <v>0</v>
      </c>
      <c r="BG41" s="10">
        <f t="shared" si="8"/>
        <v>0</v>
      </c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G41" s="24">
        <f t="shared" si="7"/>
        <v>0</v>
      </c>
      <c r="CH41" s="10"/>
      <c r="CI41" s="28"/>
      <c r="CJ41" s="28"/>
      <c r="CK41" s="28"/>
      <c r="CL41" s="28"/>
      <c r="CM41" s="28"/>
      <c r="CN41" s="28"/>
      <c r="CX41" s="7"/>
      <c r="CY41" s="7"/>
      <c r="CZ41" s="7"/>
      <c r="DM41" s="14"/>
    </row>
    <row r="42" spans="1:117" ht="15.75" thickBot="1" x14ac:dyDescent="0.3">
      <c r="A42" s="138"/>
      <c r="B42" s="140"/>
      <c r="C42" s="156"/>
      <c r="D42" s="156"/>
      <c r="E42" s="159"/>
      <c r="F42" s="156"/>
      <c r="G42" s="156"/>
      <c r="H42" s="19">
        <f>IF(C42&gt;=40,5*G42,IF(AND(C42&lt;40,C42&gt;20),3*G42,IF(AND(C42&lt;=20,C42&gt;0),2*G42,0)))*Tage!$G$4</f>
        <v>0</v>
      </c>
      <c r="I42" s="156">
        <v>20</v>
      </c>
      <c r="J42" s="19">
        <f t="shared" si="13"/>
        <v>60</v>
      </c>
      <c r="K42" s="162"/>
      <c r="L42" s="162"/>
      <c r="M42" s="56">
        <f ca="1">IF(LetztesWE=4,SUM(INDIRECT("$BH42:$CC42")),IF(LetztesWE=5,SUM(INDIRECT("$BH42:$CB42")),0))</f>
        <v>0</v>
      </c>
      <c r="N42" s="141">
        <f t="shared" ca="1" si="2"/>
        <v>5</v>
      </c>
      <c r="O42" s="160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9">
        <v>1</v>
      </c>
      <c r="AH42" s="19">
        <v>1</v>
      </c>
      <c r="AI42" s="19">
        <f t="shared" si="14"/>
        <v>0</v>
      </c>
      <c r="AJ42" s="19">
        <v>1</v>
      </c>
      <c r="AK42" s="19">
        <v>1</v>
      </c>
      <c r="AL42" s="19">
        <v>1</v>
      </c>
      <c r="AM42" s="19">
        <v>1</v>
      </c>
      <c r="AN42" s="19">
        <v>1</v>
      </c>
      <c r="AO42" s="156"/>
      <c r="AP42" s="7"/>
      <c r="AQ42" s="7"/>
      <c r="AR42" s="7"/>
      <c r="AS42" s="7"/>
      <c r="AT42" s="7"/>
      <c r="AU42" s="7"/>
      <c r="AV42" s="7"/>
      <c r="AW42" s="5"/>
      <c r="BA42" s="27"/>
      <c r="BB42" s="27"/>
      <c r="BD42" s="27" t="s">
        <v>303</v>
      </c>
      <c r="BE42" s="117" t="e">
        <f t="shared" ca="1" si="4"/>
        <v>#DIV/0!</v>
      </c>
      <c r="BF42" s="117">
        <v>0</v>
      </c>
      <c r="BG42" s="10">
        <f t="shared" si="8"/>
        <v>0</v>
      </c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G42" s="24">
        <f t="shared" si="7"/>
        <v>0</v>
      </c>
      <c r="CH42" s="33"/>
      <c r="CI42" s="40"/>
      <c r="CJ42" s="40"/>
      <c r="CK42" s="40"/>
      <c r="CL42" s="40"/>
      <c r="CM42" s="40"/>
      <c r="CN42" s="40"/>
      <c r="CO42" s="16"/>
      <c r="CP42" s="16"/>
      <c r="CQ42" s="16"/>
      <c r="CR42" s="16"/>
      <c r="CS42" s="16"/>
      <c r="CT42" s="16"/>
      <c r="CU42" s="16"/>
      <c r="CV42" s="16"/>
      <c r="CW42" s="16"/>
      <c r="CX42" s="47"/>
      <c r="CY42" s="47"/>
      <c r="CZ42" s="47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7"/>
    </row>
    <row r="43" spans="1:117" ht="15.75" thickBot="1" x14ac:dyDescent="0.3">
      <c r="I43" s="7"/>
      <c r="J43" s="7"/>
      <c r="K43" s="22">
        <f>SUM(K2:K42)</f>
        <v>407.74999999999994</v>
      </c>
      <c r="L43" s="7"/>
      <c r="M43" s="7"/>
      <c r="N43" s="7"/>
      <c r="BE43" s="118">
        <f ca="1">SUM(BE2:BE32)</f>
        <v>1196</v>
      </c>
      <c r="BF43" s="118">
        <f>SUM(BF2:BF42)</f>
        <v>0</v>
      </c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X43" s="7"/>
      <c r="CY43" s="7"/>
      <c r="CZ43" s="7"/>
    </row>
    <row r="44" spans="1:117" ht="15.75" thickTop="1" x14ac:dyDescent="0.25"/>
    <row r="86" spans="1:7" x14ac:dyDescent="0.25">
      <c r="A86" s="23"/>
      <c r="B86" s="23"/>
      <c r="C86" s="23"/>
      <c r="D86" s="23"/>
      <c r="E86" s="23"/>
      <c r="F86" s="23"/>
      <c r="G86" s="15"/>
    </row>
  </sheetData>
  <conditionalFormatting sqref="B2:B27">
    <cfRule type="containsText" priority="5" operator="containsText" text="CA">
      <formula>NOT(ISERROR(SEARCH("CA",B2)))</formula>
    </cfRule>
    <cfRule type="containsText" dxfId="40" priority="6" operator="containsText" text="OA">
      <formula>NOT(ISERROR(SEARCH("OA",B2)))</formula>
    </cfRule>
    <cfRule type="containsText" dxfId="39" priority="7" operator="containsText" text="FA">
      <formula>NOT(ISERROR(SEARCH("FA",B2)))</formula>
    </cfRule>
    <cfRule type="containsText" dxfId="38" priority="8" operator="containsText" text="AA">
      <formula>NOT(ISERROR(SEARCH("AA",B2)))</formula>
    </cfRule>
  </conditionalFormatting>
  <conditionalFormatting sqref="B28:B42">
    <cfRule type="containsText" priority="1" operator="containsText" text="CA">
      <formula>NOT(ISERROR(SEARCH("CA",B28)))</formula>
    </cfRule>
    <cfRule type="containsText" dxfId="37" priority="2" operator="containsText" text="OA">
      <formula>NOT(ISERROR(SEARCH("OA",B28)))</formula>
    </cfRule>
    <cfRule type="containsText" dxfId="36" priority="3" operator="containsText" text="FA">
      <formula>NOT(ISERROR(SEARCH("FA",B28)))</formula>
    </cfRule>
    <cfRule type="containsText" dxfId="35" priority="4" operator="containsText" text="AA">
      <formula>NOT(ISERROR(SEARCH("AA",B28)))</formula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AC350"/>
  <sheetViews>
    <sheetView topLeftCell="A301" zoomScale="80" zoomScaleNormal="80" workbookViewId="0">
      <selection activeCell="A3" sqref="A3:D350"/>
    </sheetView>
  </sheetViews>
  <sheetFormatPr baseColWidth="10" defaultColWidth="11.42578125" defaultRowHeight="15" x14ac:dyDescent="0.25"/>
  <cols>
    <col min="1" max="1" width="19.5703125" style="36" bestFit="1" customWidth="1"/>
    <col min="2" max="4" width="11.42578125" style="36" customWidth="1"/>
    <col min="5" max="5" width="4.140625" customWidth="1"/>
    <col min="6" max="6" width="16.42578125" bestFit="1" customWidth="1"/>
    <col min="7" max="7" width="4.42578125" bestFit="1" customWidth="1"/>
    <col min="8" max="8" width="11.42578125" style="27" customWidth="1"/>
    <col min="9" max="9" width="12.85546875" style="27" bestFit="1" customWidth="1"/>
    <col min="10" max="20" width="11.42578125" style="27" customWidth="1"/>
    <col min="21" max="24" width="11.42578125" style="36" customWidth="1"/>
    <col min="25" max="25" width="11.42578125" customWidth="1"/>
  </cols>
  <sheetData>
    <row r="1" spans="1:29" ht="15.75" thickBot="1" x14ac:dyDescent="0.3">
      <c r="A1" s="22" t="s">
        <v>0</v>
      </c>
      <c r="B1" s="22" t="s">
        <v>70</v>
      </c>
      <c r="C1" s="22" t="s">
        <v>82</v>
      </c>
      <c r="D1" s="22" t="s">
        <v>85</v>
      </c>
      <c r="F1" s="22" t="s">
        <v>104</v>
      </c>
      <c r="G1" s="10">
        <f>COUNTA(A2:A1500)</f>
        <v>349</v>
      </c>
      <c r="H1" s="7"/>
      <c r="I1" s="54" t="s">
        <v>161</v>
      </c>
      <c r="J1" s="22" t="s">
        <v>0</v>
      </c>
      <c r="K1" s="22" t="s">
        <v>70</v>
      </c>
      <c r="L1" s="22" t="s">
        <v>82</v>
      </c>
      <c r="M1" s="22" t="s">
        <v>85</v>
      </c>
      <c r="N1" s="7"/>
      <c r="O1" s="54" t="s">
        <v>160</v>
      </c>
      <c r="P1" s="22" t="s">
        <v>0</v>
      </c>
      <c r="Q1" s="22" t="s">
        <v>70</v>
      </c>
      <c r="R1" s="22" t="s">
        <v>82</v>
      </c>
      <c r="S1" s="22" t="s">
        <v>85</v>
      </c>
      <c r="T1" s="7"/>
      <c r="U1" s="7"/>
      <c r="V1" s="7"/>
      <c r="W1" s="7"/>
      <c r="X1" s="7"/>
      <c r="Y1" s="15"/>
    </row>
    <row r="2" spans="1:29" x14ac:dyDescent="0.25">
      <c r="A2" s="8" t="s">
        <v>162</v>
      </c>
      <c r="B2" s="8">
        <v>1</v>
      </c>
      <c r="C2" s="8" t="s">
        <v>164</v>
      </c>
      <c r="D2" s="8">
        <v>1</v>
      </c>
      <c r="E2" s="27"/>
      <c r="H2" s="7"/>
      <c r="J2" s="55" t="s">
        <v>162</v>
      </c>
      <c r="K2" s="55">
        <v>1</v>
      </c>
      <c r="L2" s="55" t="s">
        <v>164</v>
      </c>
      <c r="M2" s="55">
        <v>1</v>
      </c>
      <c r="N2" s="7"/>
      <c r="O2" s="7"/>
      <c r="P2" s="8" t="s">
        <v>162</v>
      </c>
      <c r="Q2" s="8">
        <v>1</v>
      </c>
      <c r="R2" s="8" t="s">
        <v>164</v>
      </c>
      <c r="S2" s="8">
        <v>1</v>
      </c>
      <c r="T2" s="7"/>
      <c r="Y2" s="15"/>
      <c r="Z2" s="36"/>
      <c r="AA2" s="36"/>
      <c r="AB2" s="36"/>
      <c r="AC2" s="36"/>
    </row>
    <row r="3" spans="1:29" x14ac:dyDescent="0.25">
      <c r="A3" s="28" t="s">
        <v>137</v>
      </c>
      <c r="B3" s="28">
        <v>6</v>
      </c>
      <c r="C3" s="28" t="s">
        <v>63</v>
      </c>
      <c r="D3" s="28">
        <v>1</v>
      </c>
      <c r="E3" s="36" t="s">
        <v>358</v>
      </c>
      <c r="H3" s="7"/>
      <c r="J3" s="52" t="s">
        <v>334</v>
      </c>
      <c r="K3" s="52">
        <v>-6</v>
      </c>
      <c r="L3" s="52" t="s">
        <v>31</v>
      </c>
      <c r="M3" s="52">
        <v>1</v>
      </c>
      <c r="N3" s="7"/>
      <c r="O3" s="7"/>
      <c r="P3" s="28" t="s">
        <v>137</v>
      </c>
      <c r="Q3" s="28">
        <v>1</v>
      </c>
      <c r="R3" s="28" t="s">
        <v>53</v>
      </c>
      <c r="S3" s="28">
        <v>1</v>
      </c>
      <c r="T3" s="7"/>
      <c r="Y3" s="15"/>
      <c r="Z3" s="36"/>
      <c r="AA3" s="36"/>
      <c r="AB3" s="36"/>
      <c r="AC3" s="36"/>
    </row>
    <row r="4" spans="1:29" x14ac:dyDescent="0.25">
      <c r="A4" s="28" t="s">
        <v>137</v>
      </c>
      <c r="B4" s="28">
        <v>7</v>
      </c>
      <c r="C4" s="28" t="s">
        <v>84</v>
      </c>
      <c r="D4" s="28">
        <v>1</v>
      </c>
      <c r="E4" s="36"/>
      <c r="H4" s="7"/>
      <c r="J4" s="52" t="s">
        <v>334</v>
      </c>
      <c r="K4" s="52">
        <v>-5</v>
      </c>
      <c r="L4" s="52" t="s">
        <v>5</v>
      </c>
      <c r="M4" s="52">
        <v>1</v>
      </c>
      <c r="N4" s="7"/>
      <c r="O4" s="7"/>
      <c r="P4" s="28" t="s">
        <v>137</v>
      </c>
      <c r="Q4" s="28">
        <v>3</v>
      </c>
      <c r="R4" s="28" t="s">
        <v>352</v>
      </c>
      <c r="S4" s="28">
        <v>1</v>
      </c>
      <c r="T4" s="7" t="s">
        <v>354</v>
      </c>
      <c r="Y4" s="15"/>
      <c r="Z4" s="36"/>
      <c r="AA4" s="36"/>
      <c r="AB4" s="36"/>
      <c r="AC4" s="36"/>
    </row>
    <row r="5" spans="1:29" x14ac:dyDescent="0.25">
      <c r="A5" s="28" t="s">
        <v>137</v>
      </c>
      <c r="B5" s="28">
        <v>8</v>
      </c>
      <c r="C5" s="28" t="s">
        <v>84</v>
      </c>
      <c r="D5" s="28">
        <v>1</v>
      </c>
      <c r="E5" s="36"/>
      <c r="H5" s="7"/>
      <c r="J5" s="52" t="s">
        <v>334</v>
      </c>
      <c r="K5" s="52">
        <v>-4</v>
      </c>
      <c r="L5" s="52" t="s">
        <v>31</v>
      </c>
      <c r="M5" s="52">
        <v>1</v>
      </c>
      <c r="N5" s="7"/>
      <c r="O5" s="7"/>
      <c r="P5" s="28" t="s">
        <v>137</v>
      </c>
      <c r="Q5" s="28">
        <v>4</v>
      </c>
      <c r="R5" s="28" t="s">
        <v>353</v>
      </c>
      <c r="S5" s="28">
        <v>1</v>
      </c>
      <c r="T5" s="7" t="s">
        <v>355</v>
      </c>
      <c r="Y5" s="15"/>
      <c r="Z5" s="36"/>
      <c r="AA5" s="36"/>
      <c r="AB5" s="36"/>
      <c r="AC5" s="36"/>
    </row>
    <row r="6" spans="1:29" x14ac:dyDescent="0.25">
      <c r="A6" s="28" t="s">
        <v>137</v>
      </c>
      <c r="B6" s="28">
        <v>9</v>
      </c>
      <c r="C6" s="28" t="s">
        <v>63</v>
      </c>
      <c r="D6" s="28">
        <v>1</v>
      </c>
      <c r="E6" s="36"/>
      <c r="H6" s="7"/>
      <c r="J6" s="52" t="s">
        <v>334</v>
      </c>
      <c r="K6" s="52">
        <v>-3</v>
      </c>
      <c r="L6" s="52" t="s">
        <v>6</v>
      </c>
      <c r="M6" s="52">
        <v>1</v>
      </c>
      <c r="N6" s="7"/>
      <c r="O6" s="7"/>
      <c r="P6" s="39" t="s">
        <v>137</v>
      </c>
      <c r="Q6" s="28">
        <v>26</v>
      </c>
      <c r="R6" s="28" t="s">
        <v>353</v>
      </c>
      <c r="S6" s="28">
        <v>1</v>
      </c>
      <c r="T6" s="7" t="s">
        <v>355</v>
      </c>
      <c r="Y6" s="15"/>
      <c r="Z6" s="36"/>
      <c r="AA6" s="36"/>
      <c r="AB6" s="36"/>
      <c r="AC6" s="36"/>
    </row>
    <row r="7" spans="1:29" x14ac:dyDescent="0.25">
      <c r="A7" s="28" t="s">
        <v>137</v>
      </c>
      <c r="B7" s="28">
        <v>10</v>
      </c>
      <c r="C7" s="28" t="s">
        <v>63</v>
      </c>
      <c r="D7" s="28">
        <v>1</v>
      </c>
      <c r="E7" s="36"/>
      <c r="H7" s="7"/>
      <c r="J7" s="52" t="s">
        <v>334</v>
      </c>
      <c r="K7" s="52">
        <v>-2</v>
      </c>
      <c r="L7" s="52" t="s">
        <v>83</v>
      </c>
      <c r="M7" s="52">
        <v>1</v>
      </c>
      <c r="N7" s="7"/>
      <c r="O7" s="7"/>
      <c r="P7" s="39" t="s">
        <v>137</v>
      </c>
      <c r="Q7" s="28">
        <v>28</v>
      </c>
      <c r="R7" s="28" t="s">
        <v>19</v>
      </c>
      <c r="S7" s="28">
        <v>1</v>
      </c>
      <c r="T7" s="7"/>
      <c r="Y7" s="15"/>
      <c r="Z7" s="36"/>
      <c r="AA7" s="36"/>
      <c r="AB7" s="36"/>
      <c r="AC7" s="36"/>
    </row>
    <row r="8" spans="1:29" x14ac:dyDescent="0.25">
      <c r="A8" s="28" t="s">
        <v>137</v>
      </c>
      <c r="B8" s="28">
        <v>11</v>
      </c>
      <c r="C8" s="28" t="s">
        <v>63</v>
      </c>
      <c r="D8" s="28">
        <v>1</v>
      </c>
      <c r="E8" s="36"/>
      <c r="H8" s="7"/>
      <c r="J8" s="52" t="s">
        <v>334</v>
      </c>
      <c r="K8" s="52">
        <v>-1</v>
      </c>
      <c r="L8" s="52" t="s">
        <v>83</v>
      </c>
      <c r="M8" s="52">
        <v>1</v>
      </c>
      <c r="N8" s="7"/>
      <c r="O8" s="7"/>
      <c r="P8" s="39" t="s">
        <v>137</v>
      </c>
      <c r="Q8" s="28">
        <v>2</v>
      </c>
      <c r="R8" s="28" t="s">
        <v>17</v>
      </c>
      <c r="S8" s="28">
        <v>0</v>
      </c>
      <c r="T8" s="7" t="s">
        <v>356</v>
      </c>
      <c r="Y8" s="15"/>
      <c r="Z8" s="36"/>
      <c r="AA8" s="36"/>
      <c r="AB8" s="36"/>
      <c r="AC8" s="36"/>
    </row>
    <row r="9" spans="1:29" x14ac:dyDescent="0.25">
      <c r="A9" s="28" t="s">
        <v>137</v>
      </c>
      <c r="B9" s="28">
        <v>12</v>
      </c>
      <c r="C9" s="28" t="s">
        <v>63</v>
      </c>
      <c r="D9" s="28">
        <v>1</v>
      </c>
      <c r="E9" s="36"/>
      <c r="H9" s="7"/>
      <c r="J9" s="52" t="s">
        <v>334</v>
      </c>
      <c r="K9" s="52">
        <v>0</v>
      </c>
      <c r="L9" s="52" t="s">
        <v>31</v>
      </c>
      <c r="M9" s="52">
        <v>1</v>
      </c>
      <c r="N9" s="7"/>
      <c r="O9" s="7"/>
      <c r="P9" s="39" t="s">
        <v>137</v>
      </c>
      <c r="Q9" s="28">
        <v>23</v>
      </c>
      <c r="R9" s="28" t="s">
        <v>17</v>
      </c>
      <c r="S9" s="28">
        <v>0</v>
      </c>
      <c r="T9" s="7"/>
      <c r="Y9" s="15"/>
      <c r="Z9" s="36"/>
      <c r="AA9" s="36"/>
      <c r="AB9" s="36"/>
      <c r="AC9" s="36"/>
    </row>
    <row r="10" spans="1:29" x14ac:dyDescent="0.25">
      <c r="A10" s="28" t="s">
        <v>137</v>
      </c>
      <c r="B10" s="28">
        <v>13</v>
      </c>
      <c r="C10" s="28" t="s">
        <v>63</v>
      </c>
      <c r="D10" s="28">
        <v>1</v>
      </c>
      <c r="E10" s="36"/>
      <c r="H10" s="7"/>
      <c r="J10" s="52" t="s">
        <v>122</v>
      </c>
      <c r="K10" s="52">
        <v>-6</v>
      </c>
      <c r="L10" s="52" t="s">
        <v>32</v>
      </c>
      <c r="M10" s="52">
        <v>1</v>
      </c>
      <c r="N10" s="7"/>
      <c r="O10" s="7"/>
      <c r="P10" s="39" t="s">
        <v>137</v>
      </c>
      <c r="Q10" s="28">
        <v>30</v>
      </c>
      <c r="R10" s="28" t="s">
        <v>17</v>
      </c>
      <c r="S10" s="28">
        <v>0</v>
      </c>
      <c r="T10" s="7"/>
      <c r="Y10" s="15"/>
      <c r="Z10" s="36"/>
      <c r="AA10" s="36"/>
      <c r="AB10" s="36"/>
      <c r="AC10" s="36"/>
    </row>
    <row r="11" spans="1:29" x14ac:dyDescent="0.25">
      <c r="A11" s="28" t="s">
        <v>137</v>
      </c>
      <c r="B11" s="28">
        <v>14</v>
      </c>
      <c r="C11" s="28" t="s">
        <v>84</v>
      </c>
      <c r="D11" s="28">
        <v>1</v>
      </c>
      <c r="E11" s="36"/>
      <c r="H11" s="7"/>
      <c r="J11" s="52" t="s">
        <v>122</v>
      </c>
      <c r="K11" s="52">
        <v>-5</v>
      </c>
      <c r="L11" s="52" t="s">
        <v>31</v>
      </c>
      <c r="M11" s="52">
        <v>1</v>
      </c>
      <c r="N11" s="7"/>
      <c r="O11" s="7"/>
      <c r="P11" s="39" t="s">
        <v>137</v>
      </c>
      <c r="Q11" s="28">
        <v>2</v>
      </c>
      <c r="R11" s="28" t="s">
        <v>6</v>
      </c>
      <c r="S11" s="28">
        <v>0</v>
      </c>
      <c r="T11" s="7" t="s">
        <v>357</v>
      </c>
      <c r="Y11" s="15"/>
      <c r="Z11" s="36"/>
      <c r="AA11" s="36"/>
      <c r="AB11" s="36"/>
      <c r="AC11" s="36"/>
    </row>
    <row r="12" spans="1:29" x14ac:dyDescent="0.25">
      <c r="A12" s="28" t="s">
        <v>137</v>
      </c>
      <c r="B12" s="28">
        <v>15</v>
      </c>
      <c r="C12" s="28" t="s">
        <v>84</v>
      </c>
      <c r="D12" s="28">
        <v>1</v>
      </c>
      <c r="E12" s="36"/>
      <c r="H12" s="7"/>
      <c r="J12" s="52" t="s">
        <v>122</v>
      </c>
      <c r="K12" s="52">
        <v>-4</v>
      </c>
      <c r="L12" s="52" t="s">
        <v>5</v>
      </c>
      <c r="M12" s="52">
        <v>1</v>
      </c>
      <c r="N12" s="7"/>
      <c r="O12" s="7"/>
      <c r="P12" s="39" t="s">
        <v>137</v>
      </c>
      <c r="Q12" s="28">
        <v>23</v>
      </c>
      <c r="R12" s="28" t="s">
        <v>6</v>
      </c>
      <c r="S12" s="28">
        <v>0</v>
      </c>
      <c r="T12" s="7"/>
      <c r="Y12" s="15"/>
      <c r="Z12" s="36"/>
      <c r="AA12" s="36"/>
      <c r="AB12" s="36"/>
      <c r="AC12" s="36"/>
    </row>
    <row r="13" spans="1:29" x14ac:dyDescent="0.25">
      <c r="A13" s="28" t="s">
        <v>137</v>
      </c>
      <c r="B13" s="28">
        <v>16</v>
      </c>
      <c r="C13" s="28" t="s">
        <v>63</v>
      </c>
      <c r="D13" s="28">
        <v>1</v>
      </c>
      <c r="E13" s="36"/>
      <c r="H13" s="7"/>
      <c r="J13" s="52" t="s">
        <v>122</v>
      </c>
      <c r="K13" s="52">
        <v>-3</v>
      </c>
      <c r="L13" s="52" t="s">
        <v>5</v>
      </c>
      <c r="M13" s="52">
        <v>1</v>
      </c>
      <c r="N13" s="7"/>
      <c r="O13" s="7"/>
      <c r="P13" s="39" t="s">
        <v>137</v>
      </c>
      <c r="Q13" s="28">
        <v>30</v>
      </c>
      <c r="R13" s="28" t="s">
        <v>6</v>
      </c>
      <c r="S13" s="28">
        <v>0</v>
      </c>
      <c r="T13" s="7"/>
      <c r="Y13" s="15"/>
      <c r="Z13" s="36"/>
      <c r="AA13" s="36"/>
      <c r="AB13" s="36"/>
      <c r="AC13" s="36"/>
    </row>
    <row r="14" spans="1:29" x14ac:dyDescent="0.25">
      <c r="A14" s="28" t="s">
        <v>137</v>
      </c>
      <c r="B14" s="28">
        <v>17</v>
      </c>
      <c r="C14" s="28" t="s">
        <v>63</v>
      </c>
      <c r="D14" s="28">
        <v>1</v>
      </c>
      <c r="E14" s="36"/>
      <c r="H14" s="7"/>
      <c r="J14" s="52" t="s">
        <v>122</v>
      </c>
      <c r="K14" s="52">
        <v>-2</v>
      </c>
      <c r="L14" s="52" t="s">
        <v>83</v>
      </c>
      <c r="M14" s="52">
        <v>1</v>
      </c>
      <c r="N14" s="7"/>
      <c r="O14" s="7"/>
      <c r="P14" s="39" t="s">
        <v>137</v>
      </c>
      <c r="Q14" s="28">
        <v>2</v>
      </c>
      <c r="R14" s="28" t="s">
        <v>43</v>
      </c>
      <c r="S14" s="28">
        <v>0</v>
      </c>
      <c r="T14" s="7"/>
      <c r="Y14" s="15"/>
      <c r="Z14" s="36"/>
      <c r="AA14" s="36"/>
      <c r="AB14" s="36"/>
      <c r="AC14" s="36"/>
    </row>
    <row r="15" spans="1:29" x14ac:dyDescent="0.25">
      <c r="A15" s="28" t="s">
        <v>137</v>
      </c>
      <c r="B15" s="28">
        <v>18</v>
      </c>
      <c r="C15" s="28" t="s">
        <v>63</v>
      </c>
      <c r="D15" s="28">
        <v>1</v>
      </c>
      <c r="E15" s="36"/>
      <c r="H15" s="7"/>
      <c r="J15" s="52" t="s">
        <v>122</v>
      </c>
      <c r="K15" s="52">
        <v>-1</v>
      </c>
      <c r="L15" s="52" t="s">
        <v>83</v>
      </c>
      <c r="M15" s="52">
        <v>1</v>
      </c>
      <c r="N15" s="7"/>
      <c r="O15" s="7"/>
      <c r="P15" s="39" t="s">
        <v>137</v>
      </c>
      <c r="Q15" s="28">
        <v>23</v>
      </c>
      <c r="R15" s="28" t="s">
        <v>43</v>
      </c>
      <c r="S15" s="28">
        <v>0</v>
      </c>
      <c r="T15" s="7"/>
      <c r="Y15" s="15"/>
      <c r="Z15" s="36"/>
      <c r="AA15" s="36"/>
      <c r="AB15" s="36"/>
      <c r="AC15" s="36"/>
    </row>
    <row r="16" spans="1:29" x14ac:dyDescent="0.25">
      <c r="A16" s="28" t="s">
        <v>137</v>
      </c>
      <c r="B16" s="28">
        <v>19</v>
      </c>
      <c r="C16" s="28" t="s">
        <v>63</v>
      </c>
      <c r="D16" s="28">
        <v>1</v>
      </c>
      <c r="E16" s="36"/>
      <c r="H16" s="7"/>
      <c r="J16" s="52" t="s">
        <v>122</v>
      </c>
      <c r="K16" s="52">
        <v>0</v>
      </c>
      <c r="L16" s="52" t="s">
        <v>5</v>
      </c>
      <c r="M16" s="52">
        <v>1</v>
      </c>
      <c r="N16" s="7"/>
      <c r="O16" s="7"/>
      <c r="P16" s="39" t="s">
        <v>137</v>
      </c>
      <c r="Q16" s="28">
        <v>30</v>
      </c>
      <c r="R16" s="28" t="s">
        <v>43</v>
      </c>
      <c r="S16" s="28">
        <v>0</v>
      </c>
      <c r="T16" s="7"/>
      <c r="Y16" s="15"/>
      <c r="Z16" s="36"/>
      <c r="AA16" s="7"/>
      <c r="AB16" s="7"/>
      <c r="AC16" s="7"/>
    </row>
    <row r="17" spans="1:29" x14ac:dyDescent="0.25">
      <c r="A17" s="28" t="s">
        <v>137</v>
      </c>
      <c r="B17" s="28">
        <v>20</v>
      </c>
      <c r="C17" s="28" t="s">
        <v>63</v>
      </c>
      <c r="D17" s="28">
        <v>1</v>
      </c>
      <c r="E17" s="36"/>
      <c r="H17" s="7"/>
      <c r="J17" s="52" t="s">
        <v>123</v>
      </c>
      <c r="K17" s="52">
        <v>-6</v>
      </c>
      <c r="L17" s="52" t="s">
        <v>31</v>
      </c>
      <c r="M17" s="52">
        <v>1</v>
      </c>
      <c r="N17" s="7"/>
      <c r="O17" s="7"/>
      <c r="P17" s="39" t="s">
        <v>137</v>
      </c>
      <c r="Q17" s="28">
        <v>2</v>
      </c>
      <c r="R17" s="28" t="s">
        <v>353</v>
      </c>
      <c r="S17" s="28">
        <v>0</v>
      </c>
      <c r="T17" s="7"/>
      <c r="Y17" s="15"/>
      <c r="Z17" s="36"/>
      <c r="AA17" s="7"/>
      <c r="AB17" s="7"/>
      <c r="AC17" s="7"/>
    </row>
    <row r="18" spans="1:29" x14ac:dyDescent="0.25">
      <c r="A18" s="28" t="s">
        <v>137</v>
      </c>
      <c r="B18" s="28">
        <v>21</v>
      </c>
      <c r="C18" s="28" t="s">
        <v>84</v>
      </c>
      <c r="D18" s="28">
        <v>1</v>
      </c>
      <c r="E18" s="36"/>
      <c r="H18" s="7"/>
      <c r="J18" s="52" t="s">
        <v>123</v>
      </c>
      <c r="K18" s="52">
        <v>-5</v>
      </c>
      <c r="L18" s="52" t="s">
        <v>364</v>
      </c>
      <c r="M18" s="52">
        <v>1</v>
      </c>
      <c r="N18" s="7"/>
      <c r="O18" s="7"/>
      <c r="P18" s="39" t="s">
        <v>137</v>
      </c>
      <c r="Q18" s="28">
        <v>23</v>
      </c>
      <c r="R18" s="28" t="s">
        <v>353</v>
      </c>
      <c r="S18" s="28">
        <v>0</v>
      </c>
      <c r="T18" s="7"/>
      <c r="Y18" s="15"/>
      <c r="Z18" s="36"/>
      <c r="AA18" s="7"/>
      <c r="AB18" s="7"/>
      <c r="AC18" s="7"/>
    </row>
    <row r="19" spans="1:29" x14ac:dyDescent="0.25">
      <c r="A19" s="28" t="s">
        <v>137</v>
      </c>
      <c r="B19" s="28">
        <v>22</v>
      </c>
      <c r="C19" s="28" t="s">
        <v>84</v>
      </c>
      <c r="D19" s="28">
        <v>1</v>
      </c>
      <c r="E19" s="36"/>
      <c r="H19" s="7"/>
      <c r="J19" s="52" t="s">
        <v>123</v>
      </c>
      <c r="K19" s="52">
        <v>-4</v>
      </c>
      <c r="L19" s="52" t="s">
        <v>65</v>
      </c>
      <c r="M19" s="52">
        <v>1</v>
      </c>
      <c r="N19" s="7"/>
      <c r="O19" s="7"/>
      <c r="P19" s="39" t="s">
        <v>137</v>
      </c>
      <c r="Q19" s="28">
        <v>30</v>
      </c>
      <c r="R19" s="28" t="s">
        <v>353</v>
      </c>
      <c r="S19" s="28">
        <v>0</v>
      </c>
      <c r="T19" s="7"/>
      <c r="Y19" s="15"/>
      <c r="Z19" s="36"/>
      <c r="AA19" s="7"/>
      <c r="AB19" s="7"/>
      <c r="AC19" s="7"/>
    </row>
    <row r="20" spans="1:29" x14ac:dyDescent="0.25">
      <c r="A20" s="28" t="s">
        <v>137</v>
      </c>
      <c r="B20" s="28">
        <v>24</v>
      </c>
      <c r="C20" s="28" t="s">
        <v>69</v>
      </c>
      <c r="D20" s="28">
        <v>1</v>
      </c>
      <c r="E20" s="36"/>
      <c r="H20" s="7"/>
      <c r="J20" s="52" t="s">
        <v>123</v>
      </c>
      <c r="K20" s="52">
        <v>-3</v>
      </c>
      <c r="L20" s="52" t="s">
        <v>60</v>
      </c>
      <c r="M20" s="52">
        <v>1</v>
      </c>
      <c r="N20" s="7"/>
      <c r="O20" s="7"/>
      <c r="P20" s="39" t="s">
        <v>139</v>
      </c>
      <c r="Q20" s="28">
        <v>4</v>
      </c>
      <c r="R20" s="28" t="s">
        <v>168</v>
      </c>
      <c r="S20" s="28">
        <v>1</v>
      </c>
      <c r="T20" s="7"/>
      <c r="Y20" s="15"/>
      <c r="Z20" s="36"/>
      <c r="AA20" s="7"/>
      <c r="AB20" s="7"/>
      <c r="AC20" s="7"/>
    </row>
    <row r="21" spans="1:29" x14ac:dyDescent="0.25">
      <c r="A21" s="28" t="s">
        <v>137</v>
      </c>
      <c r="B21" s="28">
        <v>25</v>
      </c>
      <c r="C21" s="28" t="s">
        <v>69</v>
      </c>
      <c r="D21" s="28">
        <v>1</v>
      </c>
      <c r="E21" s="36"/>
      <c r="H21" s="7"/>
      <c r="J21" s="52" t="s">
        <v>123</v>
      </c>
      <c r="K21" s="52">
        <v>-2</v>
      </c>
      <c r="L21" s="52" t="s">
        <v>83</v>
      </c>
      <c r="M21" s="52">
        <v>1</v>
      </c>
      <c r="N21" s="7"/>
      <c r="O21" s="7"/>
      <c r="P21" s="39" t="s">
        <v>139</v>
      </c>
      <c r="Q21" s="28">
        <v>5</v>
      </c>
      <c r="R21" s="28" t="s">
        <v>26</v>
      </c>
      <c r="S21" s="28">
        <v>1</v>
      </c>
      <c r="T21" s="7"/>
      <c r="Y21" s="15"/>
      <c r="Z21" s="36"/>
      <c r="AA21" s="7"/>
      <c r="AB21" s="7"/>
      <c r="AC21" s="7"/>
    </row>
    <row r="22" spans="1:29" x14ac:dyDescent="0.25">
      <c r="A22" s="28" t="s">
        <v>139</v>
      </c>
      <c r="B22" s="28">
        <v>16</v>
      </c>
      <c r="C22" s="28" t="s">
        <v>63</v>
      </c>
      <c r="D22" s="28">
        <v>1</v>
      </c>
      <c r="E22" s="36"/>
      <c r="H22" s="7"/>
      <c r="J22" s="52" t="s">
        <v>123</v>
      </c>
      <c r="K22" s="52">
        <v>-1</v>
      </c>
      <c r="L22" s="52" t="s">
        <v>83</v>
      </c>
      <c r="M22" s="52">
        <v>1</v>
      </c>
      <c r="N22" s="7"/>
      <c r="O22" s="7"/>
      <c r="P22" s="39" t="s">
        <v>139</v>
      </c>
      <c r="Q22" s="28">
        <v>6</v>
      </c>
      <c r="R22" s="28" t="s">
        <v>26</v>
      </c>
      <c r="S22" s="28">
        <v>1</v>
      </c>
      <c r="T22" s="7"/>
      <c r="Y22" s="15"/>
      <c r="Z22" s="7"/>
      <c r="AA22" s="7"/>
      <c r="AB22" s="7"/>
      <c r="AC22" s="7"/>
    </row>
    <row r="23" spans="1:29" x14ac:dyDescent="0.25">
      <c r="A23" s="28" t="s">
        <v>139</v>
      </c>
      <c r="B23" s="28">
        <v>17</v>
      </c>
      <c r="C23" s="28" t="s">
        <v>63</v>
      </c>
      <c r="D23" s="28">
        <v>1</v>
      </c>
      <c r="E23" s="36"/>
      <c r="H23" s="7"/>
      <c r="J23" s="52" t="s">
        <v>123</v>
      </c>
      <c r="K23" s="52">
        <v>0</v>
      </c>
      <c r="L23" s="52" t="s">
        <v>60</v>
      </c>
      <c r="M23" s="52">
        <v>1</v>
      </c>
      <c r="N23" s="7"/>
      <c r="O23" s="7"/>
      <c r="P23" s="39" t="s">
        <v>139</v>
      </c>
      <c r="Q23" s="28">
        <v>7</v>
      </c>
      <c r="R23" s="28" t="s">
        <v>26</v>
      </c>
      <c r="S23" s="28">
        <v>1</v>
      </c>
      <c r="T23" s="7"/>
      <c r="Y23" s="15"/>
      <c r="Z23" s="7"/>
      <c r="AA23" s="7"/>
      <c r="AB23" s="7"/>
      <c r="AC23" s="7"/>
    </row>
    <row r="24" spans="1:29" x14ac:dyDescent="0.25">
      <c r="A24" s="28" t="s">
        <v>139</v>
      </c>
      <c r="B24" s="28">
        <v>18</v>
      </c>
      <c r="C24" s="28" t="s">
        <v>63</v>
      </c>
      <c r="D24" s="28">
        <v>1</v>
      </c>
      <c r="E24" s="36"/>
      <c r="H24" s="7"/>
      <c r="J24" s="52" t="s">
        <v>124</v>
      </c>
      <c r="K24" s="52">
        <v>-6</v>
      </c>
      <c r="L24" s="52" t="s">
        <v>31</v>
      </c>
      <c r="M24" s="52">
        <v>1</v>
      </c>
      <c r="N24" s="7"/>
      <c r="O24" s="7"/>
      <c r="P24" s="39" t="s">
        <v>139</v>
      </c>
      <c r="Q24" s="28">
        <v>8</v>
      </c>
      <c r="R24" s="28" t="s">
        <v>26</v>
      </c>
      <c r="S24" s="28">
        <v>1</v>
      </c>
      <c r="T24" s="7"/>
      <c r="Y24" s="15"/>
      <c r="Z24" s="7"/>
      <c r="AA24" s="7"/>
      <c r="AB24" s="7"/>
      <c r="AC24" s="7"/>
    </row>
    <row r="25" spans="1:29" x14ac:dyDescent="0.25">
      <c r="A25" s="28" t="s">
        <v>141</v>
      </c>
      <c r="B25" s="28">
        <v>13</v>
      </c>
      <c r="C25" s="28" t="s">
        <v>69</v>
      </c>
      <c r="D25" s="28">
        <v>1</v>
      </c>
      <c r="E25" s="36"/>
      <c r="H25" s="7"/>
      <c r="J25" s="52" t="s">
        <v>124</v>
      </c>
      <c r="K25" s="52">
        <v>-5</v>
      </c>
      <c r="L25" s="52" t="s">
        <v>31</v>
      </c>
      <c r="M25" s="52">
        <v>1</v>
      </c>
      <c r="N25" s="7"/>
      <c r="O25" s="7"/>
      <c r="P25" s="39" t="s">
        <v>131</v>
      </c>
      <c r="Q25" s="28">
        <v>21</v>
      </c>
      <c r="R25" s="28" t="s">
        <v>19</v>
      </c>
      <c r="S25" s="28">
        <v>1</v>
      </c>
      <c r="T25" s="7"/>
      <c r="Y25" s="15"/>
      <c r="Z25" s="7"/>
      <c r="AA25" s="7"/>
      <c r="AB25" s="7"/>
      <c r="AC25" s="7"/>
    </row>
    <row r="26" spans="1:29" x14ac:dyDescent="0.25">
      <c r="A26" s="28" t="s">
        <v>141</v>
      </c>
      <c r="B26" s="28">
        <v>14</v>
      </c>
      <c r="C26" s="28" t="s">
        <v>69</v>
      </c>
      <c r="D26" s="28">
        <v>1</v>
      </c>
      <c r="E26" s="36"/>
      <c r="H26" s="7"/>
      <c r="J26" s="52" t="s">
        <v>124</v>
      </c>
      <c r="K26" s="52">
        <v>-4</v>
      </c>
      <c r="L26" s="52" t="s">
        <v>31</v>
      </c>
      <c r="M26" s="52">
        <v>1</v>
      </c>
      <c r="N26" s="7"/>
      <c r="O26" s="7"/>
      <c r="P26" s="39" t="s">
        <v>140</v>
      </c>
      <c r="Q26" s="28">
        <v>21</v>
      </c>
      <c r="R26" s="28" t="s">
        <v>26</v>
      </c>
      <c r="S26" s="28">
        <v>0</v>
      </c>
      <c r="T26" s="7"/>
      <c r="Y26" s="15"/>
      <c r="Z26" s="7"/>
      <c r="AA26" s="7"/>
      <c r="AB26" s="7"/>
      <c r="AC26" s="7"/>
    </row>
    <row r="27" spans="1:29" x14ac:dyDescent="0.25">
      <c r="A27" s="28" t="s">
        <v>143</v>
      </c>
      <c r="B27" s="28">
        <v>30</v>
      </c>
      <c r="C27" s="28" t="s">
        <v>63</v>
      </c>
      <c r="D27" s="28">
        <v>1</v>
      </c>
      <c r="E27" s="36"/>
      <c r="H27" s="7"/>
      <c r="J27" s="52" t="s">
        <v>124</v>
      </c>
      <c r="K27" s="52">
        <v>-3</v>
      </c>
      <c r="L27" s="52" t="s">
        <v>31</v>
      </c>
      <c r="M27" s="52">
        <v>1</v>
      </c>
      <c r="N27" s="7"/>
      <c r="O27" s="7"/>
      <c r="P27" s="39" t="s">
        <v>140</v>
      </c>
      <c r="Q27" s="28">
        <v>21</v>
      </c>
      <c r="R27" s="28" t="s">
        <v>19</v>
      </c>
      <c r="S27" s="28">
        <v>0</v>
      </c>
      <c r="T27" s="7"/>
      <c r="Y27" s="15"/>
      <c r="Z27" s="7"/>
      <c r="AA27" s="7"/>
      <c r="AB27" s="7"/>
      <c r="AC27" s="7"/>
    </row>
    <row r="28" spans="1:29" x14ac:dyDescent="0.25">
      <c r="A28" s="28" t="s">
        <v>143</v>
      </c>
      <c r="B28" s="28">
        <v>31</v>
      </c>
      <c r="C28" s="28" t="s">
        <v>63</v>
      </c>
      <c r="D28" s="28">
        <v>1</v>
      </c>
      <c r="E28" s="36"/>
      <c r="H28" s="7"/>
      <c r="J28" s="52" t="s">
        <v>124</v>
      </c>
      <c r="K28" s="52">
        <v>-2</v>
      </c>
      <c r="L28" s="52" t="s">
        <v>83</v>
      </c>
      <c r="M28" s="52">
        <v>1</v>
      </c>
      <c r="N28" s="7"/>
      <c r="O28" s="7"/>
      <c r="P28" s="39" t="s">
        <v>140</v>
      </c>
      <c r="Q28" s="28">
        <v>21</v>
      </c>
      <c r="R28" s="28" t="s">
        <v>53</v>
      </c>
      <c r="S28" s="28">
        <v>0</v>
      </c>
      <c r="T28" s="7"/>
      <c r="Y28" s="15"/>
      <c r="Z28" s="7"/>
      <c r="AA28" s="7"/>
      <c r="AB28" s="7"/>
      <c r="AC28" s="7"/>
    </row>
    <row r="29" spans="1:29" x14ac:dyDescent="0.25">
      <c r="A29" s="28" t="s">
        <v>143</v>
      </c>
      <c r="B29" s="28">
        <v>32</v>
      </c>
      <c r="C29" s="28" t="s">
        <v>63</v>
      </c>
      <c r="D29" s="28">
        <v>1</v>
      </c>
      <c r="E29" s="36"/>
      <c r="H29" s="7"/>
      <c r="J29" s="52" t="s">
        <v>124</v>
      </c>
      <c r="K29" s="52">
        <v>-1</v>
      </c>
      <c r="L29" s="52" t="s">
        <v>83</v>
      </c>
      <c r="M29" s="52">
        <v>1</v>
      </c>
      <c r="N29" s="7"/>
      <c r="O29" s="7"/>
      <c r="P29" s="39" t="s">
        <v>140</v>
      </c>
      <c r="Q29" s="28">
        <v>21</v>
      </c>
      <c r="R29" s="28" t="s">
        <v>35</v>
      </c>
      <c r="S29" s="28">
        <v>0</v>
      </c>
      <c r="T29" s="7"/>
      <c r="Y29" s="15"/>
      <c r="Z29" s="7"/>
      <c r="AA29" s="7"/>
      <c r="AB29" s="7"/>
      <c r="AC29" s="7"/>
    </row>
    <row r="30" spans="1:29" x14ac:dyDescent="0.25">
      <c r="A30" s="28" t="s">
        <v>143</v>
      </c>
      <c r="B30" s="28">
        <v>33</v>
      </c>
      <c r="C30" s="28" t="s">
        <v>63</v>
      </c>
      <c r="D30" s="28">
        <v>1</v>
      </c>
      <c r="E30" s="36"/>
      <c r="H30" s="7"/>
      <c r="J30" s="52" t="s">
        <v>124</v>
      </c>
      <c r="K30" s="52">
        <v>0</v>
      </c>
      <c r="L30" s="52" t="s">
        <v>5</v>
      </c>
      <c r="M30" s="52">
        <v>1</v>
      </c>
      <c r="N30" s="7"/>
      <c r="O30" s="7"/>
      <c r="P30" s="39" t="s">
        <v>140</v>
      </c>
      <c r="Q30" s="28">
        <v>21</v>
      </c>
      <c r="R30" s="28" t="s">
        <v>38</v>
      </c>
      <c r="S30" s="28">
        <v>0</v>
      </c>
      <c r="T30" s="7"/>
      <c r="Y30" s="15"/>
      <c r="Z30" s="7"/>
      <c r="AA30" s="7"/>
      <c r="AB30" s="7"/>
      <c r="AC30" s="7"/>
    </row>
    <row r="31" spans="1:29" x14ac:dyDescent="0.25">
      <c r="A31" s="28" t="s">
        <v>143</v>
      </c>
      <c r="B31" s="28">
        <v>34</v>
      </c>
      <c r="C31" s="28" t="s">
        <v>63</v>
      </c>
      <c r="D31" s="28">
        <v>1</v>
      </c>
      <c r="E31" s="36"/>
      <c r="H31" s="7"/>
      <c r="J31" s="52" t="s">
        <v>125</v>
      </c>
      <c r="K31" s="52">
        <v>-6</v>
      </c>
      <c r="L31" s="52" t="s">
        <v>31</v>
      </c>
      <c r="M31" s="52">
        <v>1</v>
      </c>
      <c r="N31" s="7"/>
      <c r="O31" s="7"/>
      <c r="P31" s="39" t="s">
        <v>140</v>
      </c>
      <c r="Q31" s="28">
        <v>27</v>
      </c>
      <c r="R31" s="28" t="s">
        <v>17</v>
      </c>
      <c r="S31" s="28">
        <v>0</v>
      </c>
      <c r="T31" s="7"/>
      <c r="Y31" s="15"/>
      <c r="Z31" s="7"/>
      <c r="AA31" s="7"/>
      <c r="AB31" s="7"/>
      <c r="AC31" s="7"/>
    </row>
    <row r="32" spans="1:29" x14ac:dyDescent="0.25">
      <c r="A32" s="28" t="s">
        <v>138</v>
      </c>
      <c r="B32" s="28">
        <v>7</v>
      </c>
      <c r="C32" s="28" t="s">
        <v>84</v>
      </c>
      <c r="D32" s="28">
        <v>1</v>
      </c>
      <c r="E32" s="36"/>
      <c r="H32" s="7"/>
      <c r="J32" s="52" t="s">
        <v>125</v>
      </c>
      <c r="K32" s="52">
        <v>-5</v>
      </c>
      <c r="L32" s="52" t="s">
        <v>53</v>
      </c>
      <c r="M32" s="52">
        <v>1</v>
      </c>
      <c r="N32" s="7"/>
      <c r="O32" s="7"/>
      <c r="P32" s="39" t="s">
        <v>140</v>
      </c>
      <c r="Q32" s="28">
        <v>27</v>
      </c>
      <c r="R32" s="28" t="s">
        <v>53</v>
      </c>
      <c r="S32" s="28">
        <v>0</v>
      </c>
      <c r="T32" s="7"/>
      <c r="Z32" s="7"/>
      <c r="AA32" s="7"/>
      <c r="AB32" s="7"/>
      <c r="AC32" s="7"/>
    </row>
    <row r="33" spans="1:29" x14ac:dyDescent="0.25">
      <c r="A33" s="28" t="s">
        <v>138</v>
      </c>
      <c r="B33" s="28">
        <v>8</v>
      </c>
      <c r="C33" s="28" t="s">
        <v>84</v>
      </c>
      <c r="D33" s="28">
        <v>1</v>
      </c>
      <c r="E33" s="36"/>
      <c r="J33" s="51" t="s">
        <v>125</v>
      </c>
      <c r="K33" s="51">
        <v>-4</v>
      </c>
      <c r="L33" s="51" t="s">
        <v>65</v>
      </c>
      <c r="M33" s="51">
        <v>1</v>
      </c>
      <c r="P33" s="39" t="s">
        <v>140</v>
      </c>
      <c r="Q33" s="28">
        <v>27</v>
      </c>
      <c r="R33" s="28" t="s">
        <v>6</v>
      </c>
      <c r="S33" s="28">
        <v>0</v>
      </c>
      <c r="Z33" s="7"/>
      <c r="AA33" s="7"/>
      <c r="AB33" s="7"/>
      <c r="AC33" s="7"/>
    </row>
    <row r="34" spans="1:29" x14ac:dyDescent="0.25">
      <c r="A34" s="28" t="s">
        <v>138</v>
      </c>
      <c r="B34" s="28">
        <v>9</v>
      </c>
      <c r="C34" s="28" t="s">
        <v>63</v>
      </c>
      <c r="D34" s="28">
        <v>1</v>
      </c>
      <c r="E34" s="36"/>
      <c r="J34" s="51" t="s">
        <v>125</v>
      </c>
      <c r="K34" s="51">
        <v>-3</v>
      </c>
      <c r="L34" s="51" t="s">
        <v>31</v>
      </c>
      <c r="M34" s="51">
        <v>1</v>
      </c>
      <c r="P34" s="39" t="s">
        <v>140</v>
      </c>
      <c r="Q34" s="28">
        <v>27</v>
      </c>
      <c r="R34" s="28" t="s">
        <v>80</v>
      </c>
      <c r="S34" s="28">
        <v>0</v>
      </c>
      <c r="Z34" s="7"/>
      <c r="AA34" s="7"/>
      <c r="AB34" s="7"/>
      <c r="AC34" s="7"/>
    </row>
    <row r="35" spans="1:29" x14ac:dyDescent="0.25">
      <c r="A35" s="28" t="s">
        <v>138</v>
      </c>
      <c r="B35" s="28">
        <v>10</v>
      </c>
      <c r="C35" s="28" t="s">
        <v>63</v>
      </c>
      <c r="D35" s="28">
        <v>1</v>
      </c>
      <c r="E35" s="36"/>
      <c r="J35" s="51" t="s">
        <v>125</v>
      </c>
      <c r="K35" s="51">
        <v>-2</v>
      </c>
      <c r="L35" s="51" t="s">
        <v>35</v>
      </c>
      <c r="M35" s="51">
        <v>1</v>
      </c>
      <c r="P35" s="39" t="s">
        <v>140</v>
      </c>
      <c r="Q35" s="28">
        <v>27</v>
      </c>
      <c r="R35" s="28" t="s">
        <v>43</v>
      </c>
      <c r="S35" s="28">
        <v>0</v>
      </c>
      <c r="Z35" s="7"/>
      <c r="AA35" s="7"/>
      <c r="AB35" s="7"/>
      <c r="AC35" s="7"/>
    </row>
    <row r="36" spans="1:29" x14ac:dyDescent="0.25">
      <c r="A36" s="28" t="s">
        <v>138</v>
      </c>
      <c r="B36" s="28">
        <v>11</v>
      </c>
      <c r="C36" s="28" t="s">
        <v>63</v>
      </c>
      <c r="D36" s="28">
        <v>1</v>
      </c>
      <c r="E36" s="36"/>
      <c r="J36" s="51" t="s">
        <v>125</v>
      </c>
      <c r="K36" s="51">
        <v>-1</v>
      </c>
      <c r="L36" s="51" t="s">
        <v>53</v>
      </c>
      <c r="M36" s="51">
        <v>1</v>
      </c>
      <c r="P36" s="39" t="s">
        <v>133</v>
      </c>
      <c r="Q36" s="28">
        <v>14</v>
      </c>
      <c r="R36" s="28" t="s">
        <v>17</v>
      </c>
      <c r="S36" s="28">
        <v>0</v>
      </c>
      <c r="Z36" s="36"/>
      <c r="AA36" s="36"/>
      <c r="AB36" s="36"/>
      <c r="AC36" s="36"/>
    </row>
    <row r="37" spans="1:29" x14ac:dyDescent="0.25">
      <c r="A37" s="28" t="s">
        <v>138</v>
      </c>
      <c r="B37" s="28">
        <v>12</v>
      </c>
      <c r="C37" s="28" t="s">
        <v>63</v>
      </c>
      <c r="D37" s="28">
        <v>1</v>
      </c>
      <c r="E37" s="36"/>
      <c r="J37" s="51" t="s">
        <v>125</v>
      </c>
      <c r="K37" s="51">
        <v>0</v>
      </c>
      <c r="L37" s="51" t="s">
        <v>65</v>
      </c>
      <c r="M37" s="51">
        <v>1</v>
      </c>
      <c r="P37" s="39" t="s">
        <v>133</v>
      </c>
      <c r="Q37" s="28">
        <v>14</v>
      </c>
      <c r="R37" s="28" t="s">
        <v>53</v>
      </c>
      <c r="S37" s="28">
        <v>0</v>
      </c>
      <c r="Z37" s="36"/>
      <c r="AA37" s="36"/>
      <c r="AB37" s="36"/>
      <c r="AC37" s="36"/>
    </row>
    <row r="38" spans="1:29" x14ac:dyDescent="0.25">
      <c r="A38" s="28" t="s">
        <v>138</v>
      </c>
      <c r="B38" s="28">
        <v>13</v>
      </c>
      <c r="C38" s="28" t="s">
        <v>63</v>
      </c>
      <c r="D38" s="28">
        <v>1</v>
      </c>
      <c r="E38" s="36"/>
      <c r="J38" s="51" t="s">
        <v>126</v>
      </c>
      <c r="K38" s="51">
        <v>-6</v>
      </c>
      <c r="L38" s="51" t="s">
        <v>31</v>
      </c>
      <c r="M38" s="51">
        <v>1</v>
      </c>
      <c r="P38" s="39" t="s">
        <v>133</v>
      </c>
      <c r="Q38" s="28">
        <v>14</v>
      </c>
      <c r="R38" s="28" t="s">
        <v>19</v>
      </c>
      <c r="S38" s="28">
        <v>0</v>
      </c>
      <c r="Z38" s="36"/>
      <c r="AA38" s="36"/>
      <c r="AB38" s="36"/>
      <c r="AC38" s="36"/>
    </row>
    <row r="39" spans="1:29" x14ac:dyDescent="0.25">
      <c r="A39" s="28" t="s">
        <v>138</v>
      </c>
      <c r="B39" s="28">
        <v>14</v>
      </c>
      <c r="C39" s="28" t="s">
        <v>84</v>
      </c>
      <c r="D39" s="28">
        <v>1</v>
      </c>
      <c r="E39" s="36"/>
      <c r="J39" s="51" t="s">
        <v>126</v>
      </c>
      <c r="K39" s="51">
        <v>-5</v>
      </c>
      <c r="L39" s="51" t="s">
        <v>6</v>
      </c>
      <c r="M39" s="51">
        <v>1</v>
      </c>
      <c r="P39" s="39" t="s">
        <v>133</v>
      </c>
      <c r="Q39" s="28">
        <v>14</v>
      </c>
      <c r="R39" s="28" t="s">
        <v>372</v>
      </c>
      <c r="S39" s="28">
        <v>0</v>
      </c>
      <c r="Z39" s="36"/>
      <c r="AA39" s="36"/>
      <c r="AB39" s="36"/>
      <c r="AC39" s="36"/>
    </row>
    <row r="40" spans="1:29" x14ac:dyDescent="0.25">
      <c r="A40" s="28" t="s">
        <v>138</v>
      </c>
      <c r="B40" s="28">
        <v>15</v>
      </c>
      <c r="C40" s="28" t="s">
        <v>84</v>
      </c>
      <c r="D40" s="28">
        <v>1</v>
      </c>
      <c r="E40" s="36"/>
      <c r="J40" s="51" t="s">
        <v>126</v>
      </c>
      <c r="K40" s="51">
        <v>-4</v>
      </c>
      <c r="L40" s="51" t="s">
        <v>31</v>
      </c>
      <c r="M40" s="51">
        <v>1</v>
      </c>
      <c r="P40" s="39" t="s">
        <v>133</v>
      </c>
      <c r="Q40" s="28">
        <v>14</v>
      </c>
      <c r="R40" s="28" t="s">
        <v>35</v>
      </c>
      <c r="S40" s="28">
        <v>0</v>
      </c>
      <c r="Z40" s="36"/>
      <c r="AA40" s="36"/>
      <c r="AB40" s="36"/>
      <c r="AC40" s="36"/>
    </row>
    <row r="41" spans="1:29" x14ac:dyDescent="0.25">
      <c r="A41" s="28" t="s">
        <v>138</v>
      </c>
      <c r="B41" s="28">
        <v>16</v>
      </c>
      <c r="C41" s="28" t="s">
        <v>63</v>
      </c>
      <c r="D41" s="28">
        <v>1</v>
      </c>
      <c r="E41" s="36"/>
      <c r="J41" s="51" t="s">
        <v>126</v>
      </c>
      <c r="K41" s="51">
        <v>-3</v>
      </c>
      <c r="L41" s="51" t="s">
        <v>31</v>
      </c>
      <c r="M41" s="51">
        <v>1</v>
      </c>
      <c r="P41" s="39" t="s">
        <v>133</v>
      </c>
      <c r="Q41" s="28">
        <v>14</v>
      </c>
      <c r="R41" s="28" t="s">
        <v>38</v>
      </c>
      <c r="S41" s="28">
        <v>0</v>
      </c>
      <c r="Z41" s="36"/>
      <c r="AA41" s="36"/>
      <c r="AB41" s="36"/>
      <c r="AC41" s="36"/>
    </row>
    <row r="42" spans="1:29" x14ac:dyDescent="0.25">
      <c r="A42" s="28" t="s">
        <v>138</v>
      </c>
      <c r="B42" s="28">
        <v>17</v>
      </c>
      <c r="C42" s="28" t="s">
        <v>63</v>
      </c>
      <c r="D42" s="28">
        <v>1</v>
      </c>
      <c r="E42" s="36"/>
      <c r="J42" s="51" t="s">
        <v>126</v>
      </c>
      <c r="K42" s="51">
        <v>-2</v>
      </c>
      <c r="L42" s="51" t="s">
        <v>83</v>
      </c>
      <c r="M42" s="51">
        <v>1</v>
      </c>
      <c r="P42" s="39" t="s">
        <v>133</v>
      </c>
      <c r="Q42" s="28">
        <v>15</v>
      </c>
      <c r="R42" s="28" t="s">
        <v>17</v>
      </c>
      <c r="S42" s="28">
        <v>0</v>
      </c>
      <c r="Z42" s="36"/>
      <c r="AA42" s="36"/>
      <c r="AB42" s="36"/>
      <c r="AC42" s="36"/>
    </row>
    <row r="43" spans="1:29" x14ac:dyDescent="0.25">
      <c r="A43" s="28" t="s">
        <v>138</v>
      </c>
      <c r="B43" s="28">
        <v>18</v>
      </c>
      <c r="C43" s="28" t="s">
        <v>63</v>
      </c>
      <c r="D43" s="28">
        <v>1</v>
      </c>
      <c r="E43" s="36"/>
      <c r="J43" s="51" t="s">
        <v>126</v>
      </c>
      <c r="K43" s="51">
        <v>-1</v>
      </c>
      <c r="L43" s="51" t="s">
        <v>83</v>
      </c>
      <c r="M43" s="51">
        <v>1</v>
      </c>
      <c r="P43" s="39" t="s">
        <v>133</v>
      </c>
      <c r="Q43" s="28">
        <v>15</v>
      </c>
      <c r="R43" s="28" t="s">
        <v>53</v>
      </c>
      <c r="S43" s="28">
        <v>0</v>
      </c>
      <c r="Z43" s="36"/>
      <c r="AA43" s="36"/>
      <c r="AB43" s="36"/>
      <c r="AC43" s="36"/>
    </row>
    <row r="44" spans="1:29" x14ac:dyDescent="0.25">
      <c r="A44" s="28" t="s">
        <v>138</v>
      </c>
      <c r="B44" s="28">
        <v>19</v>
      </c>
      <c r="C44" s="28" t="s">
        <v>63</v>
      </c>
      <c r="D44" s="28">
        <v>1</v>
      </c>
      <c r="E44" s="36"/>
      <c r="J44" s="51" t="s">
        <v>126</v>
      </c>
      <c r="K44" s="51">
        <v>0</v>
      </c>
      <c r="L44" s="51" t="s">
        <v>31</v>
      </c>
      <c r="M44" s="51">
        <v>1</v>
      </c>
      <c r="P44" s="39" t="s">
        <v>133</v>
      </c>
      <c r="Q44" s="28">
        <v>15</v>
      </c>
      <c r="R44" s="28" t="s">
        <v>19</v>
      </c>
      <c r="S44" s="28">
        <v>0</v>
      </c>
      <c r="Z44" s="36"/>
      <c r="AA44" s="36"/>
      <c r="AB44" s="36"/>
      <c r="AC44" s="36"/>
    </row>
    <row r="45" spans="1:29" x14ac:dyDescent="0.25">
      <c r="A45" s="28" t="s">
        <v>138</v>
      </c>
      <c r="B45" s="28">
        <v>20</v>
      </c>
      <c r="C45" s="28" t="s">
        <v>63</v>
      </c>
      <c r="D45" s="28">
        <v>1</v>
      </c>
      <c r="E45" s="36"/>
      <c r="J45" s="51" t="s">
        <v>127</v>
      </c>
      <c r="K45" s="51">
        <v>-6</v>
      </c>
      <c r="L45" s="51" t="s">
        <v>17</v>
      </c>
      <c r="M45" s="51">
        <v>1</v>
      </c>
      <c r="P45" s="39" t="s">
        <v>133</v>
      </c>
      <c r="Q45" s="28">
        <v>15</v>
      </c>
      <c r="R45" s="28" t="s">
        <v>372</v>
      </c>
      <c r="S45" s="28">
        <v>0</v>
      </c>
      <c r="Z45" s="36"/>
      <c r="AA45" s="36"/>
      <c r="AB45" s="36"/>
      <c r="AC45" s="36"/>
    </row>
    <row r="46" spans="1:29" x14ac:dyDescent="0.25">
      <c r="A46" s="28" t="s">
        <v>138</v>
      </c>
      <c r="B46" s="28">
        <v>21</v>
      </c>
      <c r="C46" s="28" t="s">
        <v>84</v>
      </c>
      <c r="D46" s="28">
        <v>1</v>
      </c>
      <c r="E46" s="36"/>
      <c r="J46" s="51" t="s">
        <v>127</v>
      </c>
      <c r="K46" s="51">
        <v>-5</v>
      </c>
      <c r="L46" s="51" t="s">
        <v>65</v>
      </c>
      <c r="M46" s="51">
        <v>1</v>
      </c>
      <c r="P46" s="39" t="s">
        <v>133</v>
      </c>
      <c r="Q46" s="28">
        <v>15</v>
      </c>
      <c r="R46" s="28" t="s">
        <v>35</v>
      </c>
      <c r="S46" s="28">
        <v>0</v>
      </c>
      <c r="Z46" s="36"/>
      <c r="AA46" s="36"/>
      <c r="AB46" s="36"/>
      <c r="AC46" s="36"/>
    </row>
    <row r="47" spans="1:29" x14ac:dyDescent="0.25">
      <c r="A47" s="28" t="s">
        <v>138</v>
      </c>
      <c r="B47" s="28">
        <v>22</v>
      </c>
      <c r="C47" s="28" t="s">
        <v>84</v>
      </c>
      <c r="D47" s="28">
        <v>1</v>
      </c>
      <c r="E47" s="36"/>
      <c r="J47" s="51" t="s">
        <v>127</v>
      </c>
      <c r="K47" s="51">
        <v>-4</v>
      </c>
      <c r="L47" s="51" t="s">
        <v>31</v>
      </c>
      <c r="M47" s="51">
        <v>1</v>
      </c>
      <c r="P47" s="39" t="s">
        <v>133</v>
      </c>
      <c r="Q47" s="28">
        <v>15</v>
      </c>
      <c r="R47" s="28" t="s">
        <v>38</v>
      </c>
      <c r="S47" s="28">
        <v>0</v>
      </c>
      <c r="Z47" s="36"/>
      <c r="AA47" s="36"/>
      <c r="AB47" s="36"/>
      <c r="AC47" s="36"/>
    </row>
    <row r="48" spans="1:29" x14ac:dyDescent="0.25">
      <c r="A48" s="28" t="s">
        <v>138</v>
      </c>
      <c r="B48" s="28">
        <v>23</v>
      </c>
      <c r="C48" s="28" t="s">
        <v>63</v>
      </c>
      <c r="D48" s="28">
        <v>1</v>
      </c>
      <c r="E48" s="36"/>
      <c r="J48" s="51" t="s">
        <v>127</v>
      </c>
      <c r="K48" s="51">
        <v>-3</v>
      </c>
      <c r="L48" s="51" t="s">
        <v>31</v>
      </c>
      <c r="M48" s="51">
        <v>1</v>
      </c>
      <c r="P48" s="39" t="s">
        <v>143</v>
      </c>
      <c r="Q48" s="28">
        <v>7</v>
      </c>
      <c r="R48" s="28" t="s">
        <v>83</v>
      </c>
      <c r="S48" s="28">
        <v>1</v>
      </c>
      <c r="Z48" s="36"/>
      <c r="AA48" s="36"/>
      <c r="AB48" s="36"/>
      <c r="AC48" s="36"/>
    </row>
    <row r="49" spans="1:29" x14ac:dyDescent="0.25">
      <c r="A49" s="28" t="s">
        <v>138</v>
      </c>
      <c r="B49" s="28">
        <v>24</v>
      </c>
      <c r="C49" s="28" t="s">
        <v>63</v>
      </c>
      <c r="D49" s="28">
        <v>1</v>
      </c>
      <c r="E49" s="36"/>
      <c r="J49" s="51" t="s">
        <v>127</v>
      </c>
      <c r="K49" s="51">
        <v>-2</v>
      </c>
      <c r="L49" s="51" t="s">
        <v>83</v>
      </c>
      <c r="M49" s="51">
        <v>1</v>
      </c>
      <c r="P49" s="39" t="s">
        <v>143</v>
      </c>
      <c r="Q49" s="28">
        <v>8</v>
      </c>
      <c r="R49" s="28" t="s">
        <v>83</v>
      </c>
      <c r="S49" s="28">
        <v>1</v>
      </c>
      <c r="Z49" s="36"/>
      <c r="AA49" s="36"/>
      <c r="AB49" s="36"/>
      <c r="AC49" s="36"/>
    </row>
    <row r="50" spans="1:29" x14ac:dyDescent="0.25">
      <c r="A50" s="28" t="s">
        <v>138</v>
      </c>
      <c r="B50" s="28">
        <v>25</v>
      </c>
      <c r="C50" s="28" t="s">
        <v>63</v>
      </c>
      <c r="D50" s="28">
        <v>1</v>
      </c>
      <c r="E50" s="36"/>
      <c r="J50" s="51" t="s">
        <v>127</v>
      </c>
      <c r="K50" s="51">
        <v>-1</v>
      </c>
      <c r="L50" s="51" t="s">
        <v>83</v>
      </c>
      <c r="M50" s="51">
        <v>1</v>
      </c>
      <c r="P50" s="39" t="s">
        <v>143</v>
      </c>
      <c r="Q50" s="28">
        <v>24</v>
      </c>
      <c r="R50" s="28" t="s">
        <v>31</v>
      </c>
      <c r="S50" s="28">
        <v>1</v>
      </c>
      <c r="Z50" s="36"/>
      <c r="AA50" s="36"/>
      <c r="AB50" s="36"/>
      <c r="AC50" s="36"/>
    </row>
    <row r="51" spans="1:29" x14ac:dyDescent="0.25">
      <c r="A51" s="28" t="s">
        <v>138</v>
      </c>
      <c r="B51" s="28">
        <v>26</v>
      </c>
      <c r="C51" s="28" t="s">
        <v>63</v>
      </c>
      <c r="D51" s="28">
        <v>1</v>
      </c>
      <c r="E51" s="36"/>
      <c r="J51" s="51" t="s">
        <v>127</v>
      </c>
      <c r="K51" s="51">
        <v>0</v>
      </c>
      <c r="L51" s="51" t="s">
        <v>31</v>
      </c>
      <c r="M51" s="51">
        <v>1</v>
      </c>
      <c r="P51" s="28" t="s">
        <v>337</v>
      </c>
      <c r="Q51" s="28">
        <v>2</v>
      </c>
      <c r="R51" s="28" t="s">
        <v>31</v>
      </c>
      <c r="S51" s="28">
        <v>1</v>
      </c>
      <c r="Z51" s="36"/>
      <c r="AA51" s="36"/>
      <c r="AB51" s="36"/>
      <c r="AC51" s="36"/>
    </row>
    <row r="52" spans="1:29" x14ac:dyDescent="0.25">
      <c r="A52" s="28" t="s">
        <v>138</v>
      </c>
      <c r="B52" s="28">
        <v>27</v>
      </c>
      <c r="C52" s="28" t="s">
        <v>63</v>
      </c>
      <c r="D52" s="28">
        <v>1</v>
      </c>
      <c r="E52" s="36"/>
      <c r="J52" s="51" t="s">
        <v>128</v>
      </c>
      <c r="K52" s="51">
        <v>-6</v>
      </c>
      <c r="L52" s="51" t="s">
        <v>60</v>
      </c>
      <c r="M52" s="51">
        <v>1</v>
      </c>
      <c r="P52" s="39" t="s">
        <v>126</v>
      </c>
      <c r="Q52" s="28">
        <v>5</v>
      </c>
      <c r="R52" s="28" t="s">
        <v>17</v>
      </c>
      <c r="S52" s="28">
        <v>1</v>
      </c>
      <c r="Z52" s="36"/>
      <c r="AA52" s="36"/>
      <c r="AB52" s="36"/>
      <c r="AC52" s="36"/>
    </row>
    <row r="53" spans="1:29" x14ac:dyDescent="0.25">
      <c r="A53" s="28" t="s">
        <v>138</v>
      </c>
      <c r="B53" s="28">
        <v>28</v>
      </c>
      <c r="C53" s="28" t="s">
        <v>84</v>
      </c>
      <c r="D53" s="28">
        <v>1</v>
      </c>
      <c r="E53" s="36"/>
      <c r="J53" s="51" t="s">
        <v>128</v>
      </c>
      <c r="K53" s="51">
        <v>-5</v>
      </c>
      <c r="L53" s="51" t="s">
        <v>60</v>
      </c>
      <c r="M53" s="51">
        <v>1</v>
      </c>
      <c r="P53" s="39" t="s">
        <v>126</v>
      </c>
      <c r="Q53" s="28">
        <v>21</v>
      </c>
      <c r="R53" s="28" t="s">
        <v>19</v>
      </c>
      <c r="S53" s="28">
        <v>1</v>
      </c>
      <c r="Z53" s="36"/>
      <c r="AA53" s="36"/>
      <c r="AB53" s="36"/>
      <c r="AC53" s="36"/>
    </row>
    <row r="54" spans="1:29" x14ac:dyDescent="0.25">
      <c r="A54" s="28" t="s">
        <v>337</v>
      </c>
      <c r="B54" s="28">
        <v>13</v>
      </c>
      <c r="C54" s="28" t="s">
        <v>69</v>
      </c>
      <c r="D54" s="28">
        <v>1</v>
      </c>
      <c r="E54" s="36"/>
      <c r="J54" s="51" t="s">
        <v>128</v>
      </c>
      <c r="K54" s="51">
        <v>-4</v>
      </c>
      <c r="L54" s="51" t="s">
        <v>60</v>
      </c>
      <c r="M54" s="51">
        <v>1</v>
      </c>
      <c r="P54" s="39" t="s">
        <v>126</v>
      </c>
      <c r="Q54" s="28">
        <v>12</v>
      </c>
      <c r="R54" s="28" t="s">
        <v>17</v>
      </c>
      <c r="S54" s="28">
        <v>1</v>
      </c>
      <c r="Z54" s="36"/>
      <c r="AA54" s="36"/>
      <c r="AB54" s="36"/>
      <c r="AC54" s="36"/>
    </row>
    <row r="55" spans="1:29" x14ac:dyDescent="0.25">
      <c r="A55" s="28" t="s">
        <v>337</v>
      </c>
      <c r="B55" s="28">
        <v>14</v>
      </c>
      <c r="C55" s="28" t="s">
        <v>69</v>
      </c>
      <c r="D55" s="28">
        <v>1</v>
      </c>
      <c r="E55" s="36"/>
      <c r="J55" s="51" t="s">
        <v>128</v>
      </c>
      <c r="K55" s="51">
        <v>-3</v>
      </c>
      <c r="L55" s="51" t="s">
        <v>58</v>
      </c>
      <c r="M55" s="51">
        <v>1</v>
      </c>
      <c r="P55" s="39" t="s">
        <v>126</v>
      </c>
      <c r="Q55" s="28">
        <v>7</v>
      </c>
      <c r="R55" s="28" t="s">
        <v>53</v>
      </c>
      <c r="S55" s="28">
        <v>0</v>
      </c>
      <c r="Z55" s="36"/>
      <c r="AA55" s="36"/>
      <c r="AB55" s="36"/>
      <c r="AC55" s="36"/>
    </row>
    <row r="56" spans="1:29" x14ac:dyDescent="0.25">
      <c r="A56" s="28" t="s">
        <v>337</v>
      </c>
      <c r="B56" s="28">
        <v>21</v>
      </c>
      <c r="C56" s="28" t="s">
        <v>84</v>
      </c>
      <c r="D56" s="28">
        <v>1</v>
      </c>
      <c r="E56" s="36"/>
      <c r="J56" s="51" t="s">
        <v>128</v>
      </c>
      <c r="K56" s="51">
        <v>-2</v>
      </c>
      <c r="L56" s="51" t="s">
        <v>83</v>
      </c>
      <c r="M56" s="51">
        <v>1</v>
      </c>
      <c r="P56" s="39" t="s">
        <v>126</v>
      </c>
      <c r="Q56" s="28">
        <v>7</v>
      </c>
      <c r="R56" s="28" t="s">
        <v>19</v>
      </c>
      <c r="S56" s="28">
        <v>0</v>
      </c>
      <c r="Z56" s="36"/>
      <c r="AA56" s="36"/>
      <c r="AB56" s="36"/>
      <c r="AC56" s="36"/>
    </row>
    <row r="57" spans="1:29" x14ac:dyDescent="0.25">
      <c r="A57" s="28" t="s">
        <v>337</v>
      </c>
      <c r="B57" s="28">
        <v>22</v>
      </c>
      <c r="C57" s="28" t="s">
        <v>84</v>
      </c>
      <c r="D57" s="28">
        <v>1</v>
      </c>
      <c r="E57" s="36"/>
      <c r="J57" s="51" t="s">
        <v>128</v>
      </c>
      <c r="K57" s="51">
        <v>-1</v>
      </c>
      <c r="L57" s="51" t="s">
        <v>83</v>
      </c>
      <c r="M57" s="51">
        <v>1</v>
      </c>
      <c r="P57" s="39" t="s">
        <v>126</v>
      </c>
      <c r="Q57" s="28">
        <v>7</v>
      </c>
      <c r="R57" s="28" t="s">
        <v>372</v>
      </c>
      <c r="S57" s="28">
        <v>0</v>
      </c>
    </row>
    <row r="58" spans="1:29" x14ac:dyDescent="0.25">
      <c r="A58" s="28" t="s">
        <v>337</v>
      </c>
      <c r="B58" s="28">
        <v>23</v>
      </c>
      <c r="C58" s="28" t="s">
        <v>63</v>
      </c>
      <c r="D58" s="28">
        <v>1</v>
      </c>
      <c r="E58" s="36"/>
      <c r="J58" s="51" t="s">
        <v>128</v>
      </c>
      <c r="K58" s="51">
        <v>0</v>
      </c>
      <c r="L58" s="51" t="s">
        <v>43</v>
      </c>
      <c r="M58" s="51">
        <v>1</v>
      </c>
      <c r="P58" s="39" t="s">
        <v>126</v>
      </c>
      <c r="Q58" s="28">
        <v>7</v>
      </c>
      <c r="R58" s="28" t="s">
        <v>35</v>
      </c>
      <c r="S58" s="28">
        <v>0</v>
      </c>
    </row>
    <row r="59" spans="1:29" x14ac:dyDescent="0.25">
      <c r="A59" s="28" t="s">
        <v>337</v>
      </c>
      <c r="B59" s="28">
        <v>24</v>
      </c>
      <c r="C59" s="28" t="s">
        <v>63</v>
      </c>
      <c r="D59" s="28">
        <v>1</v>
      </c>
      <c r="E59" s="36"/>
      <c r="J59" s="51" t="s">
        <v>129</v>
      </c>
      <c r="K59" s="51">
        <v>-6</v>
      </c>
      <c r="L59" s="51" t="s">
        <v>63</v>
      </c>
      <c r="M59" s="51">
        <v>1</v>
      </c>
      <c r="P59" s="39" t="s">
        <v>126</v>
      </c>
      <c r="Q59" s="28">
        <v>7</v>
      </c>
      <c r="R59" s="28" t="s">
        <v>38</v>
      </c>
      <c r="S59" s="28">
        <v>0</v>
      </c>
    </row>
    <row r="60" spans="1:29" x14ac:dyDescent="0.25">
      <c r="A60" s="28" t="s">
        <v>337</v>
      </c>
      <c r="B60" s="28">
        <v>25</v>
      </c>
      <c r="C60" s="28" t="s">
        <v>63</v>
      </c>
      <c r="D60" s="28">
        <v>1</v>
      </c>
      <c r="E60" s="36"/>
      <c r="J60" s="51" t="s">
        <v>129</v>
      </c>
      <c r="K60" s="51">
        <v>-5</v>
      </c>
      <c r="L60" s="51" t="s">
        <v>63</v>
      </c>
      <c r="M60" s="51">
        <v>1</v>
      </c>
      <c r="P60" s="39" t="s">
        <v>126</v>
      </c>
      <c r="Q60" s="28">
        <v>8</v>
      </c>
      <c r="R60" s="28" t="s">
        <v>53</v>
      </c>
      <c r="S60" s="28">
        <v>0</v>
      </c>
    </row>
    <row r="61" spans="1:29" x14ac:dyDescent="0.25">
      <c r="A61" s="28" t="s">
        <v>337</v>
      </c>
      <c r="B61" s="28">
        <v>26</v>
      </c>
      <c r="C61" s="28" t="s">
        <v>63</v>
      </c>
      <c r="D61" s="28">
        <v>1</v>
      </c>
      <c r="E61" s="36"/>
      <c r="J61" s="51" t="s">
        <v>129</v>
      </c>
      <c r="K61" s="51">
        <v>-4</v>
      </c>
      <c r="L61" s="51" t="s">
        <v>63</v>
      </c>
      <c r="M61" s="51">
        <v>1</v>
      </c>
      <c r="P61" s="39" t="s">
        <v>126</v>
      </c>
      <c r="Q61" s="28">
        <v>8</v>
      </c>
      <c r="R61" s="28" t="s">
        <v>19</v>
      </c>
      <c r="S61" s="28">
        <v>0</v>
      </c>
    </row>
    <row r="62" spans="1:29" x14ac:dyDescent="0.25">
      <c r="A62" s="28" t="s">
        <v>337</v>
      </c>
      <c r="B62" s="28">
        <v>27</v>
      </c>
      <c r="C62" s="28" t="s">
        <v>63</v>
      </c>
      <c r="D62" s="28">
        <v>1</v>
      </c>
      <c r="E62" s="36"/>
      <c r="J62" s="51" t="s">
        <v>129</v>
      </c>
      <c r="K62" s="51">
        <v>-3</v>
      </c>
      <c r="L62" s="51" t="s">
        <v>63</v>
      </c>
      <c r="M62" s="51">
        <v>1</v>
      </c>
      <c r="P62" s="39" t="s">
        <v>126</v>
      </c>
      <c r="Q62" s="28">
        <v>8</v>
      </c>
      <c r="R62" s="28" t="s">
        <v>372</v>
      </c>
      <c r="S62" s="28">
        <v>0</v>
      </c>
    </row>
    <row r="63" spans="1:29" x14ac:dyDescent="0.25">
      <c r="A63" s="28" t="s">
        <v>337</v>
      </c>
      <c r="B63" s="28">
        <v>28</v>
      </c>
      <c r="C63" s="28" t="s">
        <v>84</v>
      </c>
      <c r="D63" s="28">
        <v>1</v>
      </c>
      <c r="E63" s="36"/>
      <c r="J63" s="51" t="s">
        <v>129</v>
      </c>
      <c r="K63" s="51">
        <v>-2</v>
      </c>
      <c r="L63" s="51" t="s">
        <v>84</v>
      </c>
      <c r="M63" s="51">
        <v>1</v>
      </c>
      <c r="P63" s="39" t="s">
        <v>126</v>
      </c>
      <c r="Q63" s="28">
        <v>8</v>
      </c>
      <c r="R63" s="28" t="s">
        <v>35</v>
      </c>
      <c r="S63" s="28">
        <v>0</v>
      </c>
    </row>
    <row r="64" spans="1:29" x14ac:dyDescent="0.25">
      <c r="A64" s="28" t="s">
        <v>337</v>
      </c>
      <c r="B64" s="28">
        <v>29</v>
      </c>
      <c r="C64" s="28" t="s">
        <v>84</v>
      </c>
      <c r="D64" s="28">
        <v>1</v>
      </c>
      <c r="E64" s="36"/>
      <c r="J64" s="51" t="s">
        <v>129</v>
      </c>
      <c r="K64" s="51">
        <v>-1</v>
      </c>
      <c r="L64" s="51" t="s">
        <v>84</v>
      </c>
      <c r="M64" s="51">
        <v>1</v>
      </c>
      <c r="P64" s="39" t="s">
        <v>126</v>
      </c>
      <c r="Q64" s="28">
        <v>8</v>
      </c>
      <c r="R64" s="28" t="s">
        <v>38</v>
      </c>
      <c r="S64" s="28">
        <v>0</v>
      </c>
    </row>
    <row r="65" spans="1:19" x14ac:dyDescent="0.25">
      <c r="A65" s="28" t="s">
        <v>126</v>
      </c>
      <c r="B65" s="28">
        <v>2</v>
      </c>
      <c r="C65" s="28" t="s">
        <v>63</v>
      </c>
      <c r="D65" s="28">
        <v>1</v>
      </c>
      <c r="E65" s="36"/>
      <c r="J65" s="51" t="s">
        <v>129</v>
      </c>
      <c r="K65" s="51">
        <v>0</v>
      </c>
      <c r="L65" s="51" t="s">
        <v>364</v>
      </c>
      <c r="M65" s="51">
        <v>1</v>
      </c>
      <c r="P65" s="39" t="s">
        <v>126</v>
      </c>
      <c r="Q65" s="28">
        <v>30</v>
      </c>
      <c r="R65" s="28" t="s">
        <v>53</v>
      </c>
      <c r="S65" s="28">
        <v>0</v>
      </c>
    </row>
    <row r="66" spans="1:19" x14ac:dyDescent="0.25">
      <c r="A66" s="28" t="s">
        <v>126</v>
      </c>
      <c r="B66" s="28">
        <v>3</v>
      </c>
      <c r="C66" s="28" t="s">
        <v>63</v>
      </c>
      <c r="D66" s="28">
        <v>1</v>
      </c>
      <c r="E66" s="36"/>
      <c r="J66" s="51" t="s">
        <v>130</v>
      </c>
      <c r="K66" s="51">
        <v>-6</v>
      </c>
      <c r="L66" s="51" t="s">
        <v>5</v>
      </c>
      <c r="M66" s="51">
        <v>1</v>
      </c>
      <c r="P66" s="39" t="s">
        <v>126</v>
      </c>
      <c r="Q66" s="28">
        <v>30</v>
      </c>
      <c r="R66" s="28" t="s">
        <v>19</v>
      </c>
      <c r="S66" s="28">
        <v>0</v>
      </c>
    </row>
    <row r="67" spans="1:19" x14ac:dyDescent="0.25">
      <c r="A67" s="28" t="s">
        <v>144</v>
      </c>
      <c r="B67" s="28">
        <v>21</v>
      </c>
      <c r="C67" s="28" t="s">
        <v>84</v>
      </c>
      <c r="D67" s="28">
        <v>1</v>
      </c>
      <c r="E67" s="36"/>
      <c r="J67" s="51" t="s">
        <v>130</v>
      </c>
      <c r="K67" s="51">
        <v>-5</v>
      </c>
      <c r="L67" s="51" t="s">
        <v>17</v>
      </c>
      <c r="M67" s="51">
        <v>1</v>
      </c>
      <c r="P67" s="39" t="s">
        <v>126</v>
      </c>
      <c r="Q67" s="28">
        <v>30</v>
      </c>
      <c r="R67" s="28" t="s">
        <v>372</v>
      </c>
      <c r="S67" s="28">
        <v>0</v>
      </c>
    </row>
    <row r="68" spans="1:19" x14ac:dyDescent="0.25">
      <c r="A68" s="28" t="s">
        <v>144</v>
      </c>
      <c r="B68" s="28">
        <v>22</v>
      </c>
      <c r="C68" s="28" t="s">
        <v>84</v>
      </c>
      <c r="D68" s="28">
        <v>1</v>
      </c>
      <c r="E68" s="36"/>
      <c r="J68" s="51" t="s">
        <v>130</v>
      </c>
      <c r="K68" s="51">
        <v>-4</v>
      </c>
      <c r="L68" s="51" t="s">
        <v>65</v>
      </c>
      <c r="M68" s="51">
        <v>1</v>
      </c>
      <c r="P68" s="39" t="s">
        <v>126</v>
      </c>
      <c r="Q68" s="28">
        <v>30</v>
      </c>
      <c r="R68" s="28" t="s">
        <v>35</v>
      </c>
      <c r="S68" s="28">
        <v>0</v>
      </c>
    </row>
    <row r="69" spans="1:19" x14ac:dyDescent="0.25">
      <c r="A69" s="28" t="s">
        <v>144</v>
      </c>
      <c r="B69" s="28">
        <v>23</v>
      </c>
      <c r="C69" s="28" t="s">
        <v>63</v>
      </c>
      <c r="D69" s="28">
        <v>1</v>
      </c>
      <c r="E69" s="36"/>
      <c r="J69" s="51" t="s">
        <v>130</v>
      </c>
      <c r="K69" s="51">
        <v>-3</v>
      </c>
      <c r="L69" s="51" t="s">
        <v>69</v>
      </c>
      <c r="M69" s="51">
        <v>1</v>
      </c>
      <c r="P69" s="39" t="s">
        <v>126</v>
      </c>
      <c r="Q69" s="28">
        <v>30</v>
      </c>
      <c r="R69" s="28" t="s">
        <v>38</v>
      </c>
      <c r="S69" s="28">
        <v>0</v>
      </c>
    </row>
    <row r="70" spans="1:19" x14ac:dyDescent="0.25">
      <c r="A70" s="28" t="s">
        <v>144</v>
      </c>
      <c r="B70" s="28">
        <v>24</v>
      </c>
      <c r="C70" s="28" t="s">
        <v>63</v>
      </c>
      <c r="D70" s="28">
        <v>1</v>
      </c>
      <c r="E70" s="36"/>
      <c r="J70" s="51" t="s">
        <v>130</v>
      </c>
      <c r="K70" s="51">
        <v>-2</v>
      </c>
      <c r="L70" s="51" t="s">
        <v>69</v>
      </c>
      <c r="M70" s="51">
        <v>1</v>
      </c>
      <c r="P70" s="39" t="s">
        <v>126</v>
      </c>
      <c r="Q70" s="28">
        <v>31</v>
      </c>
      <c r="R70" s="28" t="s">
        <v>53</v>
      </c>
      <c r="S70" s="28">
        <v>0</v>
      </c>
    </row>
    <row r="71" spans="1:19" x14ac:dyDescent="0.25">
      <c r="A71" s="28" t="s">
        <v>144</v>
      </c>
      <c r="B71" s="28">
        <v>25</v>
      </c>
      <c r="C71" s="28" t="s">
        <v>63</v>
      </c>
      <c r="D71" s="28">
        <v>1</v>
      </c>
      <c r="E71" s="36"/>
      <c r="J71" s="51" t="s">
        <v>130</v>
      </c>
      <c r="K71" s="51">
        <v>-1</v>
      </c>
      <c r="L71" s="51" t="s">
        <v>69</v>
      </c>
      <c r="M71" s="51">
        <v>1</v>
      </c>
      <c r="P71" s="39" t="s">
        <v>126</v>
      </c>
      <c r="Q71" s="28">
        <v>31</v>
      </c>
      <c r="R71" s="28" t="s">
        <v>19</v>
      </c>
      <c r="S71" s="28">
        <v>0</v>
      </c>
    </row>
    <row r="72" spans="1:19" x14ac:dyDescent="0.25">
      <c r="A72" s="28" t="s">
        <v>144</v>
      </c>
      <c r="B72" s="28">
        <v>26</v>
      </c>
      <c r="C72" s="28" t="s">
        <v>63</v>
      </c>
      <c r="D72" s="28">
        <v>1</v>
      </c>
      <c r="E72" s="36"/>
      <c r="J72" s="51" t="s">
        <v>130</v>
      </c>
      <c r="K72" s="51">
        <v>0</v>
      </c>
      <c r="L72" s="51" t="s">
        <v>31</v>
      </c>
      <c r="M72" s="51">
        <v>1</v>
      </c>
      <c r="P72" s="39" t="s">
        <v>126</v>
      </c>
      <c r="Q72" s="28">
        <v>31</v>
      </c>
      <c r="R72" s="28" t="s">
        <v>372</v>
      </c>
      <c r="S72" s="28">
        <v>0</v>
      </c>
    </row>
    <row r="73" spans="1:19" x14ac:dyDescent="0.25">
      <c r="A73" s="28" t="s">
        <v>144</v>
      </c>
      <c r="B73" s="28">
        <v>27</v>
      </c>
      <c r="C73" s="28" t="s">
        <v>63</v>
      </c>
      <c r="D73" s="28">
        <v>1</v>
      </c>
      <c r="E73" s="36"/>
      <c r="J73" s="51" t="s">
        <v>341</v>
      </c>
      <c r="K73" s="51">
        <v>-6</v>
      </c>
      <c r="L73" s="51" t="s">
        <v>6</v>
      </c>
      <c r="M73" s="51">
        <v>1</v>
      </c>
      <c r="P73" s="39" t="s">
        <v>126</v>
      </c>
      <c r="Q73" s="28">
        <v>31</v>
      </c>
      <c r="R73" s="28" t="s">
        <v>35</v>
      </c>
      <c r="S73" s="28">
        <v>0</v>
      </c>
    </row>
    <row r="74" spans="1:19" x14ac:dyDescent="0.25">
      <c r="A74" s="28" t="s">
        <v>144</v>
      </c>
      <c r="B74" s="28">
        <v>28</v>
      </c>
      <c r="C74" s="28" t="s">
        <v>84</v>
      </c>
      <c r="D74" s="28">
        <v>1</v>
      </c>
      <c r="E74" s="36"/>
      <c r="J74" s="51" t="s">
        <v>341</v>
      </c>
      <c r="K74" s="51">
        <v>-5</v>
      </c>
      <c r="L74" s="51" t="s">
        <v>31</v>
      </c>
      <c r="M74" s="51">
        <v>1</v>
      </c>
      <c r="P74" s="39" t="s">
        <v>126</v>
      </c>
      <c r="Q74" s="28">
        <v>31</v>
      </c>
      <c r="R74" s="28" t="s">
        <v>38</v>
      </c>
      <c r="S74" s="28">
        <v>0</v>
      </c>
    </row>
    <row r="75" spans="1:19" x14ac:dyDescent="0.25">
      <c r="A75" s="28" t="s">
        <v>144</v>
      </c>
      <c r="B75" s="28">
        <v>29</v>
      </c>
      <c r="C75" s="28" t="s">
        <v>84</v>
      </c>
      <c r="D75" s="28">
        <v>1</v>
      </c>
      <c r="E75" s="36"/>
      <c r="J75" s="51" t="s">
        <v>341</v>
      </c>
      <c r="K75" s="51">
        <v>-4</v>
      </c>
      <c r="L75" s="51" t="s">
        <v>31</v>
      </c>
      <c r="M75" s="51">
        <v>1</v>
      </c>
      <c r="P75" s="39" t="s">
        <v>129</v>
      </c>
      <c r="Q75" s="28">
        <v>13</v>
      </c>
      <c r="R75" s="28" t="s">
        <v>17</v>
      </c>
      <c r="S75" s="28">
        <v>0</v>
      </c>
    </row>
    <row r="76" spans="1:19" x14ac:dyDescent="0.25">
      <c r="A76" s="28" t="s">
        <v>144</v>
      </c>
      <c r="B76" s="28">
        <v>30</v>
      </c>
      <c r="C76" s="28" t="s">
        <v>63</v>
      </c>
      <c r="D76" s="28">
        <v>1</v>
      </c>
      <c r="E76" s="36"/>
      <c r="J76" s="51" t="s">
        <v>341</v>
      </c>
      <c r="K76" s="51">
        <v>-3</v>
      </c>
      <c r="L76" s="51" t="s">
        <v>31</v>
      </c>
      <c r="M76" s="51">
        <v>1</v>
      </c>
      <c r="P76" s="39" t="s">
        <v>129</v>
      </c>
      <c r="Q76" s="28">
        <v>13</v>
      </c>
      <c r="R76" s="28" t="s">
        <v>53</v>
      </c>
      <c r="S76" s="28">
        <v>0</v>
      </c>
    </row>
    <row r="77" spans="1:19" x14ac:dyDescent="0.25">
      <c r="A77" s="28" t="s">
        <v>144</v>
      </c>
      <c r="B77" s="28">
        <v>31</v>
      </c>
      <c r="C77" s="28" t="s">
        <v>63</v>
      </c>
      <c r="D77" s="28">
        <v>1</v>
      </c>
      <c r="E77" s="36"/>
      <c r="J77" s="51" t="s">
        <v>341</v>
      </c>
      <c r="K77" s="51">
        <v>-2</v>
      </c>
      <c r="L77" s="51" t="s">
        <v>83</v>
      </c>
      <c r="M77" s="51">
        <v>1</v>
      </c>
      <c r="P77" s="39" t="s">
        <v>129</v>
      </c>
      <c r="Q77" s="28">
        <v>13</v>
      </c>
      <c r="R77" s="28" t="s">
        <v>32</v>
      </c>
      <c r="S77" s="28">
        <v>0</v>
      </c>
    </row>
    <row r="78" spans="1:19" x14ac:dyDescent="0.25">
      <c r="A78" s="28" t="s">
        <v>144</v>
      </c>
      <c r="B78" s="28">
        <v>32</v>
      </c>
      <c r="C78" s="28" t="s">
        <v>63</v>
      </c>
      <c r="D78" s="28">
        <v>1</v>
      </c>
      <c r="E78" s="36"/>
      <c r="J78" s="51" t="s">
        <v>341</v>
      </c>
      <c r="K78" s="51">
        <v>-1</v>
      </c>
      <c r="L78" s="51" t="s">
        <v>83</v>
      </c>
      <c r="M78" s="51">
        <v>1</v>
      </c>
      <c r="P78" s="39" t="s">
        <v>129</v>
      </c>
      <c r="Q78" s="28">
        <v>13</v>
      </c>
      <c r="R78" s="28" t="s">
        <v>6</v>
      </c>
      <c r="S78" s="28">
        <v>0</v>
      </c>
    </row>
    <row r="79" spans="1:19" x14ac:dyDescent="0.25">
      <c r="A79" s="28" t="s">
        <v>144</v>
      </c>
      <c r="B79" s="28">
        <v>33</v>
      </c>
      <c r="C79" s="28" t="s">
        <v>63</v>
      </c>
      <c r="D79" s="28">
        <v>1</v>
      </c>
      <c r="E79" s="36"/>
      <c r="J79" s="51" t="s">
        <v>341</v>
      </c>
      <c r="K79" s="51">
        <v>0</v>
      </c>
      <c r="L79" s="51" t="s">
        <v>31</v>
      </c>
      <c r="M79" s="51">
        <v>1</v>
      </c>
      <c r="P79" s="39" t="s">
        <v>129</v>
      </c>
      <c r="Q79" s="28">
        <v>13</v>
      </c>
      <c r="R79" s="28" t="s">
        <v>80</v>
      </c>
      <c r="S79" s="28">
        <v>0</v>
      </c>
    </row>
    <row r="80" spans="1:19" x14ac:dyDescent="0.25">
      <c r="A80" s="28" t="s">
        <v>144</v>
      </c>
      <c r="B80" s="28">
        <v>34</v>
      </c>
      <c r="C80" s="28" t="s">
        <v>63</v>
      </c>
      <c r="D80" s="28">
        <v>1</v>
      </c>
      <c r="E80" s="36"/>
      <c r="J80" s="51" t="s">
        <v>131</v>
      </c>
      <c r="K80" s="51">
        <v>-6</v>
      </c>
      <c r="L80" s="51" t="s">
        <v>31</v>
      </c>
      <c r="M80" s="51">
        <v>1</v>
      </c>
      <c r="P80" s="39" t="s">
        <v>129</v>
      </c>
      <c r="Q80" s="28">
        <v>13</v>
      </c>
      <c r="R80" s="28" t="s">
        <v>43</v>
      </c>
      <c r="S80" s="28">
        <v>0</v>
      </c>
    </row>
    <row r="81" spans="1:19" x14ac:dyDescent="0.25">
      <c r="A81" s="28" t="s">
        <v>130</v>
      </c>
      <c r="B81" s="28">
        <v>27</v>
      </c>
      <c r="C81" s="28" t="s">
        <v>69</v>
      </c>
      <c r="D81" s="28">
        <v>1</v>
      </c>
      <c r="E81" s="36"/>
      <c r="J81" s="51" t="s">
        <v>131</v>
      </c>
      <c r="K81" s="51">
        <v>-5</v>
      </c>
      <c r="L81" s="51" t="s">
        <v>31</v>
      </c>
      <c r="M81" s="51">
        <v>1</v>
      </c>
      <c r="P81" s="39" t="s">
        <v>129</v>
      </c>
      <c r="Q81" s="28">
        <v>13</v>
      </c>
      <c r="R81" s="28" t="s">
        <v>352</v>
      </c>
      <c r="S81" s="28">
        <v>0</v>
      </c>
    </row>
    <row r="82" spans="1:19" x14ac:dyDescent="0.25">
      <c r="A82" s="28" t="s">
        <v>130</v>
      </c>
      <c r="B82" s="28">
        <v>28</v>
      </c>
      <c r="C82" s="28" t="s">
        <v>69</v>
      </c>
      <c r="D82" s="28">
        <v>1</v>
      </c>
      <c r="E82" s="36"/>
      <c r="J82" s="51" t="s">
        <v>131</v>
      </c>
      <c r="K82" s="51">
        <v>-4</v>
      </c>
      <c r="L82" s="51" t="s">
        <v>31</v>
      </c>
      <c r="M82" s="51">
        <v>1</v>
      </c>
      <c r="P82" s="39" t="s">
        <v>129</v>
      </c>
      <c r="Q82" s="28">
        <v>13</v>
      </c>
      <c r="R82" s="28" t="s">
        <v>353</v>
      </c>
      <c r="S82" s="28">
        <v>0</v>
      </c>
    </row>
    <row r="83" spans="1:19" x14ac:dyDescent="0.25">
      <c r="A83" s="28" t="s">
        <v>130</v>
      </c>
      <c r="B83" s="28">
        <v>29</v>
      </c>
      <c r="C83" s="28" t="s">
        <v>69</v>
      </c>
      <c r="D83" s="28">
        <v>1</v>
      </c>
      <c r="E83" s="36"/>
      <c r="J83" s="51" t="s">
        <v>131</v>
      </c>
      <c r="K83" s="51">
        <v>-3</v>
      </c>
      <c r="L83" s="51" t="s">
        <v>17</v>
      </c>
      <c r="M83" s="51">
        <v>1</v>
      </c>
      <c r="P83" s="39" t="s">
        <v>129</v>
      </c>
      <c r="Q83" s="28">
        <v>13</v>
      </c>
      <c r="R83" s="28" t="s">
        <v>348</v>
      </c>
      <c r="S83" s="28">
        <v>0</v>
      </c>
    </row>
    <row r="84" spans="1:19" x14ac:dyDescent="0.25">
      <c r="A84" s="144" t="s">
        <v>125</v>
      </c>
      <c r="B84" s="144">
        <v>13</v>
      </c>
      <c r="C84" s="144" t="s">
        <v>69</v>
      </c>
      <c r="D84" s="144">
        <v>1</v>
      </c>
      <c r="E84" s="36" t="s">
        <v>363</v>
      </c>
      <c r="J84" s="51" t="s">
        <v>131</v>
      </c>
      <c r="K84" s="51">
        <v>-2</v>
      </c>
      <c r="L84" s="51" t="s">
        <v>83</v>
      </c>
      <c r="M84" s="51">
        <v>1</v>
      </c>
      <c r="P84" s="39" t="s">
        <v>129</v>
      </c>
      <c r="Q84" s="28">
        <v>14</v>
      </c>
      <c r="R84" s="28" t="s">
        <v>83</v>
      </c>
      <c r="S84" s="28">
        <v>1</v>
      </c>
    </row>
    <row r="85" spans="1:19" x14ac:dyDescent="0.25">
      <c r="A85" s="144" t="s">
        <v>129</v>
      </c>
      <c r="B85" s="144">
        <v>21</v>
      </c>
      <c r="C85" s="144" t="s">
        <v>84</v>
      </c>
      <c r="D85" s="144">
        <v>1</v>
      </c>
      <c r="E85" s="36"/>
      <c r="J85" s="51" t="s">
        <v>131</v>
      </c>
      <c r="K85" s="51">
        <v>-1</v>
      </c>
      <c r="L85" s="51" t="s">
        <v>38</v>
      </c>
      <c r="M85" s="51">
        <v>1</v>
      </c>
      <c r="P85" s="39" t="s">
        <v>129</v>
      </c>
      <c r="Q85" s="28">
        <v>15</v>
      </c>
      <c r="R85" s="28" t="s">
        <v>83</v>
      </c>
      <c r="S85" s="28">
        <v>1</v>
      </c>
    </row>
    <row r="86" spans="1:19" x14ac:dyDescent="0.25">
      <c r="A86" s="144" t="s">
        <v>129</v>
      </c>
      <c r="B86" s="144">
        <v>22</v>
      </c>
      <c r="C86" s="144" t="s">
        <v>84</v>
      </c>
      <c r="D86" s="144">
        <v>1</v>
      </c>
      <c r="E86" s="36"/>
      <c r="J86" s="51" t="s">
        <v>131</v>
      </c>
      <c r="K86" s="51">
        <v>0</v>
      </c>
      <c r="L86" s="51" t="s">
        <v>6</v>
      </c>
      <c r="M86" s="51">
        <v>1</v>
      </c>
      <c r="P86" s="39" t="s">
        <v>123</v>
      </c>
      <c r="Q86" s="28">
        <v>14</v>
      </c>
      <c r="R86" s="28" t="s">
        <v>19</v>
      </c>
      <c r="S86" s="28">
        <v>1</v>
      </c>
    </row>
    <row r="87" spans="1:19" x14ac:dyDescent="0.25">
      <c r="A87" s="144" t="s">
        <v>129</v>
      </c>
      <c r="B87" s="144">
        <v>23</v>
      </c>
      <c r="C87" s="144" t="s">
        <v>63</v>
      </c>
      <c r="D87" s="144">
        <v>1</v>
      </c>
      <c r="E87" s="36"/>
      <c r="J87" s="51" t="s">
        <v>132</v>
      </c>
      <c r="K87" s="51">
        <v>-6</v>
      </c>
      <c r="L87" s="51" t="s">
        <v>365</v>
      </c>
      <c r="M87" s="51">
        <v>1</v>
      </c>
      <c r="P87" s="39" t="s">
        <v>142</v>
      </c>
      <c r="Q87" s="28">
        <v>7</v>
      </c>
      <c r="R87" s="28" t="s">
        <v>83</v>
      </c>
      <c r="S87" s="28">
        <v>1</v>
      </c>
    </row>
    <row r="88" spans="1:19" x14ac:dyDescent="0.25">
      <c r="A88" s="144" t="s">
        <v>129</v>
      </c>
      <c r="B88" s="144">
        <v>24</v>
      </c>
      <c r="C88" s="144" t="s">
        <v>63</v>
      </c>
      <c r="D88" s="144">
        <v>1</v>
      </c>
      <c r="E88" s="36"/>
      <c r="J88" s="51" t="s">
        <v>132</v>
      </c>
      <c r="K88" s="51">
        <v>-5</v>
      </c>
      <c r="L88" s="51" t="s">
        <v>31</v>
      </c>
      <c r="M88" s="51">
        <v>1</v>
      </c>
      <c r="P88" s="39" t="s">
        <v>142</v>
      </c>
      <c r="Q88" s="28">
        <v>14</v>
      </c>
      <c r="R88" s="28" t="s">
        <v>83</v>
      </c>
      <c r="S88" s="28">
        <v>1</v>
      </c>
    </row>
    <row r="89" spans="1:19" x14ac:dyDescent="0.25">
      <c r="A89" s="144" t="s">
        <v>129</v>
      </c>
      <c r="B89" s="144">
        <v>25</v>
      </c>
      <c r="C89" s="144" t="s">
        <v>63</v>
      </c>
      <c r="D89" s="144">
        <v>1</v>
      </c>
      <c r="E89" s="36"/>
      <c r="J89" s="51" t="s">
        <v>132</v>
      </c>
      <c r="K89" s="51">
        <v>-4</v>
      </c>
      <c r="L89" s="51" t="s">
        <v>26</v>
      </c>
      <c r="M89" s="51">
        <v>1</v>
      </c>
      <c r="P89" s="39" t="s">
        <v>142</v>
      </c>
      <c r="Q89" s="28">
        <v>28</v>
      </c>
      <c r="R89" s="28" t="s">
        <v>83</v>
      </c>
      <c r="S89" s="28">
        <v>1</v>
      </c>
    </row>
    <row r="90" spans="1:19" x14ac:dyDescent="0.25">
      <c r="A90" s="144" t="s">
        <v>129</v>
      </c>
      <c r="B90" s="144">
        <v>26</v>
      </c>
      <c r="C90" s="144" t="s">
        <v>63</v>
      </c>
      <c r="D90" s="144">
        <v>1</v>
      </c>
      <c r="E90" s="36"/>
      <c r="J90" s="51" t="s">
        <v>132</v>
      </c>
      <c r="K90" s="51">
        <v>-3</v>
      </c>
      <c r="L90" s="51" t="s">
        <v>31</v>
      </c>
      <c r="M90" s="51">
        <v>1</v>
      </c>
      <c r="P90" s="39" t="s">
        <v>142</v>
      </c>
      <c r="Q90" s="28">
        <v>10</v>
      </c>
      <c r="R90" s="28" t="s">
        <v>32</v>
      </c>
      <c r="S90" s="28">
        <v>0</v>
      </c>
    </row>
    <row r="91" spans="1:19" x14ac:dyDescent="0.25">
      <c r="A91" s="144" t="s">
        <v>129</v>
      </c>
      <c r="B91" s="144">
        <v>27</v>
      </c>
      <c r="C91" s="144" t="s">
        <v>63</v>
      </c>
      <c r="D91" s="144">
        <v>1</v>
      </c>
      <c r="E91" s="36"/>
      <c r="J91" s="51" t="s">
        <v>132</v>
      </c>
      <c r="K91" s="51">
        <v>-2</v>
      </c>
      <c r="L91" s="51" t="s">
        <v>53</v>
      </c>
      <c r="M91" s="51">
        <v>1</v>
      </c>
      <c r="P91" s="39" t="s">
        <v>142</v>
      </c>
      <c r="Q91" s="28">
        <v>10</v>
      </c>
      <c r="R91" s="28" t="s">
        <v>6</v>
      </c>
      <c r="S91" s="28">
        <v>0</v>
      </c>
    </row>
    <row r="92" spans="1:19" x14ac:dyDescent="0.25">
      <c r="A92" s="144" t="s">
        <v>129</v>
      </c>
      <c r="B92" s="144">
        <v>28</v>
      </c>
      <c r="C92" s="144" t="s">
        <v>84</v>
      </c>
      <c r="D92" s="144">
        <v>1</v>
      </c>
      <c r="E92" s="36"/>
      <c r="J92" s="51" t="s">
        <v>132</v>
      </c>
      <c r="K92" s="51">
        <v>-1</v>
      </c>
      <c r="L92" s="51" t="s">
        <v>83</v>
      </c>
      <c r="M92" s="51">
        <v>1</v>
      </c>
      <c r="P92" s="39" t="s">
        <v>142</v>
      </c>
      <c r="Q92" s="28">
        <v>10</v>
      </c>
      <c r="R92" s="28" t="s">
        <v>43</v>
      </c>
      <c r="S92" s="28">
        <v>0</v>
      </c>
    </row>
    <row r="93" spans="1:19" x14ac:dyDescent="0.25">
      <c r="A93" s="144" t="s">
        <v>129</v>
      </c>
      <c r="B93" s="144">
        <v>29</v>
      </c>
      <c r="C93" s="144" t="s">
        <v>84</v>
      </c>
      <c r="D93" s="144">
        <v>1</v>
      </c>
      <c r="E93" s="36"/>
      <c r="J93" s="51" t="s">
        <v>132</v>
      </c>
      <c r="K93" s="51">
        <v>0</v>
      </c>
      <c r="L93" s="51" t="s">
        <v>83</v>
      </c>
      <c r="M93" s="51">
        <v>1</v>
      </c>
      <c r="P93" s="39" t="s">
        <v>142</v>
      </c>
      <c r="Q93" s="28">
        <v>10</v>
      </c>
      <c r="R93" s="28" t="s">
        <v>80</v>
      </c>
      <c r="S93" s="28">
        <v>0</v>
      </c>
    </row>
    <row r="94" spans="1:19" x14ac:dyDescent="0.25">
      <c r="A94" s="144" t="s">
        <v>130</v>
      </c>
      <c r="B94" s="144">
        <v>19</v>
      </c>
      <c r="C94" s="144" t="s">
        <v>63</v>
      </c>
      <c r="D94" s="144">
        <v>1</v>
      </c>
      <c r="E94" s="36"/>
      <c r="J94" s="51" t="s">
        <v>133</v>
      </c>
      <c r="K94" s="51">
        <v>-6</v>
      </c>
      <c r="L94" s="51" t="s">
        <v>43</v>
      </c>
      <c r="M94" s="51">
        <v>1</v>
      </c>
      <c r="P94" s="39" t="s">
        <v>142</v>
      </c>
      <c r="Q94" s="28">
        <v>10</v>
      </c>
      <c r="R94" s="28" t="s">
        <v>17</v>
      </c>
      <c r="S94" s="28">
        <v>0</v>
      </c>
    </row>
    <row r="95" spans="1:19" x14ac:dyDescent="0.25">
      <c r="A95" s="144" t="s">
        <v>130</v>
      </c>
      <c r="B95" s="144">
        <v>20</v>
      </c>
      <c r="C95" s="144" t="s">
        <v>63</v>
      </c>
      <c r="D95" s="144">
        <v>1</v>
      </c>
      <c r="E95" s="36"/>
      <c r="J95" s="51" t="s">
        <v>133</v>
      </c>
      <c r="K95" s="51">
        <v>-5</v>
      </c>
      <c r="L95" s="51" t="s">
        <v>31</v>
      </c>
      <c r="M95" s="51">
        <v>1</v>
      </c>
      <c r="P95" s="39" t="s">
        <v>142</v>
      </c>
      <c r="Q95" s="28">
        <v>10</v>
      </c>
      <c r="R95" s="28" t="s">
        <v>53</v>
      </c>
      <c r="S95" s="28">
        <v>0</v>
      </c>
    </row>
    <row r="96" spans="1:19" x14ac:dyDescent="0.25">
      <c r="A96" s="144" t="s">
        <v>334</v>
      </c>
      <c r="B96" s="144">
        <v>7</v>
      </c>
      <c r="C96" s="144" t="s">
        <v>84</v>
      </c>
      <c r="D96" s="144">
        <v>1</v>
      </c>
      <c r="E96" s="36"/>
      <c r="J96" s="51" t="s">
        <v>133</v>
      </c>
      <c r="K96" s="51">
        <v>-4</v>
      </c>
      <c r="L96" s="51" t="s">
        <v>32</v>
      </c>
      <c r="M96" s="51">
        <v>1</v>
      </c>
      <c r="P96" s="39" t="s">
        <v>142</v>
      </c>
      <c r="Q96" s="28">
        <v>13</v>
      </c>
      <c r="R96" s="28" t="s">
        <v>32</v>
      </c>
      <c r="S96" s="28">
        <v>0</v>
      </c>
    </row>
    <row r="97" spans="1:19" x14ac:dyDescent="0.25">
      <c r="A97" s="144" t="s">
        <v>334</v>
      </c>
      <c r="B97" s="178">
        <v>8</v>
      </c>
      <c r="C97" s="144" t="s">
        <v>84</v>
      </c>
      <c r="D97" s="144">
        <v>1</v>
      </c>
      <c r="E97" s="36"/>
      <c r="J97" s="51" t="s">
        <v>133</v>
      </c>
      <c r="K97" s="51">
        <v>-3</v>
      </c>
      <c r="L97" s="51" t="s">
        <v>31</v>
      </c>
      <c r="M97" s="51">
        <v>1</v>
      </c>
      <c r="P97" s="39" t="s">
        <v>142</v>
      </c>
      <c r="Q97" s="28">
        <v>13</v>
      </c>
      <c r="R97" s="28" t="s">
        <v>6</v>
      </c>
      <c r="S97" s="28">
        <v>0</v>
      </c>
    </row>
    <row r="98" spans="1:19" x14ac:dyDescent="0.25">
      <c r="A98" s="144" t="s">
        <v>334</v>
      </c>
      <c r="B98" s="178">
        <v>9</v>
      </c>
      <c r="C98" s="144" t="s">
        <v>63</v>
      </c>
      <c r="D98" s="144">
        <v>1</v>
      </c>
      <c r="E98" s="36"/>
      <c r="J98" s="51" t="s">
        <v>133</v>
      </c>
      <c r="K98" s="51">
        <v>-2</v>
      </c>
      <c r="L98" s="51" t="s">
        <v>84</v>
      </c>
      <c r="M98" s="51">
        <v>1</v>
      </c>
      <c r="P98" s="39" t="s">
        <v>142</v>
      </c>
      <c r="Q98" s="28">
        <v>13</v>
      </c>
      <c r="R98" s="28" t="s">
        <v>43</v>
      </c>
      <c r="S98" s="28">
        <v>0</v>
      </c>
    </row>
    <row r="99" spans="1:19" x14ac:dyDescent="0.25">
      <c r="A99" s="144" t="s">
        <v>334</v>
      </c>
      <c r="B99" s="178">
        <v>10</v>
      </c>
      <c r="C99" s="144" t="s">
        <v>63</v>
      </c>
      <c r="D99" s="144">
        <v>1</v>
      </c>
      <c r="E99" s="36"/>
      <c r="J99" s="51" t="s">
        <v>133</v>
      </c>
      <c r="K99" s="51">
        <v>-1</v>
      </c>
      <c r="L99" s="51" t="s">
        <v>84</v>
      </c>
      <c r="M99" s="51">
        <v>1</v>
      </c>
      <c r="P99" s="39" t="s">
        <v>142</v>
      </c>
      <c r="Q99" s="28">
        <v>13</v>
      </c>
      <c r="R99" s="28" t="s">
        <v>80</v>
      </c>
      <c r="S99" s="28">
        <v>0</v>
      </c>
    </row>
    <row r="100" spans="1:19" x14ac:dyDescent="0.25">
      <c r="A100" s="144" t="s">
        <v>334</v>
      </c>
      <c r="B100" s="178">
        <v>11</v>
      </c>
      <c r="C100" s="144" t="s">
        <v>63</v>
      </c>
      <c r="D100" s="144">
        <v>1</v>
      </c>
      <c r="E100" s="36"/>
      <c r="J100" s="51" t="s">
        <v>133</v>
      </c>
      <c r="K100" s="51">
        <v>0</v>
      </c>
      <c r="L100" s="51" t="s">
        <v>63</v>
      </c>
      <c r="M100" s="51">
        <v>1</v>
      </c>
      <c r="P100" s="39" t="s">
        <v>142</v>
      </c>
      <c r="Q100" s="28">
        <v>13</v>
      </c>
      <c r="R100" s="28" t="s">
        <v>17</v>
      </c>
      <c r="S100" s="28">
        <v>0</v>
      </c>
    </row>
    <row r="101" spans="1:19" x14ac:dyDescent="0.25">
      <c r="A101" s="144" t="s">
        <v>334</v>
      </c>
      <c r="B101" s="178">
        <v>12</v>
      </c>
      <c r="C101" s="144" t="s">
        <v>63</v>
      </c>
      <c r="D101" s="144">
        <v>1</v>
      </c>
      <c r="E101" s="36"/>
      <c r="J101" s="51" t="s">
        <v>134</v>
      </c>
      <c r="K101" s="51">
        <v>-6</v>
      </c>
      <c r="L101" s="51" t="s">
        <v>26</v>
      </c>
      <c r="M101" s="51">
        <v>1</v>
      </c>
      <c r="P101" s="39" t="s">
        <v>142</v>
      </c>
      <c r="Q101" s="28">
        <v>13</v>
      </c>
      <c r="R101" s="28" t="s">
        <v>53</v>
      </c>
      <c r="S101" s="28">
        <v>0</v>
      </c>
    </row>
    <row r="102" spans="1:19" x14ac:dyDescent="0.25">
      <c r="A102" s="144" t="s">
        <v>334</v>
      </c>
      <c r="B102" s="178">
        <v>13</v>
      </c>
      <c r="C102" s="144" t="s">
        <v>63</v>
      </c>
      <c r="D102" s="144">
        <v>1</v>
      </c>
      <c r="E102" s="36"/>
      <c r="J102" s="51" t="s">
        <v>134</v>
      </c>
      <c r="K102" s="51">
        <v>-5</v>
      </c>
      <c r="L102" s="51" t="s">
        <v>26</v>
      </c>
      <c r="M102" s="51">
        <v>1</v>
      </c>
      <c r="P102" s="39" t="s">
        <v>142</v>
      </c>
      <c r="Q102" s="28">
        <v>18</v>
      </c>
      <c r="R102" s="28" t="s">
        <v>32</v>
      </c>
      <c r="S102" s="28">
        <v>0</v>
      </c>
    </row>
    <row r="103" spans="1:19" x14ac:dyDescent="0.25">
      <c r="A103" s="144" t="s">
        <v>334</v>
      </c>
      <c r="B103" s="178">
        <v>14</v>
      </c>
      <c r="C103" s="144" t="s">
        <v>84</v>
      </c>
      <c r="D103" s="144">
        <v>1</v>
      </c>
      <c r="F103" s="169"/>
      <c r="J103" s="51" t="s">
        <v>134</v>
      </c>
      <c r="K103" s="51">
        <v>-4</v>
      </c>
      <c r="L103" s="51" t="s">
        <v>5</v>
      </c>
      <c r="M103" s="51">
        <v>1</v>
      </c>
      <c r="P103" s="39" t="s">
        <v>142</v>
      </c>
      <c r="Q103" s="28">
        <v>18</v>
      </c>
      <c r="R103" s="28" t="s">
        <v>6</v>
      </c>
      <c r="S103" s="28">
        <v>0</v>
      </c>
    </row>
    <row r="104" spans="1:19" x14ac:dyDescent="0.25">
      <c r="A104" s="144" t="s">
        <v>334</v>
      </c>
      <c r="B104" s="178">
        <v>15</v>
      </c>
      <c r="C104" s="144" t="s">
        <v>84</v>
      </c>
      <c r="D104" s="144">
        <v>1</v>
      </c>
      <c r="E104" s="36"/>
      <c r="F104" s="169"/>
      <c r="J104" s="51" t="s">
        <v>134</v>
      </c>
      <c r="K104" s="51">
        <v>-3</v>
      </c>
      <c r="L104" s="51" t="s">
        <v>26</v>
      </c>
      <c r="M104" s="51">
        <v>1</v>
      </c>
      <c r="P104" s="39" t="s">
        <v>142</v>
      </c>
      <c r="Q104" s="28">
        <v>18</v>
      </c>
      <c r="R104" s="28" t="s">
        <v>43</v>
      </c>
      <c r="S104" s="28">
        <v>0</v>
      </c>
    </row>
    <row r="105" spans="1:19" x14ac:dyDescent="0.25">
      <c r="A105" s="144" t="s">
        <v>143</v>
      </c>
      <c r="B105" s="178">
        <v>28</v>
      </c>
      <c r="C105" s="144" t="s">
        <v>84</v>
      </c>
      <c r="D105" s="144">
        <v>1</v>
      </c>
      <c r="E105" s="36"/>
      <c r="F105" s="169"/>
      <c r="J105" s="51" t="s">
        <v>134</v>
      </c>
      <c r="K105" s="51">
        <v>-2</v>
      </c>
      <c r="L105" s="51" t="s">
        <v>83</v>
      </c>
      <c r="M105" s="51">
        <v>1</v>
      </c>
      <c r="P105" s="39" t="s">
        <v>142</v>
      </c>
      <c r="Q105" s="28">
        <v>18</v>
      </c>
      <c r="R105" s="28" t="s">
        <v>80</v>
      </c>
      <c r="S105" s="28">
        <v>0</v>
      </c>
    </row>
    <row r="106" spans="1:19" x14ac:dyDescent="0.25">
      <c r="A106" s="144" t="s">
        <v>143</v>
      </c>
      <c r="B106" s="178">
        <v>29</v>
      </c>
      <c r="C106" s="144" t="s">
        <v>84</v>
      </c>
      <c r="D106" s="144">
        <v>1</v>
      </c>
      <c r="E106" s="36"/>
      <c r="F106" s="169"/>
      <c r="J106" s="51" t="s">
        <v>134</v>
      </c>
      <c r="K106" s="51">
        <v>-1</v>
      </c>
      <c r="L106" s="51" t="s">
        <v>83</v>
      </c>
      <c r="M106" s="51">
        <v>1</v>
      </c>
      <c r="P106" s="39" t="s">
        <v>142</v>
      </c>
      <c r="Q106" s="28">
        <v>18</v>
      </c>
      <c r="R106" s="28" t="s">
        <v>17</v>
      </c>
      <c r="S106" s="28">
        <v>0</v>
      </c>
    </row>
    <row r="107" spans="1:19" x14ac:dyDescent="0.25">
      <c r="A107" s="144" t="s">
        <v>143</v>
      </c>
      <c r="B107" s="178">
        <v>30</v>
      </c>
      <c r="C107" s="144" t="s">
        <v>63</v>
      </c>
      <c r="D107" s="144">
        <v>1</v>
      </c>
      <c r="E107" s="36"/>
      <c r="F107" s="169"/>
      <c r="J107" s="51" t="s">
        <v>134</v>
      </c>
      <c r="K107" s="51">
        <v>0</v>
      </c>
      <c r="L107" s="51" t="s">
        <v>26</v>
      </c>
      <c r="M107" s="51">
        <v>1</v>
      </c>
      <c r="P107" s="39" t="s">
        <v>142</v>
      </c>
      <c r="Q107" s="28">
        <v>18</v>
      </c>
      <c r="R107" s="28" t="s">
        <v>53</v>
      </c>
      <c r="S107" s="28">
        <v>0</v>
      </c>
    </row>
    <row r="108" spans="1:19" x14ac:dyDescent="0.25">
      <c r="A108" s="144" t="s">
        <v>133</v>
      </c>
      <c r="B108" s="178">
        <v>28</v>
      </c>
      <c r="C108" s="144" t="s">
        <v>84</v>
      </c>
      <c r="D108" s="144">
        <v>1</v>
      </c>
      <c r="E108" s="36"/>
      <c r="F108" s="169"/>
      <c r="J108" s="51" t="s">
        <v>135</v>
      </c>
      <c r="K108" s="51">
        <v>-6</v>
      </c>
      <c r="L108" s="51" t="s">
        <v>83</v>
      </c>
      <c r="M108" s="51">
        <v>1</v>
      </c>
      <c r="P108" s="39" t="s">
        <v>336</v>
      </c>
      <c r="Q108" s="28">
        <v>7</v>
      </c>
      <c r="R108" s="28" t="s">
        <v>83</v>
      </c>
      <c r="S108" s="28">
        <v>1</v>
      </c>
    </row>
    <row r="109" spans="1:19" x14ac:dyDescent="0.25">
      <c r="A109" s="144" t="s">
        <v>133</v>
      </c>
      <c r="B109" s="178">
        <v>29</v>
      </c>
      <c r="C109" s="144" t="s">
        <v>84</v>
      </c>
      <c r="D109" s="144">
        <v>1</v>
      </c>
      <c r="E109" s="36"/>
      <c r="F109" s="169"/>
      <c r="J109" s="51" t="s">
        <v>135</v>
      </c>
      <c r="K109" s="51">
        <v>-5</v>
      </c>
      <c r="L109" s="51" t="s">
        <v>31</v>
      </c>
      <c r="M109" s="51">
        <v>1</v>
      </c>
      <c r="P109" s="39" t="s">
        <v>336</v>
      </c>
      <c r="Q109" s="28">
        <v>8</v>
      </c>
      <c r="R109" s="28" t="s">
        <v>83</v>
      </c>
      <c r="S109" s="28">
        <v>1</v>
      </c>
    </row>
    <row r="110" spans="1:19" x14ac:dyDescent="0.25">
      <c r="A110" s="144" t="s">
        <v>133</v>
      </c>
      <c r="B110" s="178">
        <v>30</v>
      </c>
      <c r="C110" s="144" t="s">
        <v>63</v>
      </c>
      <c r="D110" s="144">
        <v>1</v>
      </c>
      <c r="E110" s="36"/>
      <c r="F110" s="169"/>
      <c r="J110" s="51" t="s">
        <v>135</v>
      </c>
      <c r="K110" s="51">
        <v>-4</v>
      </c>
      <c r="L110" s="51" t="s">
        <v>53</v>
      </c>
      <c r="M110" s="51">
        <v>1</v>
      </c>
      <c r="P110" s="39" t="s">
        <v>336</v>
      </c>
      <c r="Q110" s="28">
        <v>21</v>
      </c>
      <c r="R110" s="28" t="s">
        <v>83</v>
      </c>
      <c r="S110" s="28">
        <v>1</v>
      </c>
    </row>
    <row r="111" spans="1:19" x14ac:dyDescent="0.25">
      <c r="A111" s="179" t="s">
        <v>123</v>
      </c>
      <c r="B111" s="180">
        <v>14</v>
      </c>
      <c r="C111" s="179" t="s">
        <v>19</v>
      </c>
      <c r="D111" s="179">
        <v>1</v>
      </c>
      <c r="E111" s="36" t="s">
        <v>373</v>
      </c>
      <c r="F111" s="169"/>
      <c r="J111" s="51" t="s">
        <v>135</v>
      </c>
      <c r="K111" s="51">
        <v>-3</v>
      </c>
      <c r="L111" s="51" t="s">
        <v>65</v>
      </c>
      <c r="M111" s="51">
        <v>1</v>
      </c>
      <c r="P111" s="39" t="s">
        <v>336</v>
      </c>
      <c r="Q111" s="28">
        <v>22</v>
      </c>
      <c r="R111" s="28" t="s">
        <v>83</v>
      </c>
      <c r="S111" s="28">
        <v>1</v>
      </c>
    </row>
    <row r="112" spans="1:19" x14ac:dyDescent="0.25">
      <c r="A112" s="179" t="s">
        <v>336</v>
      </c>
      <c r="B112" s="180">
        <v>14</v>
      </c>
      <c r="C112" s="179" t="s">
        <v>19</v>
      </c>
      <c r="D112" s="179">
        <v>1</v>
      </c>
      <c r="E112" s="36"/>
      <c r="F112" s="169"/>
      <c r="J112" s="51" t="s">
        <v>135</v>
      </c>
      <c r="K112" s="51">
        <v>-2</v>
      </c>
      <c r="L112" s="51" t="s">
        <v>83</v>
      </c>
      <c r="M112" s="51">
        <v>1</v>
      </c>
      <c r="P112" s="39" t="s">
        <v>336</v>
      </c>
      <c r="Q112" s="28">
        <v>28</v>
      </c>
      <c r="R112" s="28" t="s">
        <v>83</v>
      </c>
      <c r="S112" s="28">
        <v>1</v>
      </c>
    </row>
    <row r="113" spans="1:19" x14ac:dyDescent="0.25">
      <c r="A113" s="179" t="s">
        <v>137</v>
      </c>
      <c r="B113" s="180">
        <v>28</v>
      </c>
      <c r="C113" s="179" t="s">
        <v>19</v>
      </c>
      <c r="D113" s="179">
        <v>1</v>
      </c>
      <c r="E113" s="36"/>
      <c r="F113" s="169"/>
      <c r="J113" s="51" t="s">
        <v>135</v>
      </c>
      <c r="K113" s="51">
        <v>-1</v>
      </c>
      <c r="L113" s="51" t="s">
        <v>83</v>
      </c>
      <c r="M113" s="51">
        <v>1</v>
      </c>
      <c r="P113" s="39" t="s">
        <v>144</v>
      </c>
      <c r="Q113" s="28">
        <v>7</v>
      </c>
      <c r="R113" s="28" t="s">
        <v>83</v>
      </c>
      <c r="S113" s="28">
        <v>1</v>
      </c>
    </row>
    <row r="114" spans="1:19" x14ac:dyDescent="0.25">
      <c r="A114" s="179" t="s">
        <v>335</v>
      </c>
      <c r="B114" s="180">
        <v>28</v>
      </c>
      <c r="C114" s="179" t="s">
        <v>19</v>
      </c>
      <c r="D114" s="179">
        <v>1</v>
      </c>
      <c r="E114" s="36"/>
      <c r="F114" s="169"/>
      <c r="J114" s="51" t="s">
        <v>135</v>
      </c>
      <c r="K114" s="51">
        <v>0</v>
      </c>
      <c r="L114" s="51" t="s">
        <v>31</v>
      </c>
      <c r="M114" s="51">
        <v>1</v>
      </c>
      <c r="P114" s="39" t="s">
        <v>144</v>
      </c>
      <c r="Q114" s="28">
        <v>8</v>
      </c>
      <c r="R114" s="28" t="s">
        <v>83</v>
      </c>
      <c r="S114" s="28">
        <v>1</v>
      </c>
    </row>
    <row r="115" spans="1:19" x14ac:dyDescent="0.25">
      <c r="A115" s="28" t="s">
        <v>134</v>
      </c>
      <c r="B115" s="28">
        <v>5</v>
      </c>
      <c r="C115" s="28" t="s">
        <v>5</v>
      </c>
      <c r="D115" s="28">
        <v>1</v>
      </c>
      <c r="E115" s="36"/>
      <c r="F115" s="169"/>
      <c r="J115" s="51" t="s">
        <v>136</v>
      </c>
      <c r="K115" s="51">
        <v>-6</v>
      </c>
      <c r="L115" s="51" t="s">
        <v>26</v>
      </c>
      <c r="M115" s="51">
        <v>1</v>
      </c>
      <c r="P115" s="39" t="s">
        <v>130</v>
      </c>
      <c r="Q115" s="28">
        <v>2</v>
      </c>
      <c r="R115" s="28" t="s">
        <v>31</v>
      </c>
      <c r="S115" s="28">
        <v>1</v>
      </c>
    </row>
    <row r="116" spans="1:19" x14ac:dyDescent="0.25">
      <c r="A116" s="28" t="s">
        <v>134</v>
      </c>
      <c r="B116" s="28">
        <v>12</v>
      </c>
      <c r="C116" s="28" t="s">
        <v>5</v>
      </c>
      <c r="D116" s="28">
        <v>1</v>
      </c>
      <c r="E116" s="36"/>
      <c r="F116" s="169"/>
      <c r="J116" s="51" t="s">
        <v>136</v>
      </c>
      <c r="K116" s="51">
        <v>-5</v>
      </c>
      <c r="L116" s="51" t="s">
        <v>26</v>
      </c>
      <c r="M116" s="51">
        <v>1</v>
      </c>
      <c r="P116" s="39" t="s">
        <v>130</v>
      </c>
      <c r="Q116" s="28">
        <v>3</v>
      </c>
      <c r="R116" s="28" t="s">
        <v>5</v>
      </c>
      <c r="S116" s="28">
        <v>1</v>
      </c>
    </row>
    <row r="117" spans="1:19" x14ac:dyDescent="0.25">
      <c r="A117" s="28" t="s">
        <v>134</v>
      </c>
      <c r="B117" s="28">
        <v>19</v>
      </c>
      <c r="C117" s="28" t="s">
        <v>5</v>
      </c>
      <c r="D117" s="28">
        <v>1</v>
      </c>
      <c r="E117" s="36"/>
      <c r="F117" s="169"/>
      <c r="J117" s="51" t="s">
        <v>136</v>
      </c>
      <c r="K117" s="51">
        <v>-4</v>
      </c>
      <c r="L117" s="51" t="s">
        <v>17</v>
      </c>
      <c r="M117" s="51">
        <v>1</v>
      </c>
      <c r="P117" s="39" t="s">
        <v>130</v>
      </c>
      <c r="Q117" s="28">
        <v>5</v>
      </c>
      <c r="R117" s="28" t="s">
        <v>65</v>
      </c>
      <c r="S117" s="28">
        <v>1</v>
      </c>
    </row>
    <row r="118" spans="1:19" x14ac:dyDescent="0.25">
      <c r="A118" s="28" t="s">
        <v>134</v>
      </c>
      <c r="B118" s="28">
        <v>26</v>
      </c>
      <c r="C118" s="28" t="s">
        <v>5</v>
      </c>
      <c r="D118" s="28">
        <v>1</v>
      </c>
      <c r="E118" s="36"/>
      <c r="F118" s="169"/>
      <c r="J118" s="51" t="s">
        <v>136</v>
      </c>
      <c r="K118" s="51">
        <v>-3</v>
      </c>
      <c r="L118" s="51" t="s">
        <v>65</v>
      </c>
      <c r="M118" s="51">
        <v>1</v>
      </c>
      <c r="P118" s="39" t="s">
        <v>130</v>
      </c>
      <c r="Q118" s="28">
        <v>6</v>
      </c>
      <c r="R118" s="28" t="s">
        <v>31</v>
      </c>
      <c r="S118" s="28">
        <v>1</v>
      </c>
    </row>
    <row r="119" spans="1:19" x14ac:dyDescent="0.25">
      <c r="A119" s="28" t="s">
        <v>122</v>
      </c>
      <c r="B119" s="28">
        <v>2</v>
      </c>
      <c r="C119" s="28" t="s">
        <v>5</v>
      </c>
      <c r="D119" s="28">
        <v>1</v>
      </c>
      <c r="E119" s="36"/>
      <c r="F119" s="169"/>
      <c r="J119" s="51" t="s">
        <v>136</v>
      </c>
      <c r="K119" s="51">
        <v>-2</v>
      </c>
      <c r="L119" s="51" t="s">
        <v>83</v>
      </c>
      <c r="M119" s="51">
        <v>1</v>
      </c>
      <c r="P119" s="39" t="s">
        <v>130</v>
      </c>
      <c r="Q119" s="28">
        <v>9</v>
      </c>
      <c r="R119" s="28" t="s">
        <v>31</v>
      </c>
      <c r="S119" s="28">
        <v>1</v>
      </c>
    </row>
    <row r="120" spans="1:19" x14ac:dyDescent="0.25">
      <c r="A120" s="28" t="s">
        <v>122</v>
      </c>
      <c r="B120" s="28">
        <v>5</v>
      </c>
      <c r="C120" s="28" t="s">
        <v>5</v>
      </c>
      <c r="D120" s="28">
        <v>1</v>
      </c>
      <c r="E120" s="36"/>
      <c r="F120" s="169"/>
      <c r="J120" s="51" t="s">
        <v>136</v>
      </c>
      <c r="K120" s="51">
        <v>-1</v>
      </c>
      <c r="L120" s="51" t="s">
        <v>83</v>
      </c>
      <c r="M120" s="51">
        <v>1</v>
      </c>
      <c r="P120" s="39" t="s">
        <v>130</v>
      </c>
      <c r="Q120" s="28">
        <v>10</v>
      </c>
      <c r="R120" s="28" t="s">
        <v>5</v>
      </c>
      <c r="S120" s="28">
        <v>1</v>
      </c>
    </row>
    <row r="121" spans="1:19" x14ac:dyDescent="0.25">
      <c r="A121" s="28" t="s">
        <v>122</v>
      </c>
      <c r="B121" s="28">
        <v>6</v>
      </c>
      <c r="C121" s="28" t="s">
        <v>5</v>
      </c>
      <c r="D121" s="28">
        <v>1</v>
      </c>
      <c r="E121" s="36"/>
      <c r="F121" s="169"/>
      <c r="J121" s="51" t="s">
        <v>136</v>
      </c>
      <c r="K121" s="51">
        <v>0</v>
      </c>
      <c r="L121" s="51" t="s">
        <v>53</v>
      </c>
      <c r="M121" s="51">
        <v>1</v>
      </c>
      <c r="P121" s="39" t="s">
        <v>130</v>
      </c>
      <c r="Q121" s="28">
        <v>12</v>
      </c>
      <c r="R121" s="28" t="s">
        <v>65</v>
      </c>
      <c r="S121" s="28">
        <v>1</v>
      </c>
    </row>
    <row r="122" spans="1:19" x14ac:dyDescent="0.25">
      <c r="A122" s="28" t="s">
        <v>122</v>
      </c>
      <c r="B122" s="28">
        <v>9</v>
      </c>
      <c r="C122" s="28" t="s">
        <v>5</v>
      </c>
      <c r="D122" s="28">
        <v>1</v>
      </c>
      <c r="E122" s="36"/>
      <c r="F122" s="169"/>
      <c r="J122" s="51" t="s">
        <v>342</v>
      </c>
      <c r="K122" s="51">
        <v>-6</v>
      </c>
      <c r="L122" s="51" t="s">
        <v>31</v>
      </c>
      <c r="M122" s="51">
        <v>1</v>
      </c>
      <c r="P122" s="39" t="s">
        <v>130</v>
      </c>
      <c r="Q122" s="28">
        <v>13</v>
      </c>
      <c r="R122" s="28" t="s">
        <v>31</v>
      </c>
      <c r="S122" s="28">
        <v>1</v>
      </c>
    </row>
    <row r="123" spans="1:19" x14ac:dyDescent="0.25">
      <c r="A123" s="28" t="s">
        <v>122</v>
      </c>
      <c r="B123" s="28">
        <v>12</v>
      </c>
      <c r="C123" s="28" t="s">
        <v>5</v>
      </c>
      <c r="D123" s="28">
        <v>1</v>
      </c>
      <c r="E123" s="36"/>
      <c r="F123" s="169"/>
      <c r="J123" s="51" t="s">
        <v>342</v>
      </c>
      <c r="K123" s="51">
        <v>-5</v>
      </c>
      <c r="L123" s="51" t="s">
        <v>31</v>
      </c>
      <c r="M123" s="51">
        <v>1</v>
      </c>
      <c r="P123" s="39" t="s">
        <v>130</v>
      </c>
      <c r="Q123" s="28">
        <v>16</v>
      </c>
      <c r="R123" s="28" t="s">
        <v>31</v>
      </c>
      <c r="S123" s="28">
        <v>1</v>
      </c>
    </row>
    <row r="124" spans="1:19" x14ac:dyDescent="0.25">
      <c r="A124" s="28" t="s">
        <v>122</v>
      </c>
      <c r="B124" s="28">
        <v>13</v>
      </c>
      <c r="C124" s="28" t="s">
        <v>5</v>
      </c>
      <c r="D124" s="28">
        <v>1</v>
      </c>
      <c r="E124" s="36"/>
      <c r="F124" s="169"/>
      <c r="J124" s="51" t="s">
        <v>342</v>
      </c>
      <c r="K124" s="51">
        <v>-4</v>
      </c>
      <c r="L124" s="51" t="s">
        <v>31</v>
      </c>
      <c r="M124" s="51">
        <v>1</v>
      </c>
      <c r="P124" s="39" t="s">
        <v>130</v>
      </c>
      <c r="Q124" s="28">
        <v>17</v>
      </c>
      <c r="R124" s="28" t="s">
        <v>5</v>
      </c>
      <c r="S124" s="28">
        <v>1</v>
      </c>
    </row>
    <row r="125" spans="1:19" x14ac:dyDescent="0.25">
      <c r="A125" s="28" t="s">
        <v>122</v>
      </c>
      <c r="B125" s="28">
        <v>16</v>
      </c>
      <c r="C125" s="28" t="s">
        <v>5</v>
      </c>
      <c r="D125" s="28">
        <v>1</v>
      </c>
      <c r="E125" s="36"/>
      <c r="F125" s="169"/>
      <c r="J125" s="51" t="s">
        <v>342</v>
      </c>
      <c r="K125" s="51">
        <v>-3</v>
      </c>
      <c r="L125" s="51" t="s">
        <v>31</v>
      </c>
      <c r="M125" s="51">
        <v>1</v>
      </c>
      <c r="P125" s="39" t="s">
        <v>130</v>
      </c>
      <c r="Q125" s="28">
        <v>19</v>
      </c>
      <c r="R125" s="28" t="s">
        <v>65</v>
      </c>
      <c r="S125" s="28">
        <v>1</v>
      </c>
    </row>
    <row r="126" spans="1:19" x14ac:dyDescent="0.25">
      <c r="A126" s="28" t="s">
        <v>122</v>
      </c>
      <c r="B126" s="28">
        <v>19</v>
      </c>
      <c r="C126" s="28" t="s">
        <v>5</v>
      </c>
      <c r="D126" s="28">
        <v>1</v>
      </c>
      <c r="E126" s="36"/>
      <c r="F126" s="169"/>
      <c r="J126" s="51" t="s">
        <v>342</v>
      </c>
      <c r="K126" s="51">
        <v>-2</v>
      </c>
      <c r="L126" s="51" t="s">
        <v>83</v>
      </c>
      <c r="M126" s="51">
        <v>1</v>
      </c>
      <c r="P126" s="39" t="s">
        <v>130</v>
      </c>
      <c r="Q126" s="28">
        <v>20</v>
      </c>
      <c r="R126" s="28" t="s">
        <v>31</v>
      </c>
      <c r="S126" s="28">
        <v>1</v>
      </c>
    </row>
    <row r="127" spans="1:19" x14ac:dyDescent="0.25">
      <c r="A127" s="28" t="s">
        <v>122</v>
      </c>
      <c r="B127" s="28">
        <v>20</v>
      </c>
      <c r="C127" s="28" t="s">
        <v>5</v>
      </c>
      <c r="D127" s="28">
        <v>1</v>
      </c>
      <c r="E127" s="36"/>
      <c r="F127" s="169"/>
      <c r="J127" s="51" t="s">
        <v>342</v>
      </c>
      <c r="K127" s="51">
        <v>-1</v>
      </c>
      <c r="L127" s="51" t="s">
        <v>83</v>
      </c>
      <c r="M127" s="51">
        <v>1</v>
      </c>
      <c r="P127" s="39" t="s">
        <v>130</v>
      </c>
      <c r="Q127" s="28">
        <v>23</v>
      </c>
      <c r="R127" s="28" t="s">
        <v>31</v>
      </c>
      <c r="S127" s="28">
        <v>1</v>
      </c>
    </row>
    <row r="128" spans="1:19" x14ac:dyDescent="0.25">
      <c r="A128" s="28" t="s">
        <v>122</v>
      </c>
      <c r="B128" s="28">
        <v>23</v>
      </c>
      <c r="C128" s="28" t="s">
        <v>5</v>
      </c>
      <c r="D128" s="28">
        <v>1</v>
      </c>
      <c r="E128" s="36"/>
      <c r="F128" s="169"/>
      <c r="J128" s="51" t="s">
        <v>342</v>
      </c>
      <c r="K128" s="51">
        <v>0</v>
      </c>
      <c r="L128" s="51" t="s">
        <v>31</v>
      </c>
      <c r="M128" s="51">
        <v>1</v>
      </c>
      <c r="P128" s="39" t="s">
        <v>130</v>
      </c>
      <c r="Q128" s="28">
        <v>24</v>
      </c>
      <c r="R128" s="28" t="s">
        <v>5</v>
      </c>
      <c r="S128" s="28">
        <v>1</v>
      </c>
    </row>
    <row r="129" spans="1:19" x14ac:dyDescent="0.25">
      <c r="A129" s="28" t="s">
        <v>122</v>
      </c>
      <c r="B129" s="28">
        <v>26</v>
      </c>
      <c r="C129" s="28" t="s">
        <v>5</v>
      </c>
      <c r="D129" s="28">
        <v>1</v>
      </c>
      <c r="E129" s="36"/>
      <c r="F129" s="169"/>
      <c r="J129" s="51" t="s">
        <v>337</v>
      </c>
      <c r="K129" s="51">
        <v>-6</v>
      </c>
      <c r="L129" s="51" t="s">
        <v>63</v>
      </c>
      <c r="M129" s="51">
        <v>1</v>
      </c>
      <c r="P129" s="39" t="s">
        <v>130</v>
      </c>
      <c r="Q129" s="28">
        <v>26</v>
      </c>
      <c r="R129" s="28" t="s">
        <v>65</v>
      </c>
      <c r="S129" s="28">
        <v>1</v>
      </c>
    </row>
    <row r="130" spans="1:19" x14ac:dyDescent="0.25">
      <c r="A130" s="28" t="s">
        <v>122</v>
      </c>
      <c r="B130" s="28">
        <v>27</v>
      </c>
      <c r="C130" s="28" t="s">
        <v>5</v>
      </c>
      <c r="D130" s="28">
        <v>1</v>
      </c>
      <c r="F130" s="169"/>
      <c r="J130" s="51" t="s">
        <v>337</v>
      </c>
      <c r="K130" s="51">
        <v>-5</v>
      </c>
      <c r="L130" s="51" t="s">
        <v>63</v>
      </c>
      <c r="M130" s="51">
        <v>1</v>
      </c>
      <c r="P130" s="39" t="s">
        <v>130</v>
      </c>
      <c r="Q130" s="28">
        <v>30</v>
      </c>
      <c r="R130" s="28" t="s">
        <v>31</v>
      </c>
      <c r="S130" s="28">
        <v>1</v>
      </c>
    </row>
    <row r="131" spans="1:19" x14ac:dyDescent="0.25">
      <c r="A131" s="28" t="s">
        <v>122</v>
      </c>
      <c r="B131" s="28">
        <v>30</v>
      </c>
      <c r="C131" s="28" t="s">
        <v>5</v>
      </c>
      <c r="D131" s="28">
        <v>1</v>
      </c>
      <c r="E131" s="36"/>
      <c r="F131" s="169"/>
      <c r="J131" s="51" t="s">
        <v>337</v>
      </c>
      <c r="K131" s="51">
        <v>-4</v>
      </c>
      <c r="L131" s="51" t="s">
        <v>63</v>
      </c>
      <c r="M131" s="51">
        <v>1</v>
      </c>
      <c r="P131" s="39" t="s">
        <v>130</v>
      </c>
      <c r="Q131" s="28">
        <v>31</v>
      </c>
      <c r="R131" s="28" t="s">
        <v>5</v>
      </c>
      <c r="S131" s="28">
        <v>1</v>
      </c>
    </row>
    <row r="132" spans="1:19" x14ac:dyDescent="0.25">
      <c r="A132" s="28" t="s">
        <v>122</v>
      </c>
      <c r="B132" s="28">
        <v>33</v>
      </c>
      <c r="C132" s="28" t="s">
        <v>5</v>
      </c>
      <c r="D132" s="28">
        <v>1</v>
      </c>
      <c r="E132" s="36"/>
      <c r="F132" s="169"/>
      <c r="J132" s="51" t="s">
        <v>337</v>
      </c>
      <c r="K132" s="51">
        <v>-3</v>
      </c>
      <c r="L132" s="51" t="s">
        <v>63</v>
      </c>
      <c r="M132" s="51">
        <v>1</v>
      </c>
      <c r="P132" s="39" t="s">
        <v>130</v>
      </c>
      <c r="Q132" s="28">
        <v>33</v>
      </c>
      <c r="R132" s="28" t="s">
        <v>65</v>
      </c>
      <c r="S132" s="28">
        <v>1</v>
      </c>
    </row>
    <row r="133" spans="1:19" x14ac:dyDescent="0.25">
      <c r="A133" s="28" t="s">
        <v>122</v>
      </c>
      <c r="B133" s="28">
        <v>34</v>
      </c>
      <c r="C133" s="28" t="s">
        <v>5</v>
      </c>
      <c r="D133" s="28">
        <v>1</v>
      </c>
      <c r="E133" s="36"/>
      <c r="F133" s="169"/>
      <c r="J133" s="51" t="s">
        <v>337</v>
      </c>
      <c r="K133" s="51">
        <v>-2</v>
      </c>
      <c r="L133" s="51" t="s">
        <v>84</v>
      </c>
      <c r="M133" s="51">
        <v>1</v>
      </c>
      <c r="P133" s="39" t="s">
        <v>130</v>
      </c>
      <c r="Q133" s="28">
        <v>34</v>
      </c>
      <c r="R133" s="28" t="s">
        <v>31</v>
      </c>
      <c r="S133" s="28">
        <v>1</v>
      </c>
    </row>
    <row r="134" spans="1:19" x14ac:dyDescent="0.25">
      <c r="A134" s="28" t="s">
        <v>145</v>
      </c>
      <c r="B134" s="28">
        <v>-6</v>
      </c>
      <c r="C134" s="28" t="s">
        <v>83</v>
      </c>
      <c r="D134" s="28">
        <v>1</v>
      </c>
      <c r="E134" s="36" t="s">
        <v>338</v>
      </c>
      <c r="J134" s="51" t="s">
        <v>337</v>
      </c>
      <c r="K134" s="51">
        <v>-1</v>
      </c>
      <c r="L134" s="51" t="s">
        <v>84</v>
      </c>
      <c r="M134" s="51">
        <v>1</v>
      </c>
      <c r="P134" s="39" t="s">
        <v>136</v>
      </c>
      <c r="Q134" s="28">
        <v>26</v>
      </c>
      <c r="R134" s="28" t="s">
        <v>17</v>
      </c>
      <c r="S134" s="28">
        <v>1</v>
      </c>
    </row>
    <row r="135" spans="1:19" x14ac:dyDescent="0.25">
      <c r="A135" s="28" t="s">
        <v>145</v>
      </c>
      <c r="B135" s="28">
        <v>-5</v>
      </c>
      <c r="C135" s="28" t="s">
        <v>31</v>
      </c>
      <c r="D135" s="28">
        <v>1</v>
      </c>
      <c r="E135" s="36"/>
      <c r="J135" s="51" t="s">
        <v>337</v>
      </c>
      <c r="K135" s="51">
        <v>0</v>
      </c>
      <c r="L135" s="51" t="s">
        <v>31</v>
      </c>
      <c r="M135" s="51">
        <v>1</v>
      </c>
      <c r="P135" s="39" t="s">
        <v>136</v>
      </c>
      <c r="Q135" s="28">
        <v>27</v>
      </c>
      <c r="R135" s="28" t="s">
        <v>65</v>
      </c>
      <c r="S135" s="28">
        <v>1</v>
      </c>
    </row>
    <row r="136" spans="1:19" x14ac:dyDescent="0.25">
      <c r="A136" s="28" t="s">
        <v>145</v>
      </c>
      <c r="B136" s="28">
        <v>-4</v>
      </c>
      <c r="C136" s="28" t="s">
        <v>31</v>
      </c>
      <c r="D136" s="28">
        <v>1</v>
      </c>
      <c r="E136" s="36"/>
      <c r="J136" s="51" t="s">
        <v>137</v>
      </c>
      <c r="K136" s="51">
        <v>-6</v>
      </c>
      <c r="L136" s="51" t="s">
        <v>69</v>
      </c>
      <c r="M136" s="51">
        <v>1</v>
      </c>
      <c r="P136" s="39" t="s">
        <v>136</v>
      </c>
      <c r="Q136" s="28">
        <v>28</v>
      </c>
      <c r="R136" s="28" t="s">
        <v>83</v>
      </c>
      <c r="S136" s="28">
        <v>1</v>
      </c>
    </row>
    <row r="137" spans="1:19" x14ac:dyDescent="0.25">
      <c r="A137" s="28" t="s">
        <v>145</v>
      </c>
      <c r="B137" s="28">
        <v>-3</v>
      </c>
      <c r="C137" s="28" t="s">
        <v>31</v>
      </c>
      <c r="D137" s="28">
        <v>1</v>
      </c>
      <c r="E137" s="36"/>
      <c r="J137" s="51" t="s">
        <v>137</v>
      </c>
      <c r="K137" s="51">
        <v>-5</v>
      </c>
      <c r="L137" s="51" t="s">
        <v>69</v>
      </c>
      <c r="M137" s="51">
        <v>1</v>
      </c>
      <c r="P137" s="39" t="s">
        <v>136</v>
      </c>
      <c r="Q137" s="28">
        <v>29</v>
      </c>
      <c r="R137" s="28" t="s">
        <v>83</v>
      </c>
      <c r="S137" s="28">
        <v>1</v>
      </c>
    </row>
    <row r="138" spans="1:19" x14ac:dyDescent="0.25">
      <c r="A138" s="28" t="s">
        <v>145</v>
      </c>
      <c r="B138" s="28">
        <v>-2</v>
      </c>
      <c r="C138" s="28" t="s">
        <v>31</v>
      </c>
      <c r="D138" s="28">
        <v>1</v>
      </c>
      <c r="E138" s="36"/>
      <c r="J138" s="51" t="s">
        <v>137</v>
      </c>
      <c r="K138" s="51">
        <v>-4</v>
      </c>
      <c r="L138" s="51" t="s">
        <v>31</v>
      </c>
      <c r="M138" s="51">
        <v>1</v>
      </c>
      <c r="P138" s="39" t="s">
        <v>136</v>
      </c>
      <c r="Q138" s="28">
        <v>14</v>
      </c>
      <c r="R138" s="28" t="s">
        <v>83</v>
      </c>
      <c r="S138" s="28">
        <v>1</v>
      </c>
    </row>
    <row r="139" spans="1:19" x14ac:dyDescent="0.25">
      <c r="A139" s="28" t="s">
        <v>145</v>
      </c>
      <c r="B139" s="28">
        <v>-1</v>
      </c>
      <c r="C139" s="28" t="s">
        <v>31</v>
      </c>
      <c r="D139" s="28">
        <v>1</v>
      </c>
      <c r="E139" s="36"/>
      <c r="J139" s="51" t="s">
        <v>137</v>
      </c>
      <c r="K139" s="51">
        <v>-3</v>
      </c>
      <c r="L139" s="51" t="s">
        <v>31</v>
      </c>
      <c r="M139" s="51">
        <v>1</v>
      </c>
      <c r="P139" s="39" t="s">
        <v>136</v>
      </c>
      <c r="Q139" s="28">
        <v>15</v>
      </c>
      <c r="R139" s="28" t="s">
        <v>83</v>
      </c>
      <c r="S139" s="28">
        <v>1</v>
      </c>
    </row>
    <row r="140" spans="1:19" x14ac:dyDescent="0.25">
      <c r="A140" s="28" t="s">
        <v>145</v>
      </c>
      <c r="B140" s="28">
        <v>0</v>
      </c>
      <c r="C140" s="28" t="s">
        <v>83</v>
      </c>
      <c r="D140" s="28">
        <v>1</v>
      </c>
      <c r="E140" s="36"/>
      <c r="J140" s="51" t="s">
        <v>137</v>
      </c>
      <c r="K140" s="51">
        <v>-2</v>
      </c>
      <c r="L140" s="51" t="s">
        <v>19</v>
      </c>
      <c r="M140" s="51">
        <v>1</v>
      </c>
      <c r="P140" s="39" t="s">
        <v>136</v>
      </c>
      <c r="Q140" s="28">
        <v>8</v>
      </c>
      <c r="R140" s="28" t="s">
        <v>372</v>
      </c>
      <c r="S140" s="28">
        <v>1</v>
      </c>
    </row>
    <row r="141" spans="1:19" x14ac:dyDescent="0.25">
      <c r="A141" s="28" t="s">
        <v>128</v>
      </c>
      <c r="B141" s="28">
        <v>-6</v>
      </c>
      <c r="C141" s="28" t="s">
        <v>38</v>
      </c>
      <c r="D141" s="28">
        <v>1</v>
      </c>
      <c r="E141" s="36"/>
      <c r="J141" s="51" t="s">
        <v>137</v>
      </c>
      <c r="K141" s="51">
        <v>-1</v>
      </c>
      <c r="L141" s="51" t="s">
        <v>83</v>
      </c>
      <c r="M141" s="51">
        <v>1</v>
      </c>
      <c r="P141" s="39" t="s">
        <v>146</v>
      </c>
      <c r="Q141" s="28">
        <v>4</v>
      </c>
      <c r="R141" s="28" t="s">
        <v>5</v>
      </c>
      <c r="S141" s="28">
        <v>1</v>
      </c>
    </row>
    <row r="142" spans="1:19" x14ac:dyDescent="0.25">
      <c r="A142" s="28" t="s">
        <v>128</v>
      </c>
      <c r="B142" s="28">
        <v>-5</v>
      </c>
      <c r="C142" s="28" t="s">
        <v>58</v>
      </c>
      <c r="D142" s="28">
        <v>1</v>
      </c>
      <c r="E142" s="36"/>
      <c r="J142" s="51" t="s">
        <v>137</v>
      </c>
      <c r="K142" s="51">
        <v>0</v>
      </c>
      <c r="L142" s="51" t="s">
        <v>32</v>
      </c>
      <c r="M142" s="51">
        <v>1</v>
      </c>
      <c r="P142" s="39" t="s">
        <v>146</v>
      </c>
      <c r="Q142" s="28">
        <v>5</v>
      </c>
      <c r="R142" s="28" t="s">
        <v>5</v>
      </c>
      <c r="S142" s="28">
        <v>1</v>
      </c>
    </row>
    <row r="143" spans="1:19" x14ac:dyDescent="0.25">
      <c r="A143" s="28" t="s">
        <v>128</v>
      </c>
      <c r="B143" s="28">
        <v>-4</v>
      </c>
      <c r="C143" s="28" t="s">
        <v>58</v>
      </c>
      <c r="D143" s="28">
        <v>1</v>
      </c>
      <c r="E143" s="36"/>
      <c r="J143" s="51" t="s">
        <v>146</v>
      </c>
      <c r="K143" s="51">
        <v>-6</v>
      </c>
      <c r="L143" s="51" t="s">
        <v>31</v>
      </c>
      <c r="M143" s="51">
        <v>1</v>
      </c>
      <c r="P143" s="39" t="s">
        <v>146</v>
      </c>
      <c r="Q143" s="28">
        <v>11</v>
      </c>
      <c r="R143" s="28" t="s">
        <v>5</v>
      </c>
      <c r="S143" s="28">
        <v>1</v>
      </c>
    </row>
    <row r="144" spans="1:19" x14ac:dyDescent="0.25">
      <c r="A144" s="28" t="s">
        <v>128</v>
      </c>
      <c r="B144" s="28">
        <v>-3</v>
      </c>
      <c r="C144" s="28" t="s">
        <v>58</v>
      </c>
      <c r="D144" s="28">
        <v>1</v>
      </c>
      <c r="E144" s="36"/>
      <c r="J144" s="51" t="s">
        <v>146</v>
      </c>
      <c r="K144" s="51">
        <v>-5</v>
      </c>
      <c r="L144" s="51" t="s">
        <v>32</v>
      </c>
      <c r="M144" s="51">
        <v>1</v>
      </c>
      <c r="P144" s="39" t="s">
        <v>146</v>
      </c>
      <c r="Q144" s="28">
        <v>19</v>
      </c>
      <c r="R144" s="28" t="s">
        <v>5</v>
      </c>
      <c r="S144" s="28">
        <v>1</v>
      </c>
    </row>
    <row r="145" spans="1:20" x14ac:dyDescent="0.25">
      <c r="A145" s="28" t="s">
        <v>128</v>
      </c>
      <c r="B145" s="28">
        <v>-2</v>
      </c>
      <c r="C145" s="28" t="s">
        <v>58</v>
      </c>
      <c r="D145" s="28">
        <v>1</v>
      </c>
      <c r="E145" s="36"/>
      <c r="J145" s="51" t="s">
        <v>146</v>
      </c>
      <c r="K145" s="51">
        <v>-4</v>
      </c>
      <c r="L145" s="51" t="s">
        <v>31</v>
      </c>
      <c r="M145" s="51">
        <v>1</v>
      </c>
      <c r="P145" s="39" t="s">
        <v>146</v>
      </c>
      <c r="Q145" s="28">
        <v>20</v>
      </c>
      <c r="R145" s="28" t="s">
        <v>5</v>
      </c>
      <c r="S145" s="28">
        <v>1</v>
      </c>
    </row>
    <row r="146" spans="1:20" x14ac:dyDescent="0.25">
      <c r="A146" s="28" t="s">
        <v>128</v>
      </c>
      <c r="B146" s="28">
        <v>-1</v>
      </c>
      <c r="C146" s="28" t="s">
        <v>58</v>
      </c>
      <c r="D146" s="28">
        <v>1</v>
      </c>
      <c r="E146" s="36"/>
      <c r="J146" s="51" t="s">
        <v>146</v>
      </c>
      <c r="K146" s="51">
        <v>-3</v>
      </c>
      <c r="L146" s="51" t="s">
        <v>53</v>
      </c>
      <c r="M146" s="51">
        <v>1</v>
      </c>
      <c r="P146" s="39" t="s">
        <v>146</v>
      </c>
      <c r="Q146" s="28">
        <v>21</v>
      </c>
      <c r="R146" s="28" t="s">
        <v>83</v>
      </c>
      <c r="S146" s="28">
        <v>1</v>
      </c>
    </row>
    <row r="147" spans="1:20" x14ac:dyDescent="0.25">
      <c r="A147" s="28" t="s">
        <v>128</v>
      </c>
      <c r="B147" s="28">
        <v>0</v>
      </c>
      <c r="C147" s="28" t="s">
        <v>83</v>
      </c>
      <c r="D147" s="28">
        <v>1</v>
      </c>
      <c r="E147" s="36"/>
      <c r="J147" s="51" t="s">
        <v>146</v>
      </c>
      <c r="K147" s="51">
        <v>-2</v>
      </c>
      <c r="L147" s="51" t="s">
        <v>83</v>
      </c>
      <c r="M147" s="51">
        <v>1</v>
      </c>
      <c r="P147" s="39" t="s">
        <v>146</v>
      </c>
      <c r="Q147" s="28">
        <v>22</v>
      </c>
      <c r="R147" s="28" t="s">
        <v>83</v>
      </c>
      <c r="S147" s="28">
        <v>1</v>
      </c>
    </row>
    <row r="148" spans="1:20" x14ac:dyDescent="0.25">
      <c r="A148" s="28" t="s">
        <v>123</v>
      </c>
      <c r="B148" s="28">
        <v>-6</v>
      </c>
      <c r="C148" s="28" t="s">
        <v>83</v>
      </c>
      <c r="D148" s="28">
        <v>1</v>
      </c>
      <c r="E148" s="36"/>
      <c r="J148" s="51" t="s">
        <v>146</v>
      </c>
      <c r="K148" s="51">
        <v>-1</v>
      </c>
      <c r="L148" s="51" t="s">
        <v>83</v>
      </c>
      <c r="M148" s="51">
        <v>1</v>
      </c>
      <c r="P148" s="39" t="s">
        <v>146</v>
      </c>
      <c r="Q148" s="28">
        <v>30</v>
      </c>
      <c r="R148" s="28" t="s">
        <v>5</v>
      </c>
      <c r="S148" s="28">
        <v>1</v>
      </c>
    </row>
    <row r="149" spans="1:20" x14ac:dyDescent="0.25">
      <c r="A149" s="28" t="s">
        <v>123</v>
      </c>
      <c r="B149" s="28">
        <v>-5</v>
      </c>
      <c r="C149" s="28" t="s">
        <v>63</v>
      </c>
      <c r="D149" s="28">
        <v>1</v>
      </c>
      <c r="E149" s="36"/>
      <c r="J149" s="51" t="s">
        <v>146</v>
      </c>
      <c r="K149" s="51">
        <v>0</v>
      </c>
      <c r="L149" s="51" t="s">
        <v>5</v>
      </c>
      <c r="M149" s="51">
        <v>1</v>
      </c>
      <c r="P149" s="39" t="s">
        <v>146</v>
      </c>
      <c r="Q149" s="28">
        <v>14</v>
      </c>
      <c r="R149" s="28" t="s">
        <v>53</v>
      </c>
      <c r="S149" s="28">
        <v>1</v>
      </c>
    </row>
    <row r="150" spans="1:20" x14ac:dyDescent="0.25">
      <c r="A150" s="28" t="s">
        <v>123</v>
      </c>
      <c r="B150" s="28">
        <v>-4</v>
      </c>
      <c r="C150" s="28" t="s">
        <v>63</v>
      </c>
      <c r="D150" s="28">
        <v>1</v>
      </c>
      <c r="E150" s="36"/>
      <c r="J150" s="51" t="s">
        <v>138</v>
      </c>
      <c r="K150" s="51">
        <v>-6</v>
      </c>
      <c r="L150" s="51" t="s">
        <v>63</v>
      </c>
      <c r="M150" s="51">
        <v>1</v>
      </c>
      <c r="P150" s="39" t="s">
        <v>146</v>
      </c>
      <c r="Q150" s="28">
        <v>27</v>
      </c>
      <c r="R150" s="28" t="s">
        <v>53</v>
      </c>
      <c r="S150" s="28">
        <v>1</v>
      </c>
    </row>
    <row r="151" spans="1:20" x14ac:dyDescent="0.25">
      <c r="A151" s="28" t="s">
        <v>123</v>
      </c>
      <c r="B151" s="28">
        <v>-3</v>
      </c>
      <c r="C151" s="28" t="s">
        <v>63</v>
      </c>
      <c r="D151" s="28">
        <v>1</v>
      </c>
      <c r="E151" s="36"/>
      <c r="J151" s="51" t="s">
        <v>138</v>
      </c>
      <c r="K151" s="51">
        <v>-5</v>
      </c>
      <c r="L151" s="51" t="s">
        <v>63</v>
      </c>
      <c r="M151" s="51">
        <v>1</v>
      </c>
      <c r="P151" s="39" t="s">
        <v>124</v>
      </c>
      <c r="Q151" s="28">
        <v>6</v>
      </c>
      <c r="R151" s="28" t="s">
        <v>5</v>
      </c>
      <c r="S151" s="28">
        <v>1</v>
      </c>
      <c r="T151" s="36"/>
    </row>
    <row r="152" spans="1:20" x14ac:dyDescent="0.25">
      <c r="A152" s="28" t="s">
        <v>123</v>
      </c>
      <c r="B152" s="28">
        <v>-2</v>
      </c>
      <c r="C152" s="28" t="s">
        <v>63</v>
      </c>
      <c r="D152" s="28">
        <v>1</v>
      </c>
      <c r="E152" s="36"/>
      <c r="J152" s="51" t="s">
        <v>138</v>
      </c>
      <c r="K152" s="51">
        <v>-4</v>
      </c>
      <c r="L152" s="51" t="s">
        <v>63</v>
      </c>
      <c r="M152" s="51">
        <v>1</v>
      </c>
      <c r="P152" s="28" t="s">
        <v>124</v>
      </c>
      <c r="Q152" s="28">
        <v>9</v>
      </c>
      <c r="R152" s="28" t="s">
        <v>5</v>
      </c>
      <c r="S152" s="28">
        <v>1</v>
      </c>
      <c r="T152" s="36"/>
    </row>
    <row r="153" spans="1:20" x14ac:dyDescent="0.25">
      <c r="A153" s="28" t="s">
        <v>123</v>
      </c>
      <c r="B153" s="28">
        <v>-1</v>
      </c>
      <c r="C153" s="28" t="s">
        <v>17</v>
      </c>
      <c r="D153" s="28">
        <v>1</v>
      </c>
      <c r="E153" s="36"/>
      <c r="J153" s="51" t="s">
        <v>138</v>
      </c>
      <c r="K153" s="51">
        <v>-3</v>
      </c>
      <c r="L153" s="51" t="s">
        <v>63</v>
      </c>
      <c r="M153" s="51">
        <v>1</v>
      </c>
      <c r="P153" s="28" t="s">
        <v>124</v>
      </c>
      <c r="Q153" s="28">
        <v>16</v>
      </c>
      <c r="R153" s="28" t="s">
        <v>5</v>
      </c>
      <c r="S153" s="28">
        <v>1</v>
      </c>
      <c r="T153" s="36"/>
    </row>
    <row r="154" spans="1:20" x14ac:dyDescent="0.25">
      <c r="A154" s="28" t="s">
        <v>123</v>
      </c>
      <c r="B154" s="28">
        <v>0</v>
      </c>
      <c r="C154" s="28" t="s">
        <v>83</v>
      </c>
      <c r="D154" s="28">
        <v>1</v>
      </c>
      <c r="E154" s="36"/>
      <c r="J154" s="51" t="s">
        <v>138</v>
      </c>
      <c r="K154" s="51">
        <v>-2</v>
      </c>
      <c r="L154" s="51" t="s">
        <v>84</v>
      </c>
      <c r="M154" s="51">
        <v>1</v>
      </c>
      <c r="P154" s="28" t="s">
        <v>124</v>
      </c>
      <c r="Q154" s="28">
        <v>23</v>
      </c>
      <c r="R154" s="28" t="s">
        <v>5</v>
      </c>
      <c r="S154" s="28">
        <v>1</v>
      </c>
      <c r="T154" s="36"/>
    </row>
    <row r="155" spans="1:20" x14ac:dyDescent="0.25">
      <c r="A155" s="28" t="s">
        <v>129</v>
      </c>
      <c r="B155" s="28">
        <v>-6</v>
      </c>
      <c r="C155" s="28" t="s">
        <v>84</v>
      </c>
      <c r="D155" s="28">
        <v>1</v>
      </c>
      <c r="E155" s="36"/>
      <c r="J155" s="51" t="s">
        <v>138</v>
      </c>
      <c r="K155" s="51">
        <v>-1</v>
      </c>
      <c r="L155" s="51" t="s">
        <v>371</v>
      </c>
      <c r="M155" s="51">
        <v>1</v>
      </c>
      <c r="P155" s="28" t="s">
        <v>124</v>
      </c>
      <c r="Q155" s="28">
        <v>30</v>
      </c>
      <c r="R155" s="28" t="s">
        <v>5</v>
      </c>
      <c r="S155" s="28">
        <v>1</v>
      </c>
      <c r="T155" s="36"/>
    </row>
    <row r="156" spans="1:20" x14ac:dyDescent="0.25">
      <c r="A156" s="28" t="s">
        <v>129</v>
      </c>
      <c r="B156" s="28">
        <v>-5</v>
      </c>
      <c r="C156" s="28" t="s">
        <v>32</v>
      </c>
      <c r="D156" s="28">
        <v>1</v>
      </c>
      <c r="E156" s="36"/>
      <c r="J156" s="51" t="s">
        <v>138</v>
      </c>
      <c r="K156" s="51">
        <v>0</v>
      </c>
      <c r="L156" s="51" t="s">
        <v>31</v>
      </c>
      <c r="M156" s="51">
        <v>1</v>
      </c>
      <c r="T156" s="36"/>
    </row>
    <row r="157" spans="1:20" x14ac:dyDescent="0.25">
      <c r="A157" s="28" t="s">
        <v>129</v>
      </c>
      <c r="B157" s="28">
        <v>-4</v>
      </c>
      <c r="C157" s="28" t="s">
        <v>60</v>
      </c>
      <c r="D157" s="28">
        <v>1</v>
      </c>
      <c r="E157" s="36"/>
      <c r="J157" s="51" t="s">
        <v>139</v>
      </c>
      <c r="K157" s="51">
        <v>-6</v>
      </c>
      <c r="L157" s="51" t="s">
        <v>65</v>
      </c>
      <c r="M157" s="51">
        <v>1</v>
      </c>
      <c r="P157" s="28"/>
      <c r="Q157" s="28"/>
      <c r="R157" s="28"/>
      <c r="S157" s="28"/>
      <c r="T157" s="36"/>
    </row>
    <row r="158" spans="1:20" x14ac:dyDescent="0.25">
      <c r="A158" s="28" t="s">
        <v>129</v>
      </c>
      <c r="B158" s="28">
        <v>-3</v>
      </c>
      <c r="C158" s="28" t="s">
        <v>60</v>
      </c>
      <c r="D158" s="28">
        <v>1</v>
      </c>
      <c r="E158" s="36"/>
      <c r="J158" s="51" t="s">
        <v>139</v>
      </c>
      <c r="K158" s="51">
        <v>-5</v>
      </c>
      <c r="L158" s="51" t="s">
        <v>168</v>
      </c>
      <c r="M158" s="51">
        <v>1</v>
      </c>
      <c r="P158" s="28"/>
      <c r="Q158" s="28"/>
      <c r="R158" s="28"/>
      <c r="S158" s="28"/>
      <c r="T158" s="36"/>
    </row>
    <row r="159" spans="1:20" x14ac:dyDescent="0.25">
      <c r="A159" s="28" t="s">
        <v>129</v>
      </c>
      <c r="B159" s="28">
        <v>-2</v>
      </c>
      <c r="C159" s="28" t="s">
        <v>60</v>
      </c>
      <c r="D159" s="28">
        <v>1</v>
      </c>
      <c r="E159" s="36"/>
      <c r="J159" s="51" t="s">
        <v>139</v>
      </c>
      <c r="K159" s="51">
        <v>-4</v>
      </c>
      <c r="L159" s="51" t="s">
        <v>26</v>
      </c>
      <c r="M159" s="51">
        <v>1</v>
      </c>
      <c r="P159" s="28"/>
      <c r="Q159" s="28"/>
      <c r="R159" s="28"/>
      <c r="S159" s="28"/>
      <c r="T159" s="36"/>
    </row>
    <row r="160" spans="1:20" x14ac:dyDescent="0.25">
      <c r="A160" s="28" t="s">
        <v>129</v>
      </c>
      <c r="B160" s="28">
        <v>-1</v>
      </c>
      <c r="C160" s="28" t="s">
        <v>83</v>
      </c>
      <c r="D160" s="28">
        <v>1</v>
      </c>
      <c r="E160" s="36"/>
      <c r="J160" s="51" t="s">
        <v>139</v>
      </c>
      <c r="K160" s="51">
        <v>-3</v>
      </c>
      <c r="L160" s="51" t="s">
        <v>26</v>
      </c>
      <c r="M160" s="51">
        <v>1</v>
      </c>
      <c r="P160" s="28"/>
      <c r="Q160" s="28"/>
      <c r="R160" s="28"/>
      <c r="S160" s="28"/>
      <c r="T160" s="36"/>
    </row>
    <row r="161" spans="1:19" x14ac:dyDescent="0.25">
      <c r="A161" s="28" t="s">
        <v>129</v>
      </c>
      <c r="B161" s="28">
        <v>0</v>
      </c>
      <c r="C161" s="28" t="s">
        <v>53</v>
      </c>
      <c r="D161" s="28">
        <v>1</v>
      </c>
      <c r="E161" s="36"/>
      <c r="J161" s="51" t="s">
        <v>139</v>
      </c>
      <c r="K161" s="51">
        <v>-2</v>
      </c>
      <c r="L161" s="51" t="s">
        <v>26</v>
      </c>
      <c r="M161" s="51">
        <v>1</v>
      </c>
      <c r="P161" s="28"/>
      <c r="Q161" s="28"/>
      <c r="R161" s="28"/>
      <c r="S161" s="28"/>
    </row>
    <row r="162" spans="1:19" x14ac:dyDescent="0.25">
      <c r="A162" s="28" t="s">
        <v>134</v>
      </c>
      <c r="B162" s="28">
        <v>-6</v>
      </c>
      <c r="C162" s="28" t="s">
        <v>83</v>
      </c>
      <c r="D162" s="28">
        <v>1</v>
      </c>
      <c r="E162" s="36"/>
      <c r="J162" s="51" t="s">
        <v>139</v>
      </c>
      <c r="K162" s="51">
        <v>-1</v>
      </c>
      <c r="L162" s="51" t="s">
        <v>26</v>
      </c>
      <c r="M162" s="51">
        <v>1</v>
      </c>
      <c r="P162" s="28"/>
      <c r="Q162" s="28"/>
      <c r="R162" s="28"/>
      <c r="S162" s="28"/>
    </row>
    <row r="163" spans="1:19" x14ac:dyDescent="0.25">
      <c r="A163" s="28" t="s">
        <v>134</v>
      </c>
      <c r="B163" s="28">
        <v>-5</v>
      </c>
      <c r="C163" s="28" t="s">
        <v>26</v>
      </c>
      <c r="D163" s="28">
        <v>1</v>
      </c>
      <c r="E163" s="36"/>
      <c r="J163" s="51" t="s">
        <v>139</v>
      </c>
      <c r="K163" s="51">
        <v>0</v>
      </c>
      <c r="L163" s="51" t="s">
        <v>26</v>
      </c>
      <c r="M163" s="51">
        <v>1</v>
      </c>
    </row>
    <row r="164" spans="1:19" x14ac:dyDescent="0.25">
      <c r="A164" s="28" t="s">
        <v>134</v>
      </c>
      <c r="B164" s="28">
        <v>-4</v>
      </c>
      <c r="C164" s="28" t="s">
        <v>26</v>
      </c>
      <c r="D164" s="28">
        <v>1</v>
      </c>
      <c r="E164" s="36"/>
      <c r="J164" s="51" t="s">
        <v>140</v>
      </c>
      <c r="K164" s="51">
        <v>-6</v>
      </c>
      <c r="L164" s="51" t="s">
        <v>65</v>
      </c>
      <c r="M164" s="51">
        <v>1</v>
      </c>
    </row>
    <row r="165" spans="1:19" x14ac:dyDescent="0.25">
      <c r="A165" s="28" t="s">
        <v>134</v>
      </c>
      <c r="B165" s="28">
        <v>-3</v>
      </c>
      <c r="C165" s="28" t="s">
        <v>26</v>
      </c>
      <c r="D165" s="28">
        <v>1</v>
      </c>
      <c r="E165" s="36"/>
      <c r="J165" s="51" t="s">
        <v>140</v>
      </c>
      <c r="K165" s="51">
        <v>-5</v>
      </c>
      <c r="L165" s="51" t="s">
        <v>31</v>
      </c>
      <c r="M165" s="51">
        <v>1</v>
      </c>
    </row>
    <row r="166" spans="1:19" x14ac:dyDescent="0.25">
      <c r="A166" s="28" t="s">
        <v>134</v>
      </c>
      <c r="B166" s="28">
        <v>-2</v>
      </c>
      <c r="C166" s="28" t="s">
        <v>5</v>
      </c>
      <c r="D166" s="28">
        <v>1</v>
      </c>
      <c r="E166" s="36"/>
      <c r="J166" s="51" t="s">
        <v>140</v>
      </c>
      <c r="K166" s="51">
        <v>-4</v>
      </c>
      <c r="L166" s="51" t="s">
        <v>43</v>
      </c>
      <c r="M166" s="51">
        <v>1</v>
      </c>
    </row>
    <row r="167" spans="1:19" x14ac:dyDescent="0.25">
      <c r="A167" s="28" t="s">
        <v>134</v>
      </c>
      <c r="B167" s="28">
        <v>-1</v>
      </c>
      <c r="C167" s="28" t="s">
        <v>26</v>
      </c>
      <c r="D167" s="28">
        <v>1</v>
      </c>
      <c r="E167" s="36"/>
      <c r="J167" s="51" t="s">
        <v>140</v>
      </c>
      <c r="K167" s="51">
        <v>-3</v>
      </c>
      <c r="L167" s="51" t="s">
        <v>31</v>
      </c>
      <c r="M167" s="51">
        <v>1</v>
      </c>
    </row>
    <row r="168" spans="1:19" x14ac:dyDescent="0.25">
      <c r="A168" s="28" t="s">
        <v>134</v>
      </c>
      <c r="B168" s="28">
        <v>0</v>
      </c>
      <c r="C168" s="28" t="s">
        <v>83</v>
      </c>
      <c r="D168" s="28">
        <v>1</v>
      </c>
      <c r="E168" s="36"/>
      <c r="J168" s="51" t="s">
        <v>140</v>
      </c>
      <c r="K168" s="51">
        <v>-2</v>
      </c>
      <c r="L168" s="51" t="s">
        <v>83</v>
      </c>
      <c r="M168" s="51">
        <v>1</v>
      </c>
    </row>
    <row r="169" spans="1:19" x14ac:dyDescent="0.25">
      <c r="A169" s="28" t="s">
        <v>137</v>
      </c>
      <c r="B169" s="28">
        <v>-6</v>
      </c>
      <c r="C169" s="28" t="s">
        <v>83</v>
      </c>
      <c r="D169" s="28">
        <v>1</v>
      </c>
      <c r="E169" s="36"/>
      <c r="J169" s="51" t="s">
        <v>140</v>
      </c>
      <c r="K169" s="51">
        <v>-1</v>
      </c>
      <c r="L169" s="51" t="s">
        <v>83</v>
      </c>
      <c r="M169" s="51">
        <v>1</v>
      </c>
    </row>
    <row r="170" spans="1:19" x14ac:dyDescent="0.25">
      <c r="A170" s="28" t="s">
        <v>137</v>
      </c>
      <c r="B170" s="28">
        <v>-5</v>
      </c>
      <c r="C170" s="28" t="s">
        <v>60</v>
      </c>
      <c r="D170" s="28">
        <v>1</v>
      </c>
      <c r="E170" s="36"/>
      <c r="J170" s="51" t="s">
        <v>140</v>
      </c>
      <c r="K170" s="51">
        <v>0</v>
      </c>
      <c r="L170" s="51" t="s">
        <v>17</v>
      </c>
      <c r="M170" s="51">
        <v>1</v>
      </c>
    </row>
    <row r="171" spans="1:19" x14ac:dyDescent="0.25">
      <c r="A171" s="28" t="s">
        <v>137</v>
      </c>
      <c r="B171" s="28">
        <v>-4</v>
      </c>
      <c r="C171" s="28" t="s">
        <v>41</v>
      </c>
      <c r="D171" s="28">
        <v>1</v>
      </c>
      <c r="E171" s="36"/>
      <c r="J171" s="51" t="s">
        <v>141</v>
      </c>
      <c r="K171" s="51">
        <v>-6</v>
      </c>
      <c r="L171" s="51" t="s">
        <v>53</v>
      </c>
      <c r="M171" s="51">
        <v>1</v>
      </c>
    </row>
    <row r="172" spans="1:19" x14ac:dyDescent="0.25">
      <c r="A172" s="28" t="s">
        <v>137</v>
      </c>
      <c r="B172" s="28">
        <v>-3</v>
      </c>
      <c r="C172" s="28" t="s">
        <v>65</v>
      </c>
      <c r="D172" s="28">
        <v>1</v>
      </c>
      <c r="E172" s="36"/>
      <c r="J172" s="51" t="s">
        <v>141</v>
      </c>
      <c r="K172" s="51">
        <v>-5</v>
      </c>
      <c r="L172" s="51" t="s">
        <v>65</v>
      </c>
      <c r="M172" s="51">
        <v>1</v>
      </c>
    </row>
    <row r="173" spans="1:19" x14ac:dyDescent="0.25">
      <c r="A173" s="28" t="s">
        <v>137</v>
      </c>
      <c r="B173" s="28">
        <v>-2</v>
      </c>
      <c r="C173" s="28" t="s">
        <v>6</v>
      </c>
      <c r="D173" s="28">
        <v>1</v>
      </c>
      <c r="E173" s="36"/>
      <c r="J173" s="51" t="s">
        <v>141</v>
      </c>
      <c r="K173" s="51">
        <v>-4</v>
      </c>
      <c r="L173" s="51" t="s">
        <v>83</v>
      </c>
      <c r="M173" s="51">
        <v>1</v>
      </c>
    </row>
    <row r="174" spans="1:19" x14ac:dyDescent="0.25">
      <c r="A174" s="28" t="s">
        <v>137</v>
      </c>
      <c r="B174" s="28">
        <v>-1</v>
      </c>
      <c r="C174" s="28" t="s">
        <v>83</v>
      </c>
      <c r="D174" s="28">
        <v>1</v>
      </c>
      <c r="E174" s="36"/>
      <c r="J174" s="51" t="s">
        <v>141</v>
      </c>
      <c r="K174" s="51">
        <v>-3</v>
      </c>
      <c r="L174" s="51" t="s">
        <v>83</v>
      </c>
      <c r="M174" s="51">
        <v>1</v>
      </c>
    </row>
    <row r="175" spans="1:19" x14ac:dyDescent="0.25">
      <c r="A175" s="28" t="s">
        <v>137</v>
      </c>
      <c r="B175" s="28">
        <v>0</v>
      </c>
      <c r="C175" s="28" t="s">
        <v>83</v>
      </c>
      <c r="D175" s="28">
        <v>1</v>
      </c>
      <c r="E175" s="36"/>
      <c r="J175" s="51" t="s">
        <v>141</v>
      </c>
      <c r="K175" s="51">
        <v>-2</v>
      </c>
      <c r="L175" s="51" t="s">
        <v>83</v>
      </c>
      <c r="M175" s="51">
        <v>1</v>
      </c>
    </row>
    <row r="176" spans="1:19" x14ac:dyDescent="0.25">
      <c r="A176" s="28" t="s">
        <v>125</v>
      </c>
      <c r="B176" s="28">
        <v>-6</v>
      </c>
      <c r="C176" s="28" t="s">
        <v>84</v>
      </c>
      <c r="D176" s="28">
        <v>1</v>
      </c>
      <c r="E176" s="36"/>
      <c r="J176" s="51" t="s">
        <v>141</v>
      </c>
      <c r="K176" s="51">
        <v>-1</v>
      </c>
      <c r="L176" s="51" t="s">
        <v>83</v>
      </c>
      <c r="M176" s="51">
        <v>1</v>
      </c>
    </row>
    <row r="177" spans="1:13" x14ac:dyDescent="0.25">
      <c r="A177" s="28" t="s">
        <v>125</v>
      </c>
      <c r="B177" s="28">
        <v>-5</v>
      </c>
      <c r="C177" s="28" t="s">
        <v>63</v>
      </c>
      <c r="D177" s="28">
        <v>1</v>
      </c>
      <c r="E177" s="36"/>
      <c r="J177" s="51" t="s">
        <v>141</v>
      </c>
      <c r="K177" s="51">
        <v>0</v>
      </c>
      <c r="L177" s="51" t="s">
        <v>31</v>
      </c>
      <c r="M177" s="51">
        <v>1</v>
      </c>
    </row>
    <row r="178" spans="1:13" x14ac:dyDescent="0.25">
      <c r="A178" s="28" t="s">
        <v>125</v>
      </c>
      <c r="B178" s="28">
        <v>-4</v>
      </c>
      <c r="C178" s="28" t="s">
        <v>63</v>
      </c>
      <c r="D178" s="28">
        <v>1</v>
      </c>
      <c r="E178" s="36"/>
      <c r="J178" s="51" t="s">
        <v>335</v>
      </c>
      <c r="K178" s="51">
        <v>-6</v>
      </c>
      <c r="L178" s="51" t="s">
        <v>31</v>
      </c>
      <c r="M178" s="51">
        <v>1</v>
      </c>
    </row>
    <row r="179" spans="1:13" x14ac:dyDescent="0.25">
      <c r="A179" s="28" t="s">
        <v>125</v>
      </c>
      <c r="B179" s="28">
        <v>-3</v>
      </c>
      <c r="C179" s="28" t="s">
        <v>63</v>
      </c>
      <c r="D179" s="28">
        <v>1</v>
      </c>
      <c r="E179" s="36"/>
      <c r="J179" s="51" t="s">
        <v>335</v>
      </c>
      <c r="K179" s="51">
        <v>-5</v>
      </c>
      <c r="L179" s="51" t="s">
        <v>43</v>
      </c>
      <c r="M179" s="51">
        <v>1</v>
      </c>
    </row>
    <row r="180" spans="1:13" x14ac:dyDescent="0.25">
      <c r="A180" s="28" t="s">
        <v>125</v>
      </c>
      <c r="B180" s="28">
        <v>-2</v>
      </c>
      <c r="C180" s="28" t="s">
        <v>63</v>
      </c>
      <c r="D180" s="28">
        <v>1</v>
      </c>
      <c r="E180" s="36"/>
      <c r="J180" s="51" t="s">
        <v>335</v>
      </c>
      <c r="K180" s="51">
        <v>-4</v>
      </c>
      <c r="L180" s="51" t="s">
        <v>31</v>
      </c>
      <c r="M180" s="51">
        <v>1</v>
      </c>
    </row>
    <row r="181" spans="1:13" x14ac:dyDescent="0.25">
      <c r="A181" s="28" t="s">
        <v>125</v>
      </c>
      <c r="B181" s="28">
        <v>-1</v>
      </c>
      <c r="C181" s="28" t="s">
        <v>63</v>
      </c>
      <c r="D181" s="28">
        <v>1</v>
      </c>
      <c r="E181" s="36"/>
      <c r="J181" s="51" t="s">
        <v>335</v>
      </c>
      <c r="K181" s="51">
        <v>-3</v>
      </c>
      <c r="L181" s="51" t="s">
        <v>31</v>
      </c>
      <c r="M181" s="51">
        <v>1</v>
      </c>
    </row>
    <row r="182" spans="1:13" x14ac:dyDescent="0.25">
      <c r="A182" s="28" t="s">
        <v>125</v>
      </c>
      <c r="B182" s="28">
        <v>0</v>
      </c>
      <c r="C182" s="28" t="s">
        <v>84</v>
      </c>
      <c r="D182" s="28">
        <v>1</v>
      </c>
      <c r="E182" s="36"/>
      <c r="J182" s="51" t="s">
        <v>335</v>
      </c>
      <c r="K182" s="51">
        <v>-2</v>
      </c>
      <c r="L182" s="51" t="s">
        <v>19</v>
      </c>
      <c r="M182" s="51">
        <v>1</v>
      </c>
    </row>
    <row r="183" spans="1:13" x14ac:dyDescent="0.25">
      <c r="A183" s="28" t="s">
        <v>127</v>
      </c>
      <c r="B183" s="28">
        <v>-6</v>
      </c>
      <c r="C183" s="28" t="s">
        <v>83</v>
      </c>
      <c r="D183" s="28">
        <v>1</v>
      </c>
      <c r="E183" s="36"/>
      <c r="J183" s="51" t="s">
        <v>335</v>
      </c>
      <c r="K183" s="51">
        <v>-1</v>
      </c>
      <c r="L183" s="51" t="s">
        <v>83</v>
      </c>
      <c r="M183" s="51">
        <v>1</v>
      </c>
    </row>
    <row r="184" spans="1:13" x14ac:dyDescent="0.25">
      <c r="A184" s="28" t="s">
        <v>127</v>
      </c>
      <c r="B184" s="28">
        <v>-5</v>
      </c>
      <c r="C184" s="28" t="s">
        <v>83</v>
      </c>
      <c r="D184" s="28">
        <v>1</v>
      </c>
      <c r="E184" s="36"/>
      <c r="J184" s="51" t="s">
        <v>335</v>
      </c>
      <c r="K184" s="51">
        <v>0</v>
      </c>
      <c r="L184" s="51" t="s">
        <v>31</v>
      </c>
      <c r="M184" s="51">
        <v>1</v>
      </c>
    </row>
    <row r="185" spans="1:13" x14ac:dyDescent="0.25">
      <c r="A185" s="28" t="s">
        <v>127</v>
      </c>
      <c r="B185" s="28">
        <v>-4</v>
      </c>
      <c r="C185" s="28" t="s">
        <v>6</v>
      </c>
      <c r="D185" s="28">
        <v>1</v>
      </c>
      <c r="E185" s="36"/>
      <c r="J185" s="51" t="s">
        <v>142</v>
      </c>
      <c r="K185" s="51">
        <v>-6</v>
      </c>
      <c r="L185" s="51" t="s">
        <v>31</v>
      </c>
      <c r="M185" s="51">
        <v>1</v>
      </c>
    </row>
    <row r="186" spans="1:13" x14ac:dyDescent="0.25">
      <c r="A186" s="28" t="s">
        <v>127</v>
      </c>
      <c r="B186" s="28">
        <v>-3</v>
      </c>
      <c r="C186" s="28" t="s">
        <v>5</v>
      </c>
      <c r="D186" s="28">
        <v>1</v>
      </c>
      <c r="E186" s="36"/>
      <c r="J186" s="51" t="s">
        <v>142</v>
      </c>
      <c r="K186" s="51">
        <v>-5</v>
      </c>
      <c r="L186" s="51" t="s">
        <v>31</v>
      </c>
      <c r="M186" s="51">
        <v>1</v>
      </c>
    </row>
    <row r="187" spans="1:13" x14ac:dyDescent="0.25">
      <c r="A187" s="28" t="s">
        <v>127</v>
      </c>
      <c r="B187" s="28">
        <v>-2</v>
      </c>
      <c r="C187" s="28" t="s">
        <v>31</v>
      </c>
      <c r="D187" s="28">
        <v>1</v>
      </c>
      <c r="E187" s="36"/>
      <c r="J187" s="51" t="s">
        <v>142</v>
      </c>
      <c r="K187" s="51">
        <v>-4</v>
      </c>
      <c r="L187" s="51" t="s">
        <v>6</v>
      </c>
      <c r="M187" s="51">
        <v>1</v>
      </c>
    </row>
    <row r="188" spans="1:13" x14ac:dyDescent="0.25">
      <c r="A188" s="28" t="s">
        <v>127</v>
      </c>
      <c r="B188" s="28">
        <v>-1</v>
      </c>
      <c r="C188" s="28" t="s">
        <v>31</v>
      </c>
      <c r="D188" s="28">
        <v>1</v>
      </c>
      <c r="E188" s="36"/>
      <c r="J188" s="51" t="s">
        <v>142</v>
      </c>
      <c r="K188" s="51">
        <v>-3</v>
      </c>
      <c r="L188" s="51" t="s">
        <v>32</v>
      </c>
      <c r="M188" s="51">
        <v>1</v>
      </c>
    </row>
    <row r="189" spans="1:13" x14ac:dyDescent="0.25">
      <c r="A189" s="28" t="s">
        <v>127</v>
      </c>
      <c r="B189" s="28">
        <v>0</v>
      </c>
      <c r="C189" s="28" t="s">
        <v>83</v>
      </c>
      <c r="D189" s="28">
        <v>1</v>
      </c>
      <c r="E189" s="36"/>
      <c r="J189" s="51" t="s">
        <v>142</v>
      </c>
      <c r="K189" s="51">
        <v>-2</v>
      </c>
      <c r="L189" s="51" t="s">
        <v>83</v>
      </c>
      <c r="M189" s="51">
        <v>1</v>
      </c>
    </row>
    <row r="190" spans="1:13" x14ac:dyDescent="0.25">
      <c r="A190" s="28" t="s">
        <v>130</v>
      </c>
      <c r="B190" s="28">
        <v>-6</v>
      </c>
      <c r="C190" s="28" t="s">
        <v>83</v>
      </c>
      <c r="D190" s="28">
        <v>1</v>
      </c>
      <c r="E190" s="36"/>
      <c r="J190" s="51" t="s">
        <v>142</v>
      </c>
      <c r="K190" s="51">
        <v>-1</v>
      </c>
      <c r="L190" s="51" t="s">
        <v>83</v>
      </c>
      <c r="M190" s="51">
        <v>1</v>
      </c>
    </row>
    <row r="191" spans="1:13" x14ac:dyDescent="0.25">
      <c r="A191" s="28" t="s">
        <v>130</v>
      </c>
      <c r="B191" s="28">
        <v>-5</v>
      </c>
      <c r="C191" s="28" t="s">
        <v>5</v>
      </c>
      <c r="D191" s="28">
        <v>1</v>
      </c>
      <c r="E191" s="36"/>
      <c r="J191" s="51" t="s">
        <v>142</v>
      </c>
      <c r="K191" s="51">
        <v>0</v>
      </c>
      <c r="L191" s="51" t="s">
        <v>31</v>
      </c>
      <c r="M191" s="51">
        <v>1</v>
      </c>
    </row>
    <row r="192" spans="1:13" x14ac:dyDescent="0.25">
      <c r="A192" s="28" t="s">
        <v>130</v>
      </c>
      <c r="B192" s="28">
        <v>-4</v>
      </c>
      <c r="C192" s="28" t="s">
        <v>31</v>
      </c>
      <c r="D192" s="28">
        <v>1</v>
      </c>
      <c r="E192" s="36"/>
      <c r="J192" s="51" t="s">
        <v>336</v>
      </c>
      <c r="K192" s="51">
        <v>-6</v>
      </c>
      <c r="L192" s="51" t="s">
        <v>31</v>
      </c>
      <c r="M192" s="51">
        <v>1</v>
      </c>
    </row>
    <row r="193" spans="1:13" x14ac:dyDescent="0.25">
      <c r="A193" s="28" t="s">
        <v>130</v>
      </c>
      <c r="B193" s="28">
        <v>-3</v>
      </c>
      <c r="C193" s="28" t="s">
        <v>17</v>
      </c>
      <c r="D193" s="28">
        <v>1</v>
      </c>
      <c r="E193" s="36"/>
      <c r="J193" s="51" t="s">
        <v>336</v>
      </c>
      <c r="K193" s="51">
        <v>-5</v>
      </c>
      <c r="L193" s="51" t="s">
        <v>31</v>
      </c>
      <c r="M193" s="51">
        <v>1</v>
      </c>
    </row>
    <row r="194" spans="1:13" x14ac:dyDescent="0.25">
      <c r="A194" s="28" t="s">
        <v>130</v>
      </c>
      <c r="B194" s="28">
        <v>-2</v>
      </c>
      <c r="C194" s="28" t="s">
        <v>65</v>
      </c>
      <c r="D194" s="28">
        <v>1</v>
      </c>
      <c r="E194" s="36"/>
      <c r="J194" s="51" t="s">
        <v>336</v>
      </c>
      <c r="K194" s="51">
        <v>-4</v>
      </c>
      <c r="L194" s="51" t="s">
        <v>31</v>
      </c>
      <c r="M194" s="51">
        <v>1</v>
      </c>
    </row>
    <row r="195" spans="1:13" x14ac:dyDescent="0.25">
      <c r="A195" s="28" t="s">
        <v>130</v>
      </c>
      <c r="B195" s="28">
        <v>-1</v>
      </c>
      <c r="C195" s="28" t="s">
        <v>31</v>
      </c>
      <c r="D195" s="28">
        <v>1</v>
      </c>
      <c r="E195" s="36"/>
      <c r="J195" s="51" t="s">
        <v>336</v>
      </c>
      <c r="K195" s="51">
        <v>-3</v>
      </c>
      <c r="L195" s="51" t="s">
        <v>80</v>
      </c>
      <c r="M195" s="51">
        <v>1</v>
      </c>
    </row>
    <row r="196" spans="1:13" x14ac:dyDescent="0.25">
      <c r="A196" s="28" t="s">
        <v>130</v>
      </c>
      <c r="B196" s="28">
        <v>0</v>
      </c>
      <c r="C196" s="28" t="s">
        <v>83</v>
      </c>
      <c r="D196" s="28">
        <v>1</v>
      </c>
      <c r="E196" s="36"/>
      <c r="J196" s="51" t="s">
        <v>336</v>
      </c>
      <c r="K196" s="51">
        <v>-2</v>
      </c>
      <c r="L196" s="51" t="s">
        <v>83</v>
      </c>
      <c r="M196" s="51">
        <v>1</v>
      </c>
    </row>
    <row r="197" spans="1:13" x14ac:dyDescent="0.25">
      <c r="A197" s="28" t="s">
        <v>131</v>
      </c>
      <c r="B197" s="28">
        <v>-6</v>
      </c>
      <c r="C197" s="28" t="s">
        <v>83</v>
      </c>
      <c r="D197" s="28">
        <v>1</v>
      </c>
      <c r="E197" s="36"/>
      <c r="J197" s="51" t="s">
        <v>336</v>
      </c>
      <c r="K197" s="51">
        <v>-1</v>
      </c>
      <c r="L197" s="51" t="s">
        <v>372</v>
      </c>
      <c r="M197" s="51">
        <v>1</v>
      </c>
    </row>
    <row r="198" spans="1:13" x14ac:dyDescent="0.25">
      <c r="A198" s="28" t="s">
        <v>131</v>
      </c>
      <c r="B198" s="28">
        <v>-5</v>
      </c>
      <c r="C198" s="28" t="s">
        <v>31</v>
      </c>
      <c r="D198" s="28">
        <v>1</v>
      </c>
      <c r="E198" s="36"/>
      <c r="J198" s="51" t="s">
        <v>336</v>
      </c>
      <c r="K198" s="51">
        <v>0</v>
      </c>
      <c r="L198" s="51" t="s">
        <v>65</v>
      </c>
      <c r="M198" s="51">
        <v>1</v>
      </c>
    </row>
    <row r="199" spans="1:13" x14ac:dyDescent="0.25">
      <c r="A199" s="28" t="s">
        <v>131</v>
      </c>
      <c r="B199" s="28">
        <v>-4</v>
      </c>
      <c r="C199" s="28" t="s">
        <v>31</v>
      </c>
      <c r="D199" s="28">
        <v>1</v>
      </c>
      <c r="E199" s="36"/>
      <c r="J199" s="51" t="s">
        <v>143</v>
      </c>
      <c r="K199" s="51">
        <v>-6</v>
      </c>
      <c r="L199" s="51" t="s">
        <v>31</v>
      </c>
      <c r="M199" s="51">
        <v>1</v>
      </c>
    </row>
    <row r="200" spans="1:13" x14ac:dyDescent="0.25">
      <c r="A200" s="28" t="s">
        <v>131</v>
      </c>
      <c r="B200" s="28">
        <v>-3</v>
      </c>
      <c r="C200" s="28" t="s">
        <v>31</v>
      </c>
      <c r="D200" s="28">
        <v>1</v>
      </c>
      <c r="E200" s="36"/>
      <c r="J200" s="51" t="s">
        <v>143</v>
      </c>
      <c r="K200" s="51">
        <v>-5</v>
      </c>
      <c r="L200" s="51" t="s">
        <v>31</v>
      </c>
      <c r="M200" s="51">
        <v>1</v>
      </c>
    </row>
    <row r="201" spans="1:13" x14ac:dyDescent="0.25">
      <c r="A201" s="28" t="s">
        <v>131</v>
      </c>
      <c r="B201" s="28">
        <v>-2</v>
      </c>
      <c r="C201" s="28" t="s">
        <v>31</v>
      </c>
      <c r="D201" s="28">
        <v>1</v>
      </c>
      <c r="E201" s="36"/>
      <c r="J201" s="51" t="s">
        <v>143</v>
      </c>
      <c r="K201" s="51">
        <v>-4</v>
      </c>
      <c r="L201" s="51" t="s">
        <v>364</v>
      </c>
      <c r="M201" s="51">
        <v>1</v>
      </c>
    </row>
    <row r="202" spans="1:13" x14ac:dyDescent="0.25">
      <c r="A202" s="28" t="s">
        <v>131</v>
      </c>
      <c r="B202" s="28">
        <v>-1</v>
      </c>
      <c r="C202" s="28" t="s">
        <v>17</v>
      </c>
      <c r="D202" s="28">
        <v>1</v>
      </c>
      <c r="E202" s="36"/>
      <c r="J202" s="51" t="s">
        <v>143</v>
      </c>
      <c r="K202" s="51">
        <v>-3</v>
      </c>
      <c r="L202" s="51" t="s">
        <v>65</v>
      </c>
      <c r="M202" s="51">
        <v>1</v>
      </c>
    </row>
    <row r="203" spans="1:13" x14ac:dyDescent="0.25">
      <c r="A203" s="28" t="s">
        <v>131</v>
      </c>
      <c r="B203" s="28">
        <v>0</v>
      </c>
      <c r="C203" s="28" t="s">
        <v>83</v>
      </c>
      <c r="D203" s="28">
        <v>1</v>
      </c>
      <c r="E203" s="36"/>
      <c r="J203" s="51" t="s">
        <v>143</v>
      </c>
      <c r="K203" s="51">
        <v>-2</v>
      </c>
      <c r="L203" s="51" t="s">
        <v>84</v>
      </c>
      <c r="M203" s="51">
        <v>1</v>
      </c>
    </row>
    <row r="204" spans="1:13" x14ac:dyDescent="0.25">
      <c r="A204" s="28" t="s">
        <v>135</v>
      </c>
      <c r="B204" s="28">
        <v>-6</v>
      </c>
      <c r="C204" s="28" t="s">
        <v>84</v>
      </c>
      <c r="D204" s="28">
        <v>1</v>
      </c>
      <c r="E204" s="36"/>
      <c r="J204" s="51" t="s">
        <v>143</v>
      </c>
      <c r="K204" s="51">
        <v>-1</v>
      </c>
      <c r="L204" s="51" t="s">
        <v>84</v>
      </c>
      <c r="M204" s="51">
        <v>1</v>
      </c>
    </row>
    <row r="205" spans="1:13" x14ac:dyDescent="0.25">
      <c r="A205" s="28" t="s">
        <v>135</v>
      </c>
      <c r="B205" s="28">
        <v>-5</v>
      </c>
      <c r="C205" s="28" t="s">
        <v>63</v>
      </c>
      <c r="D205" s="28">
        <v>1</v>
      </c>
      <c r="E205" s="36"/>
      <c r="J205" s="51" t="s">
        <v>143</v>
      </c>
      <c r="K205" s="51">
        <v>0</v>
      </c>
      <c r="L205" s="51" t="s">
        <v>63</v>
      </c>
      <c r="M205" s="51">
        <v>1</v>
      </c>
    </row>
    <row r="206" spans="1:13" x14ac:dyDescent="0.25">
      <c r="A206" s="28" t="s">
        <v>135</v>
      </c>
      <c r="B206" s="28">
        <v>-4</v>
      </c>
      <c r="C206" s="28" t="s">
        <v>63</v>
      </c>
      <c r="D206" s="28">
        <v>1</v>
      </c>
      <c r="E206" s="36"/>
      <c r="J206" s="51" t="s">
        <v>144</v>
      </c>
      <c r="K206" s="51">
        <v>-6</v>
      </c>
      <c r="L206" s="51" t="s">
        <v>63</v>
      </c>
      <c r="M206" s="51">
        <v>1</v>
      </c>
    </row>
    <row r="207" spans="1:13" x14ac:dyDescent="0.25">
      <c r="A207" s="28" t="s">
        <v>135</v>
      </c>
      <c r="B207" s="28">
        <v>-3</v>
      </c>
      <c r="C207" s="28" t="s">
        <v>63</v>
      </c>
      <c r="D207" s="28">
        <v>1</v>
      </c>
      <c r="E207" s="36"/>
      <c r="J207" s="51" t="s">
        <v>144</v>
      </c>
      <c r="K207" s="51">
        <v>-5</v>
      </c>
      <c r="L207" s="51" t="s">
        <v>63</v>
      </c>
      <c r="M207" s="51">
        <v>1</v>
      </c>
    </row>
    <row r="208" spans="1:13" x14ac:dyDescent="0.25">
      <c r="A208" s="28" t="s">
        <v>135</v>
      </c>
      <c r="B208" s="28">
        <v>-2</v>
      </c>
      <c r="C208" s="28" t="s">
        <v>63</v>
      </c>
      <c r="D208" s="28">
        <v>1</v>
      </c>
      <c r="E208" s="36"/>
      <c r="J208" s="51" t="s">
        <v>144</v>
      </c>
      <c r="K208" s="51">
        <v>-4</v>
      </c>
      <c r="L208" s="51" t="s">
        <v>63</v>
      </c>
      <c r="M208" s="51">
        <v>1</v>
      </c>
    </row>
    <row r="209" spans="1:13" x14ac:dyDescent="0.25">
      <c r="A209" s="28" t="s">
        <v>135</v>
      </c>
      <c r="B209" s="28">
        <v>-1</v>
      </c>
      <c r="C209" s="28" t="s">
        <v>63</v>
      </c>
      <c r="D209" s="28">
        <v>1</v>
      </c>
      <c r="E209" s="36"/>
      <c r="J209" s="51" t="s">
        <v>144</v>
      </c>
      <c r="K209" s="51">
        <v>-3</v>
      </c>
      <c r="L209" s="51" t="s">
        <v>63</v>
      </c>
      <c r="M209" s="51">
        <v>1</v>
      </c>
    </row>
    <row r="210" spans="1:13" x14ac:dyDescent="0.25">
      <c r="A210" s="28" t="s">
        <v>135</v>
      </c>
      <c r="B210" s="28">
        <v>0</v>
      </c>
      <c r="C210" s="28" t="s">
        <v>84</v>
      </c>
      <c r="D210" s="28">
        <v>1</v>
      </c>
      <c r="E210" s="36"/>
      <c r="J210" s="51" t="s">
        <v>144</v>
      </c>
      <c r="K210" s="51">
        <v>-2</v>
      </c>
      <c r="L210" s="51" t="s">
        <v>84</v>
      </c>
      <c r="M210" s="51">
        <v>1</v>
      </c>
    </row>
    <row r="211" spans="1:13" x14ac:dyDescent="0.25">
      <c r="A211" s="28" t="s">
        <v>146</v>
      </c>
      <c r="B211" s="28">
        <v>-6</v>
      </c>
      <c r="C211" s="28" t="s">
        <v>84</v>
      </c>
      <c r="D211" s="28">
        <v>1</v>
      </c>
      <c r="E211" s="36"/>
      <c r="J211" s="51" t="s">
        <v>144</v>
      </c>
      <c r="K211" s="51">
        <v>-1</v>
      </c>
      <c r="L211" s="51" t="s">
        <v>84</v>
      </c>
      <c r="M211" s="51">
        <v>1</v>
      </c>
    </row>
    <row r="212" spans="1:13" x14ac:dyDescent="0.25">
      <c r="A212" s="28" t="s">
        <v>146</v>
      </c>
      <c r="B212" s="28">
        <v>-5</v>
      </c>
      <c r="C212" s="28" t="s">
        <v>31</v>
      </c>
      <c r="D212" s="28">
        <v>1</v>
      </c>
      <c r="E212" s="36"/>
      <c r="J212" s="51" t="s">
        <v>144</v>
      </c>
      <c r="K212" s="51">
        <v>0</v>
      </c>
      <c r="L212" s="51" t="s">
        <v>63</v>
      </c>
      <c r="M212" s="51">
        <v>1</v>
      </c>
    </row>
    <row r="213" spans="1:13" x14ac:dyDescent="0.25">
      <c r="A213" s="28" t="s">
        <v>146</v>
      </c>
      <c r="B213" s="28">
        <v>-4</v>
      </c>
      <c r="C213" s="28" t="s">
        <v>32</v>
      </c>
      <c r="D213" s="28">
        <v>1</v>
      </c>
      <c r="E213" s="36"/>
      <c r="J213" s="51" t="s">
        <v>145</v>
      </c>
      <c r="K213" s="51">
        <v>-6</v>
      </c>
      <c r="L213" s="51" t="s">
        <v>58</v>
      </c>
      <c r="M213" s="51">
        <v>1</v>
      </c>
    </row>
    <row r="214" spans="1:13" x14ac:dyDescent="0.25">
      <c r="A214" s="28" t="s">
        <v>146</v>
      </c>
      <c r="B214" s="28">
        <v>-3</v>
      </c>
      <c r="C214" s="28" t="s">
        <v>5</v>
      </c>
      <c r="D214" s="28">
        <v>1</v>
      </c>
      <c r="E214" s="36"/>
      <c r="J214" s="51" t="s">
        <v>145</v>
      </c>
      <c r="K214" s="51">
        <v>-5</v>
      </c>
      <c r="L214" s="51" t="s">
        <v>58</v>
      </c>
      <c r="M214" s="51">
        <v>1</v>
      </c>
    </row>
    <row r="215" spans="1:13" x14ac:dyDescent="0.25">
      <c r="A215" s="28" t="s">
        <v>146</v>
      </c>
      <c r="B215" s="28">
        <v>-2</v>
      </c>
      <c r="C215" s="28" t="s">
        <v>31</v>
      </c>
      <c r="D215" s="28">
        <v>1</v>
      </c>
      <c r="E215" s="36"/>
      <c r="J215" s="51" t="s">
        <v>145</v>
      </c>
      <c r="K215" s="51">
        <v>-4</v>
      </c>
      <c r="L215" s="51" t="s">
        <v>31</v>
      </c>
      <c r="M215" s="51">
        <v>1</v>
      </c>
    </row>
    <row r="216" spans="1:13" x14ac:dyDescent="0.25">
      <c r="A216" s="28" t="s">
        <v>146</v>
      </c>
      <c r="B216" s="28">
        <v>-1</v>
      </c>
      <c r="C216" s="28" t="s">
        <v>53</v>
      </c>
      <c r="D216" s="28">
        <v>1</v>
      </c>
      <c r="E216" s="36"/>
      <c r="J216" s="51" t="s">
        <v>145</v>
      </c>
      <c r="K216" s="51">
        <v>-3</v>
      </c>
      <c r="L216" s="51" t="s">
        <v>31</v>
      </c>
      <c r="M216" s="51">
        <v>1</v>
      </c>
    </row>
    <row r="217" spans="1:13" x14ac:dyDescent="0.25">
      <c r="A217" s="28" t="s">
        <v>146</v>
      </c>
      <c r="B217" s="28">
        <v>0</v>
      </c>
      <c r="C217" s="28" t="s">
        <v>83</v>
      </c>
      <c r="D217" s="28">
        <v>1</v>
      </c>
      <c r="E217" s="36"/>
      <c r="J217" s="51" t="s">
        <v>145</v>
      </c>
      <c r="K217" s="51">
        <v>-2</v>
      </c>
      <c r="L217" s="51" t="s">
        <v>83</v>
      </c>
      <c r="M217" s="51">
        <v>1</v>
      </c>
    </row>
    <row r="218" spans="1:13" x14ac:dyDescent="0.25">
      <c r="A218" s="28" t="s">
        <v>138</v>
      </c>
      <c r="B218" s="28">
        <v>-6</v>
      </c>
      <c r="C218" s="28" t="s">
        <v>83</v>
      </c>
      <c r="D218" s="28">
        <v>1</v>
      </c>
      <c r="E218" s="36"/>
      <c r="J218" s="51" t="s">
        <v>145</v>
      </c>
      <c r="K218" s="51">
        <v>-1</v>
      </c>
      <c r="L218" s="51" t="s">
        <v>83</v>
      </c>
      <c r="M218" s="51">
        <v>1</v>
      </c>
    </row>
    <row r="219" spans="1:13" x14ac:dyDescent="0.25">
      <c r="A219" s="28" t="s">
        <v>138</v>
      </c>
      <c r="B219" s="28">
        <v>-5</v>
      </c>
      <c r="C219" s="28" t="s">
        <v>43</v>
      </c>
      <c r="D219" s="28">
        <v>1</v>
      </c>
      <c r="E219" s="36"/>
      <c r="J219" s="51" t="s">
        <v>145</v>
      </c>
      <c r="K219" s="51">
        <v>0</v>
      </c>
      <c r="L219" s="51" t="s">
        <v>58</v>
      </c>
      <c r="M219" s="51">
        <v>1</v>
      </c>
    </row>
    <row r="220" spans="1:13" x14ac:dyDescent="0.25">
      <c r="A220" s="28" t="s">
        <v>138</v>
      </c>
      <c r="B220" s="28">
        <v>-4</v>
      </c>
      <c r="C220" s="28" t="s">
        <v>31</v>
      </c>
      <c r="D220" s="28">
        <v>1</v>
      </c>
      <c r="E220" s="36"/>
      <c r="J220" s="51" t="s">
        <v>143</v>
      </c>
      <c r="K220" s="51">
        <v>-6</v>
      </c>
      <c r="L220" s="51" t="s">
        <v>31</v>
      </c>
      <c r="M220" s="51">
        <v>1</v>
      </c>
    </row>
    <row r="221" spans="1:13" x14ac:dyDescent="0.25">
      <c r="A221" s="28" t="s">
        <v>138</v>
      </c>
      <c r="B221" s="28">
        <v>-3</v>
      </c>
      <c r="C221" s="28" t="s">
        <v>168</v>
      </c>
      <c r="D221" s="28">
        <v>1</v>
      </c>
      <c r="E221" s="36"/>
      <c r="J221" s="51" t="s">
        <v>143</v>
      </c>
      <c r="K221" s="51">
        <v>-5</v>
      </c>
      <c r="L221" s="51" t="s">
        <v>32</v>
      </c>
      <c r="M221" s="51">
        <v>1</v>
      </c>
    </row>
    <row r="222" spans="1:13" x14ac:dyDescent="0.25">
      <c r="A222" s="28" t="s">
        <v>138</v>
      </c>
      <c r="B222" s="28">
        <v>-2</v>
      </c>
      <c r="C222" s="28" t="s">
        <v>26</v>
      </c>
      <c r="D222" s="28">
        <v>1</v>
      </c>
      <c r="E222" s="36"/>
      <c r="J222" s="51" t="s">
        <v>143</v>
      </c>
      <c r="K222" s="51">
        <v>-4</v>
      </c>
      <c r="L222" s="51" t="s">
        <v>83</v>
      </c>
      <c r="M222" s="51">
        <v>1</v>
      </c>
    </row>
    <row r="223" spans="1:13" x14ac:dyDescent="0.25">
      <c r="A223" s="28" t="s">
        <v>138</v>
      </c>
      <c r="B223" s="28">
        <v>-1</v>
      </c>
      <c r="C223" s="28" t="s">
        <v>26</v>
      </c>
      <c r="D223" s="28">
        <v>1</v>
      </c>
      <c r="E223" s="36"/>
      <c r="J223" s="51" t="s">
        <v>143</v>
      </c>
      <c r="K223" s="51">
        <v>-3</v>
      </c>
      <c r="L223" s="51" t="s">
        <v>83</v>
      </c>
      <c r="M223" s="51">
        <v>1</v>
      </c>
    </row>
    <row r="224" spans="1:13" x14ac:dyDescent="0.25">
      <c r="A224" s="28" t="s">
        <v>138</v>
      </c>
      <c r="B224" s="28">
        <v>0</v>
      </c>
      <c r="C224" s="28" t="s">
        <v>26</v>
      </c>
      <c r="D224" s="28">
        <v>1</v>
      </c>
      <c r="E224" s="36"/>
      <c r="J224" s="51" t="s">
        <v>143</v>
      </c>
      <c r="K224" s="51">
        <v>-2</v>
      </c>
      <c r="L224" s="51" t="s">
        <v>31</v>
      </c>
      <c r="M224" s="51">
        <v>1</v>
      </c>
    </row>
    <row r="225" spans="1:13" x14ac:dyDescent="0.25">
      <c r="A225" s="28" t="s">
        <v>139</v>
      </c>
      <c r="B225" s="28">
        <v>-6</v>
      </c>
      <c r="C225" s="28" t="s">
        <v>83</v>
      </c>
      <c r="D225" s="28">
        <v>1</v>
      </c>
      <c r="E225" s="36"/>
      <c r="J225" s="51" t="s">
        <v>143</v>
      </c>
      <c r="K225" s="51">
        <v>-1</v>
      </c>
      <c r="L225" s="51" t="s">
        <v>31</v>
      </c>
      <c r="M225" s="51">
        <v>1</v>
      </c>
    </row>
    <row r="226" spans="1:13" x14ac:dyDescent="0.25">
      <c r="A226" s="28" t="s">
        <v>139</v>
      </c>
      <c r="B226" s="28">
        <v>-5</v>
      </c>
      <c r="C226" s="28" t="s">
        <v>63</v>
      </c>
      <c r="D226" s="28">
        <v>1</v>
      </c>
      <c r="E226" s="36"/>
      <c r="J226" s="51" t="s">
        <v>143</v>
      </c>
      <c r="K226" s="51">
        <v>0</v>
      </c>
      <c r="L226" s="51" t="s">
        <v>31</v>
      </c>
      <c r="M226" s="51">
        <v>1</v>
      </c>
    </row>
    <row r="227" spans="1:13" x14ac:dyDescent="0.25">
      <c r="A227" s="28" t="s">
        <v>139</v>
      </c>
      <c r="B227" s="28">
        <v>-4</v>
      </c>
      <c r="C227" s="28" t="s">
        <v>63</v>
      </c>
      <c r="D227" s="28">
        <v>1</v>
      </c>
      <c r="E227" s="36"/>
      <c r="J227" s="51" t="s">
        <v>144</v>
      </c>
      <c r="K227" s="51">
        <v>-6</v>
      </c>
      <c r="L227" s="51" t="s">
        <v>31</v>
      </c>
      <c r="M227" s="51">
        <v>1</v>
      </c>
    </row>
    <row r="228" spans="1:13" x14ac:dyDescent="0.25">
      <c r="A228" s="28" t="s">
        <v>139</v>
      </c>
      <c r="B228" s="28">
        <v>-3</v>
      </c>
      <c r="C228" s="28" t="s">
        <v>63</v>
      </c>
      <c r="D228" s="28">
        <v>1</v>
      </c>
      <c r="E228" s="36"/>
      <c r="J228" s="51" t="s">
        <v>144</v>
      </c>
      <c r="K228" s="51">
        <v>-5</v>
      </c>
      <c r="L228" s="51" t="s">
        <v>31</v>
      </c>
      <c r="M228" s="51">
        <v>1</v>
      </c>
    </row>
    <row r="229" spans="1:13" x14ac:dyDescent="0.25">
      <c r="A229" s="28" t="s">
        <v>139</v>
      </c>
      <c r="B229" s="28">
        <v>-2</v>
      </c>
      <c r="C229" s="28" t="s">
        <v>63</v>
      </c>
      <c r="D229" s="28">
        <v>1</v>
      </c>
      <c r="E229" s="36"/>
      <c r="J229" s="51" t="s">
        <v>144</v>
      </c>
      <c r="K229" s="51">
        <v>-4</v>
      </c>
      <c r="L229" s="51" t="s">
        <v>83</v>
      </c>
      <c r="M229" s="51">
        <v>1</v>
      </c>
    </row>
    <row r="230" spans="1:13" x14ac:dyDescent="0.25">
      <c r="A230" s="28" t="s">
        <v>139</v>
      </c>
      <c r="B230" s="28">
        <v>-1</v>
      </c>
      <c r="C230" s="28" t="s">
        <v>63</v>
      </c>
      <c r="D230" s="28">
        <v>1</v>
      </c>
      <c r="E230" s="36"/>
      <c r="J230" s="51" t="s">
        <v>144</v>
      </c>
      <c r="K230" s="51">
        <v>-3</v>
      </c>
      <c r="L230" s="51" t="s">
        <v>83</v>
      </c>
      <c r="M230" s="51">
        <v>1</v>
      </c>
    </row>
    <row r="231" spans="1:13" x14ac:dyDescent="0.25">
      <c r="A231" s="28" t="s">
        <v>139</v>
      </c>
      <c r="B231" s="28">
        <v>0</v>
      </c>
      <c r="C231" s="28" t="s">
        <v>83</v>
      </c>
      <c r="D231" s="28">
        <v>1</v>
      </c>
      <c r="E231" s="36"/>
      <c r="J231" s="51" t="s">
        <v>144</v>
      </c>
      <c r="K231" s="51">
        <v>-2</v>
      </c>
      <c r="L231" s="51" t="s">
        <v>43</v>
      </c>
      <c r="M231" s="51">
        <v>1</v>
      </c>
    </row>
    <row r="232" spans="1:13" x14ac:dyDescent="0.25">
      <c r="A232" s="28" t="s">
        <v>140</v>
      </c>
      <c r="B232" s="28">
        <v>-6</v>
      </c>
      <c r="C232" s="28" t="s">
        <v>84</v>
      </c>
      <c r="D232" s="28">
        <v>1</v>
      </c>
      <c r="E232" s="36"/>
      <c r="J232" s="51" t="s">
        <v>144</v>
      </c>
      <c r="K232" s="51">
        <v>-1</v>
      </c>
      <c r="L232" s="51" t="s">
        <v>31</v>
      </c>
      <c r="M232" s="51">
        <v>1</v>
      </c>
    </row>
    <row r="233" spans="1:13" x14ac:dyDescent="0.25">
      <c r="A233" s="28" t="s">
        <v>140</v>
      </c>
      <c r="B233" s="28">
        <v>-5</v>
      </c>
      <c r="C233" s="28" t="s">
        <v>53</v>
      </c>
      <c r="D233" s="28">
        <v>1</v>
      </c>
      <c r="E233" s="36"/>
      <c r="J233" s="51" t="s">
        <v>144</v>
      </c>
      <c r="K233" s="51">
        <v>0</v>
      </c>
      <c r="L233" s="51" t="s">
        <v>31</v>
      </c>
      <c r="M233" s="51">
        <v>1</v>
      </c>
    </row>
    <row r="234" spans="1:13" x14ac:dyDescent="0.25">
      <c r="A234" s="28" t="s">
        <v>140</v>
      </c>
      <c r="B234" s="28">
        <v>-4</v>
      </c>
      <c r="C234" s="28" t="s">
        <v>65</v>
      </c>
      <c r="D234" s="28">
        <v>1</v>
      </c>
      <c r="E234" s="36"/>
    </row>
    <row r="235" spans="1:13" x14ac:dyDescent="0.25">
      <c r="A235" s="28" t="s">
        <v>140</v>
      </c>
      <c r="B235" s="28">
        <v>-3</v>
      </c>
      <c r="C235" s="28" t="s">
        <v>32</v>
      </c>
      <c r="D235" s="28">
        <v>1</v>
      </c>
      <c r="E235" s="36"/>
    </row>
    <row r="236" spans="1:13" x14ac:dyDescent="0.25">
      <c r="A236" s="28" t="s">
        <v>140</v>
      </c>
      <c r="B236" s="28">
        <v>-2</v>
      </c>
      <c r="C236" s="28" t="s">
        <v>53</v>
      </c>
      <c r="D236" s="28">
        <v>1</v>
      </c>
      <c r="E236" s="36"/>
    </row>
    <row r="237" spans="1:13" x14ac:dyDescent="0.25">
      <c r="A237" s="28" t="s">
        <v>140</v>
      </c>
      <c r="B237" s="28">
        <v>-1</v>
      </c>
      <c r="C237" s="28" t="s">
        <v>65</v>
      </c>
      <c r="D237" s="28">
        <v>1</v>
      </c>
      <c r="E237" s="36"/>
    </row>
    <row r="238" spans="1:13" x14ac:dyDescent="0.25">
      <c r="A238" s="28" t="s">
        <v>140</v>
      </c>
      <c r="B238" s="28">
        <v>0</v>
      </c>
      <c r="C238" s="28" t="s">
        <v>83</v>
      </c>
      <c r="D238" s="28">
        <v>1</v>
      </c>
      <c r="E238" s="36"/>
    </row>
    <row r="239" spans="1:13" x14ac:dyDescent="0.25">
      <c r="A239" s="28" t="s">
        <v>141</v>
      </c>
      <c r="B239" s="28">
        <v>-6</v>
      </c>
      <c r="C239" s="28" t="s">
        <v>83</v>
      </c>
      <c r="D239" s="28">
        <v>1</v>
      </c>
      <c r="E239" s="36"/>
    </row>
    <row r="240" spans="1:13" x14ac:dyDescent="0.25">
      <c r="A240" s="28" t="s">
        <v>141</v>
      </c>
      <c r="B240" s="28">
        <v>-5</v>
      </c>
      <c r="C240" s="28" t="s">
        <v>31</v>
      </c>
      <c r="D240" s="28">
        <v>1</v>
      </c>
      <c r="E240" s="36"/>
    </row>
    <row r="241" spans="1:5" x14ac:dyDescent="0.25">
      <c r="A241" s="28" t="s">
        <v>141</v>
      </c>
      <c r="B241" s="28">
        <v>-4</v>
      </c>
      <c r="C241" s="28" t="s">
        <v>17</v>
      </c>
      <c r="D241" s="28">
        <v>1</v>
      </c>
      <c r="E241" s="36"/>
    </row>
    <row r="242" spans="1:5" x14ac:dyDescent="0.25">
      <c r="A242" s="28" t="s">
        <v>141</v>
      </c>
      <c r="B242" s="28">
        <v>-3</v>
      </c>
      <c r="C242" s="28" t="s">
        <v>65</v>
      </c>
      <c r="D242" s="28">
        <v>1</v>
      </c>
      <c r="E242" s="36"/>
    </row>
    <row r="243" spans="1:5" x14ac:dyDescent="0.25">
      <c r="A243" s="28" t="s">
        <v>141</v>
      </c>
      <c r="B243" s="28">
        <v>-2</v>
      </c>
      <c r="C243" s="28" t="s">
        <v>83</v>
      </c>
      <c r="D243" s="28">
        <v>1</v>
      </c>
      <c r="E243" s="36"/>
    </row>
    <row r="244" spans="1:5" x14ac:dyDescent="0.25">
      <c r="A244" s="28" t="s">
        <v>141</v>
      </c>
      <c r="B244" s="28">
        <v>-1</v>
      </c>
      <c r="C244" s="28" t="s">
        <v>6</v>
      </c>
      <c r="D244" s="28">
        <v>1</v>
      </c>
      <c r="E244" s="36"/>
    </row>
    <row r="245" spans="1:5" x14ac:dyDescent="0.25">
      <c r="A245" s="28" t="s">
        <v>141</v>
      </c>
      <c r="B245" s="28">
        <v>0</v>
      </c>
      <c r="C245" s="28" t="s">
        <v>41</v>
      </c>
      <c r="D245" s="28">
        <v>1</v>
      </c>
      <c r="E245" s="36"/>
    </row>
    <row r="246" spans="1:5" x14ac:dyDescent="0.25">
      <c r="A246" s="28" t="s">
        <v>142</v>
      </c>
      <c r="B246" s="28">
        <v>-6</v>
      </c>
      <c r="C246" s="28" t="s">
        <v>53</v>
      </c>
      <c r="D246" s="28">
        <v>1</v>
      </c>
      <c r="E246" s="36"/>
    </row>
    <row r="247" spans="1:5" x14ac:dyDescent="0.25">
      <c r="A247" s="28" t="s">
        <v>142</v>
      </c>
      <c r="B247" s="28">
        <v>-5</v>
      </c>
      <c r="C247" s="28" t="s">
        <v>65</v>
      </c>
      <c r="D247" s="28">
        <v>1</v>
      </c>
      <c r="E247" s="36"/>
    </row>
    <row r="248" spans="1:5" x14ac:dyDescent="0.25">
      <c r="A248" s="28" t="s">
        <v>142</v>
      </c>
      <c r="B248" s="28">
        <v>-4</v>
      </c>
      <c r="C248" s="28" t="s">
        <v>83</v>
      </c>
      <c r="D248" s="28">
        <v>1</v>
      </c>
      <c r="E248" s="36"/>
    </row>
    <row r="249" spans="1:5" x14ac:dyDescent="0.25">
      <c r="A249" s="28" t="s">
        <v>142</v>
      </c>
      <c r="B249" s="28">
        <v>-3</v>
      </c>
      <c r="C249" s="28" t="s">
        <v>43</v>
      </c>
      <c r="D249" s="28">
        <v>1</v>
      </c>
      <c r="E249" s="36"/>
    </row>
    <row r="250" spans="1:5" x14ac:dyDescent="0.25">
      <c r="A250" s="28" t="s">
        <v>142</v>
      </c>
      <c r="B250" s="28">
        <v>-2</v>
      </c>
      <c r="C250" s="28" t="s">
        <v>31</v>
      </c>
      <c r="D250" s="28">
        <v>1</v>
      </c>
      <c r="E250" s="36"/>
    </row>
    <row r="251" spans="1:5" x14ac:dyDescent="0.25">
      <c r="A251" s="28" t="s">
        <v>142</v>
      </c>
      <c r="B251" s="28">
        <v>-1</v>
      </c>
      <c r="C251" s="28" t="s">
        <v>5</v>
      </c>
      <c r="D251" s="28">
        <v>1</v>
      </c>
      <c r="E251" s="36"/>
    </row>
    <row r="252" spans="1:5" x14ac:dyDescent="0.25">
      <c r="A252" s="28" t="s">
        <v>142</v>
      </c>
      <c r="B252" s="28">
        <v>0</v>
      </c>
      <c r="C252" s="28" t="s">
        <v>83</v>
      </c>
      <c r="D252" s="28">
        <v>1</v>
      </c>
      <c r="E252" s="36"/>
    </row>
    <row r="253" spans="1:5" x14ac:dyDescent="0.25">
      <c r="A253" s="28" t="s">
        <v>334</v>
      </c>
      <c r="B253" s="28">
        <v>-6</v>
      </c>
      <c r="C253" s="28" t="s">
        <v>26</v>
      </c>
      <c r="D253" s="28">
        <v>1</v>
      </c>
      <c r="E253" s="36"/>
    </row>
    <row r="254" spans="1:5" x14ac:dyDescent="0.25">
      <c r="A254" s="28" t="s">
        <v>334</v>
      </c>
      <c r="B254" s="28">
        <v>-5</v>
      </c>
      <c r="C254" s="28" t="s">
        <v>26</v>
      </c>
      <c r="D254" s="28">
        <v>1</v>
      </c>
      <c r="E254" s="36"/>
    </row>
    <row r="255" spans="1:5" x14ac:dyDescent="0.25">
      <c r="A255" s="28" t="s">
        <v>334</v>
      </c>
      <c r="B255" s="28">
        <v>-4</v>
      </c>
      <c r="C255" s="28" t="s">
        <v>83</v>
      </c>
      <c r="D255" s="28">
        <v>1</v>
      </c>
      <c r="E255" s="36"/>
    </row>
    <row r="256" spans="1:5" x14ac:dyDescent="0.25">
      <c r="A256" s="28" t="s">
        <v>334</v>
      </c>
      <c r="B256" s="28">
        <v>-3</v>
      </c>
      <c r="C256" s="28" t="s">
        <v>83</v>
      </c>
      <c r="D256" s="28">
        <v>1</v>
      </c>
      <c r="E256" s="36"/>
    </row>
    <row r="257" spans="1:5" x14ac:dyDescent="0.25">
      <c r="A257" s="28" t="s">
        <v>334</v>
      </c>
      <c r="B257" s="28">
        <v>-2</v>
      </c>
      <c r="C257" s="28" t="s">
        <v>5</v>
      </c>
      <c r="D257" s="28">
        <v>1</v>
      </c>
      <c r="E257" s="36"/>
    </row>
    <row r="258" spans="1:5" x14ac:dyDescent="0.25">
      <c r="A258" s="28" t="s">
        <v>334</v>
      </c>
      <c r="B258" s="28">
        <v>-1</v>
      </c>
      <c r="C258" s="28" t="s">
        <v>5</v>
      </c>
      <c r="D258" s="28">
        <v>1</v>
      </c>
      <c r="E258" s="36"/>
    </row>
    <row r="259" spans="1:5" x14ac:dyDescent="0.25">
      <c r="A259" s="28" t="s">
        <v>334</v>
      </c>
      <c r="B259" s="28">
        <v>0</v>
      </c>
      <c r="C259" s="28" t="s">
        <v>83</v>
      </c>
      <c r="D259" s="28">
        <v>1</v>
      </c>
      <c r="E259" s="36"/>
    </row>
    <row r="260" spans="1:5" x14ac:dyDescent="0.25">
      <c r="A260" s="28" t="s">
        <v>122</v>
      </c>
      <c r="B260" s="28">
        <v>-6</v>
      </c>
      <c r="C260" s="28" t="s">
        <v>83</v>
      </c>
      <c r="D260" s="28">
        <v>1</v>
      </c>
      <c r="E260" s="36"/>
    </row>
    <row r="261" spans="1:5" x14ac:dyDescent="0.25">
      <c r="A261" s="28" t="s">
        <v>122</v>
      </c>
      <c r="B261" s="28">
        <v>-5</v>
      </c>
      <c r="C261" s="28" t="s">
        <v>5</v>
      </c>
      <c r="D261" s="28">
        <v>1</v>
      </c>
      <c r="E261" s="36"/>
    </row>
    <row r="262" spans="1:5" x14ac:dyDescent="0.25">
      <c r="A262" s="28" t="s">
        <v>122</v>
      </c>
      <c r="B262" s="28">
        <v>-4</v>
      </c>
      <c r="C262" s="28" t="s">
        <v>31</v>
      </c>
      <c r="D262" s="28">
        <v>1</v>
      </c>
      <c r="E262" s="36"/>
    </row>
    <row r="263" spans="1:5" x14ac:dyDescent="0.25">
      <c r="A263" s="28" t="s">
        <v>122</v>
      </c>
      <c r="B263" s="28">
        <v>-3</v>
      </c>
      <c r="C263" s="28" t="s">
        <v>31</v>
      </c>
      <c r="D263" s="28">
        <v>1</v>
      </c>
      <c r="E263" s="36"/>
    </row>
    <row r="264" spans="1:5" x14ac:dyDescent="0.25">
      <c r="A264" s="28" t="s">
        <v>122</v>
      </c>
      <c r="B264" s="28">
        <v>-2</v>
      </c>
      <c r="C264" s="28" t="s">
        <v>5</v>
      </c>
      <c r="D264" s="28">
        <v>1</v>
      </c>
      <c r="E264" s="36"/>
    </row>
    <row r="265" spans="1:5" x14ac:dyDescent="0.25">
      <c r="A265" s="28" t="s">
        <v>122</v>
      </c>
      <c r="B265" s="28">
        <v>-1</v>
      </c>
      <c r="C265" s="28" t="s">
        <v>5</v>
      </c>
      <c r="D265" s="28">
        <v>1</v>
      </c>
      <c r="E265" s="36"/>
    </row>
    <row r="266" spans="1:5" x14ac:dyDescent="0.25">
      <c r="A266" s="28" t="s">
        <v>122</v>
      </c>
      <c r="B266" s="28">
        <v>0</v>
      </c>
      <c r="C266" s="28" t="s">
        <v>83</v>
      </c>
      <c r="D266" s="28">
        <v>1</v>
      </c>
      <c r="E266" s="36"/>
    </row>
    <row r="267" spans="1:5" x14ac:dyDescent="0.25">
      <c r="A267" s="28" t="s">
        <v>124</v>
      </c>
      <c r="B267" s="28">
        <v>-6</v>
      </c>
      <c r="C267" s="28" t="s">
        <v>83</v>
      </c>
      <c r="D267" s="28">
        <v>1</v>
      </c>
      <c r="E267" s="36"/>
    </row>
    <row r="268" spans="1:5" x14ac:dyDescent="0.25">
      <c r="A268" s="28" t="s">
        <v>124</v>
      </c>
      <c r="B268" s="28">
        <v>-5</v>
      </c>
      <c r="C268" s="28" t="s">
        <v>31</v>
      </c>
      <c r="D268" s="28">
        <v>1</v>
      </c>
      <c r="E268" s="36"/>
    </row>
    <row r="269" spans="1:5" x14ac:dyDescent="0.25">
      <c r="A269" s="28" t="s">
        <v>124</v>
      </c>
      <c r="B269" s="28">
        <v>-4</v>
      </c>
      <c r="C269" s="28" t="s">
        <v>5</v>
      </c>
      <c r="D269" s="28">
        <v>1</v>
      </c>
      <c r="E269" s="36"/>
    </row>
    <row r="270" spans="1:5" x14ac:dyDescent="0.25">
      <c r="A270" s="28" t="s">
        <v>124</v>
      </c>
      <c r="B270" s="28">
        <v>-3</v>
      </c>
      <c r="C270" s="28" t="s">
        <v>31</v>
      </c>
      <c r="D270" s="28">
        <v>1</v>
      </c>
      <c r="E270" s="36"/>
    </row>
    <row r="271" spans="1:5" x14ac:dyDescent="0.25">
      <c r="A271" s="28" t="s">
        <v>124</v>
      </c>
      <c r="B271" s="28">
        <v>-2</v>
      </c>
      <c r="C271" s="28" t="s">
        <v>31</v>
      </c>
      <c r="D271" s="28">
        <v>1</v>
      </c>
      <c r="E271" s="36"/>
    </row>
    <row r="272" spans="1:5" x14ac:dyDescent="0.25">
      <c r="A272" s="28" t="s">
        <v>124</v>
      </c>
      <c r="B272" s="28">
        <v>-1</v>
      </c>
      <c r="C272" s="28" t="s">
        <v>31</v>
      </c>
      <c r="D272" s="28">
        <v>1</v>
      </c>
      <c r="E272" s="36"/>
    </row>
    <row r="273" spans="1:5" x14ac:dyDescent="0.25">
      <c r="A273" s="28" t="s">
        <v>124</v>
      </c>
      <c r="B273" s="28">
        <v>0</v>
      </c>
      <c r="C273" s="28" t="s">
        <v>83</v>
      </c>
      <c r="D273" s="28">
        <v>1</v>
      </c>
      <c r="E273" s="36"/>
    </row>
    <row r="274" spans="1:5" x14ac:dyDescent="0.25">
      <c r="A274" s="28" t="s">
        <v>126</v>
      </c>
      <c r="B274" s="28">
        <v>-6</v>
      </c>
      <c r="C274" s="28" t="s">
        <v>83</v>
      </c>
      <c r="D274" s="28">
        <v>1</v>
      </c>
      <c r="E274" s="36"/>
    </row>
    <row r="275" spans="1:5" x14ac:dyDescent="0.25">
      <c r="A275" s="28" t="s">
        <v>126</v>
      </c>
      <c r="B275" s="28">
        <v>-5</v>
      </c>
      <c r="C275" s="28" t="s">
        <v>31</v>
      </c>
      <c r="D275" s="28">
        <v>1</v>
      </c>
      <c r="E275" s="36"/>
    </row>
    <row r="276" spans="1:5" x14ac:dyDescent="0.25">
      <c r="A276" s="28" t="s">
        <v>126</v>
      </c>
      <c r="B276" s="28">
        <v>-4</v>
      </c>
      <c r="C276" s="28" t="s">
        <v>31</v>
      </c>
      <c r="D276" s="28">
        <v>1</v>
      </c>
      <c r="E276" s="36"/>
    </row>
    <row r="277" spans="1:5" x14ac:dyDescent="0.25">
      <c r="A277" s="28" t="s">
        <v>126</v>
      </c>
      <c r="B277" s="28">
        <v>-3</v>
      </c>
      <c r="C277" s="28" t="s">
        <v>31</v>
      </c>
      <c r="D277" s="28">
        <v>1</v>
      </c>
      <c r="E277" s="36"/>
    </row>
    <row r="278" spans="1:5" x14ac:dyDescent="0.25">
      <c r="A278" s="28" t="s">
        <v>126</v>
      </c>
      <c r="B278" s="28">
        <v>-2</v>
      </c>
      <c r="C278" s="28" t="s">
        <v>17</v>
      </c>
      <c r="D278" s="28">
        <v>1</v>
      </c>
      <c r="E278" s="36"/>
    </row>
    <row r="279" spans="1:5" x14ac:dyDescent="0.25">
      <c r="A279" s="28" t="s">
        <v>126</v>
      </c>
      <c r="B279" s="28">
        <v>-1</v>
      </c>
      <c r="C279" s="28" t="s">
        <v>65</v>
      </c>
      <c r="D279" s="28">
        <v>1</v>
      </c>
    </row>
    <row r="280" spans="1:5" x14ac:dyDescent="0.25">
      <c r="A280" s="28" t="s">
        <v>126</v>
      </c>
      <c r="B280" s="28">
        <v>0</v>
      </c>
      <c r="C280" s="28" t="s">
        <v>83</v>
      </c>
      <c r="D280" s="28">
        <v>1</v>
      </c>
    </row>
    <row r="281" spans="1:5" x14ac:dyDescent="0.25">
      <c r="A281" s="28" t="s">
        <v>132</v>
      </c>
      <c r="B281" s="28">
        <v>-6</v>
      </c>
      <c r="C281" s="28" t="s">
        <v>83</v>
      </c>
      <c r="D281" s="28">
        <v>1</v>
      </c>
    </row>
    <row r="282" spans="1:5" x14ac:dyDescent="0.25">
      <c r="A282" s="28" t="s">
        <v>132</v>
      </c>
      <c r="B282" s="28">
        <v>-5</v>
      </c>
      <c r="C282" s="28" t="s">
        <v>69</v>
      </c>
      <c r="D282" s="28">
        <v>1</v>
      </c>
    </row>
    <row r="283" spans="1:5" x14ac:dyDescent="0.25">
      <c r="A283" s="28" t="s">
        <v>132</v>
      </c>
      <c r="B283" s="28">
        <v>-4</v>
      </c>
      <c r="C283" s="28" t="s">
        <v>43</v>
      </c>
      <c r="D283" s="28">
        <v>1</v>
      </c>
    </row>
    <row r="284" spans="1:5" x14ac:dyDescent="0.25">
      <c r="A284" s="28" t="s">
        <v>132</v>
      </c>
      <c r="B284" s="28">
        <v>-3</v>
      </c>
      <c r="C284" s="28" t="s">
        <v>53</v>
      </c>
      <c r="D284" s="28">
        <v>1</v>
      </c>
    </row>
    <row r="285" spans="1:5" x14ac:dyDescent="0.25">
      <c r="A285" s="28" t="s">
        <v>132</v>
      </c>
      <c r="B285" s="28">
        <v>-2</v>
      </c>
      <c r="C285" s="28" t="s">
        <v>65</v>
      </c>
      <c r="D285" s="28">
        <v>1</v>
      </c>
    </row>
    <row r="286" spans="1:5" x14ac:dyDescent="0.25">
      <c r="A286" s="28" t="s">
        <v>132</v>
      </c>
      <c r="B286" s="28">
        <v>-1</v>
      </c>
      <c r="C286" s="28" t="s">
        <v>31</v>
      </c>
      <c r="D286" s="28">
        <v>1</v>
      </c>
    </row>
    <row r="287" spans="1:5" x14ac:dyDescent="0.25">
      <c r="A287" s="28" t="s">
        <v>132</v>
      </c>
      <c r="B287" s="28">
        <v>0</v>
      </c>
      <c r="C287" s="28" t="s">
        <v>83</v>
      </c>
      <c r="D287" s="28">
        <v>1</v>
      </c>
    </row>
    <row r="288" spans="1:5" x14ac:dyDescent="0.25">
      <c r="A288" s="28" t="s">
        <v>133</v>
      </c>
      <c r="B288" s="28">
        <v>-6</v>
      </c>
      <c r="C288" s="28" t="s">
        <v>83</v>
      </c>
      <c r="D288" s="28">
        <v>1</v>
      </c>
    </row>
    <row r="289" spans="1:5" x14ac:dyDescent="0.25">
      <c r="A289" s="28" t="s">
        <v>133</v>
      </c>
      <c r="B289" s="28">
        <v>-5</v>
      </c>
      <c r="C289" s="28" t="s">
        <v>31</v>
      </c>
      <c r="D289" s="28">
        <v>1</v>
      </c>
    </row>
    <row r="290" spans="1:5" x14ac:dyDescent="0.25">
      <c r="A290" s="28" t="s">
        <v>133</v>
      </c>
      <c r="B290" s="28">
        <v>-4</v>
      </c>
      <c r="C290" s="28" t="s">
        <v>31</v>
      </c>
      <c r="D290" s="28">
        <v>1</v>
      </c>
    </row>
    <row r="291" spans="1:5" x14ac:dyDescent="0.25">
      <c r="A291" s="28" t="s">
        <v>133</v>
      </c>
      <c r="B291" s="28">
        <v>-3</v>
      </c>
      <c r="C291" s="28" t="s">
        <v>31</v>
      </c>
      <c r="D291" s="28">
        <v>1</v>
      </c>
    </row>
    <row r="292" spans="1:5" x14ac:dyDescent="0.25">
      <c r="A292" s="28" t="s">
        <v>133</v>
      </c>
      <c r="B292" s="28">
        <v>-2</v>
      </c>
      <c r="C292" s="28" t="s">
        <v>43</v>
      </c>
      <c r="D292" s="28">
        <v>1</v>
      </c>
    </row>
    <row r="293" spans="1:5" x14ac:dyDescent="0.25">
      <c r="A293" s="28" t="s">
        <v>133</v>
      </c>
      <c r="B293" s="28">
        <v>-1</v>
      </c>
      <c r="C293" s="28" t="s">
        <v>31</v>
      </c>
      <c r="D293" s="28">
        <v>1</v>
      </c>
    </row>
    <row r="294" spans="1:5" x14ac:dyDescent="0.25">
      <c r="A294" s="28" t="s">
        <v>133</v>
      </c>
      <c r="B294" s="28">
        <v>0</v>
      </c>
      <c r="C294" s="28" t="s">
        <v>83</v>
      </c>
      <c r="D294" s="28">
        <v>1</v>
      </c>
    </row>
    <row r="295" spans="1:5" x14ac:dyDescent="0.25">
      <c r="A295" s="28" t="s">
        <v>136</v>
      </c>
      <c r="B295" s="28">
        <v>-6</v>
      </c>
      <c r="C295" s="28" t="s">
        <v>83</v>
      </c>
      <c r="D295" s="28">
        <v>1</v>
      </c>
    </row>
    <row r="296" spans="1:5" x14ac:dyDescent="0.25">
      <c r="A296" s="28" t="s">
        <v>136</v>
      </c>
      <c r="B296" s="28">
        <v>-5</v>
      </c>
      <c r="C296" s="28" t="s">
        <v>31</v>
      </c>
      <c r="D296" s="28">
        <v>1</v>
      </c>
    </row>
    <row r="297" spans="1:5" x14ac:dyDescent="0.25">
      <c r="A297" s="28" t="s">
        <v>136</v>
      </c>
      <c r="B297" s="28">
        <v>-4</v>
      </c>
      <c r="C297" s="28" t="s">
        <v>26</v>
      </c>
      <c r="D297" s="28">
        <v>1</v>
      </c>
      <c r="E297" s="36"/>
    </row>
    <row r="298" spans="1:5" x14ac:dyDescent="0.25">
      <c r="A298" s="28" t="s">
        <v>136</v>
      </c>
      <c r="B298" s="28">
        <v>-3</v>
      </c>
      <c r="C298" s="28" t="s">
        <v>26</v>
      </c>
      <c r="D298" s="28">
        <v>1</v>
      </c>
      <c r="E298" s="36"/>
    </row>
    <row r="299" spans="1:5" x14ac:dyDescent="0.25">
      <c r="A299" s="28" t="s">
        <v>136</v>
      </c>
      <c r="B299" s="28">
        <v>-2</v>
      </c>
      <c r="C299" s="28" t="s">
        <v>26</v>
      </c>
      <c r="D299" s="28">
        <v>1</v>
      </c>
      <c r="E299" s="36"/>
    </row>
    <row r="300" spans="1:5" x14ac:dyDescent="0.25">
      <c r="A300" s="28" t="s">
        <v>136</v>
      </c>
      <c r="B300" s="28">
        <v>-1</v>
      </c>
      <c r="C300" s="28" t="s">
        <v>32</v>
      </c>
      <c r="D300" s="28">
        <v>1</v>
      </c>
      <c r="E300" s="36"/>
    </row>
    <row r="301" spans="1:5" x14ac:dyDescent="0.25">
      <c r="A301" s="28" t="s">
        <v>136</v>
      </c>
      <c r="B301" s="28">
        <v>0</v>
      </c>
      <c r="C301" s="28" t="s">
        <v>83</v>
      </c>
      <c r="D301" s="28">
        <v>1</v>
      </c>
      <c r="E301" s="36"/>
    </row>
    <row r="302" spans="1:5" x14ac:dyDescent="0.25">
      <c r="A302" s="28" t="s">
        <v>337</v>
      </c>
      <c r="B302" s="28">
        <v>-6</v>
      </c>
      <c r="C302" s="28" t="s">
        <v>83</v>
      </c>
      <c r="D302" s="28">
        <v>1</v>
      </c>
      <c r="E302" s="36"/>
    </row>
    <row r="303" spans="1:5" x14ac:dyDescent="0.25">
      <c r="A303" s="28" t="s">
        <v>337</v>
      </c>
      <c r="B303" s="28">
        <v>-5</v>
      </c>
      <c r="C303" s="28" t="s">
        <v>31</v>
      </c>
      <c r="D303" s="28">
        <v>1</v>
      </c>
      <c r="E303" s="36"/>
    </row>
    <row r="304" spans="1:5" x14ac:dyDescent="0.25">
      <c r="A304" s="28" t="s">
        <v>337</v>
      </c>
      <c r="B304" s="28">
        <v>-4</v>
      </c>
      <c r="C304" s="28" t="s">
        <v>31</v>
      </c>
      <c r="D304" s="28">
        <v>1</v>
      </c>
      <c r="E304" s="36"/>
    </row>
    <row r="305" spans="1:5" x14ac:dyDescent="0.25">
      <c r="A305" s="28" t="s">
        <v>337</v>
      </c>
      <c r="B305" s="28">
        <v>-3</v>
      </c>
      <c r="C305" s="28" t="s">
        <v>31</v>
      </c>
      <c r="D305" s="28">
        <v>1</v>
      </c>
      <c r="E305" s="36"/>
    </row>
    <row r="306" spans="1:5" x14ac:dyDescent="0.25">
      <c r="A306" s="28" t="s">
        <v>337</v>
      </c>
      <c r="B306" s="28">
        <v>-2</v>
      </c>
      <c r="C306" s="28" t="s">
        <v>32</v>
      </c>
      <c r="D306" s="28">
        <v>1</v>
      </c>
      <c r="E306" s="36"/>
    </row>
    <row r="307" spans="1:5" x14ac:dyDescent="0.25">
      <c r="A307" s="28" t="s">
        <v>337</v>
      </c>
      <c r="B307" s="28">
        <v>-1</v>
      </c>
      <c r="C307" s="28" t="s">
        <v>31</v>
      </c>
      <c r="D307" s="28">
        <v>1</v>
      </c>
    </row>
    <row r="308" spans="1:5" x14ac:dyDescent="0.25">
      <c r="A308" s="28" t="s">
        <v>337</v>
      </c>
      <c r="B308" s="28">
        <v>0</v>
      </c>
      <c r="C308" s="28" t="s">
        <v>83</v>
      </c>
      <c r="D308" s="28">
        <v>1</v>
      </c>
    </row>
    <row r="309" spans="1:5" x14ac:dyDescent="0.25">
      <c r="A309" s="28" t="s">
        <v>335</v>
      </c>
      <c r="B309" s="28">
        <v>-6</v>
      </c>
      <c r="C309" s="28" t="s">
        <v>83</v>
      </c>
      <c r="D309" s="28">
        <v>1</v>
      </c>
    </row>
    <row r="310" spans="1:5" x14ac:dyDescent="0.25">
      <c r="A310" s="28" t="s">
        <v>335</v>
      </c>
      <c r="B310" s="28">
        <v>-5</v>
      </c>
      <c r="C310" s="28" t="s">
        <v>31</v>
      </c>
      <c r="D310" s="28">
        <v>1</v>
      </c>
    </row>
    <row r="311" spans="1:5" x14ac:dyDescent="0.25">
      <c r="A311" s="28" t="s">
        <v>335</v>
      </c>
      <c r="B311" s="28">
        <v>-4</v>
      </c>
      <c r="C311" s="28" t="s">
        <v>31</v>
      </c>
      <c r="D311" s="28">
        <v>1</v>
      </c>
    </row>
    <row r="312" spans="1:5" x14ac:dyDescent="0.25">
      <c r="A312" s="28" t="s">
        <v>335</v>
      </c>
      <c r="B312" s="28">
        <v>-3</v>
      </c>
      <c r="C312" s="28" t="s">
        <v>31</v>
      </c>
      <c r="D312" s="28">
        <v>1</v>
      </c>
    </row>
    <row r="313" spans="1:5" x14ac:dyDescent="0.25">
      <c r="A313" s="28" t="s">
        <v>335</v>
      </c>
      <c r="B313" s="28">
        <v>-2</v>
      </c>
      <c r="C313" s="28" t="s">
        <v>6</v>
      </c>
      <c r="D313" s="28">
        <v>1</v>
      </c>
    </row>
    <row r="314" spans="1:5" x14ac:dyDescent="0.25">
      <c r="A314" s="28" t="s">
        <v>335</v>
      </c>
      <c r="B314" s="28">
        <v>-1</v>
      </c>
      <c r="C314" s="28" t="s">
        <v>31</v>
      </c>
      <c r="D314" s="28">
        <v>1</v>
      </c>
    </row>
    <row r="315" spans="1:5" x14ac:dyDescent="0.25">
      <c r="A315" s="28" t="s">
        <v>335</v>
      </c>
      <c r="B315" s="28">
        <v>0</v>
      </c>
      <c r="C315" s="28" t="s">
        <v>83</v>
      </c>
      <c r="D315" s="28">
        <v>1</v>
      </c>
    </row>
    <row r="316" spans="1:5" x14ac:dyDescent="0.25">
      <c r="A316" s="28" t="s">
        <v>336</v>
      </c>
      <c r="B316" s="28">
        <v>-6</v>
      </c>
      <c r="C316" s="28" t="s">
        <v>83</v>
      </c>
      <c r="D316" s="28">
        <v>1</v>
      </c>
    </row>
    <row r="317" spans="1:5" x14ac:dyDescent="0.25">
      <c r="A317" s="28" t="s">
        <v>336</v>
      </c>
      <c r="B317" s="28">
        <v>-5</v>
      </c>
      <c r="C317" s="28" t="s">
        <v>6</v>
      </c>
      <c r="D317" s="28">
        <v>1</v>
      </c>
    </row>
    <row r="318" spans="1:5" x14ac:dyDescent="0.25">
      <c r="A318" s="28" t="s">
        <v>336</v>
      </c>
      <c r="B318" s="28">
        <v>-4</v>
      </c>
      <c r="C318" s="28" t="s">
        <v>31</v>
      </c>
      <c r="D318" s="28">
        <v>1</v>
      </c>
    </row>
    <row r="319" spans="1:5" x14ac:dyDescent="0.25">
      <c r="A319" s="28" t="s">
        <v>336</v>
      </c>
      <c r="B319" s="28">
        <v>-3</v>
      </c>
      <c r="C319" s="28" t="s">
        <v>31</v>
      </c>
      <c r="D319" s="28">
        <v>1</v>
      </c>
    </row>
    <row r="320" spans="1:5" x14ac:dyDescent="0.25">
      <c r="A320" s="28" t="s">
        <v>336</v>
      </c>
      <c r="B320" s="28">
        <v>-2</v>
      </c>
      <c r="C320" s="28" t="s">
        <v>31</v>
      </c>
      <c r="D320" s="28">
        <v>1</v>
      </c>
    </row>
    <row r="321" spans="1:4" x14ac:dyDescent="0.25">
      <c r="A321" s="28" t="s">
        <v>336</v>
      </c>
      <c r="B321" s="28">
        <v>-1</v>
      </c>
      <c r="C321" s="28" t="s">
        <v>31</v>
      </c>
      <c r="D321" s="28">
        <v>1</v>
      </c>
    </row>
    <row r="322" spans="1:4" x14ac:dyDescent="0.25">
      <c r="A322" s="28" t="s">
        <v>336</v>
      </c>
      <c r="B322" s="28">
        <v>0</v>
      </c>
      <c r="C322" s="28" t="s">
        <v>19</v>
      </c>
      <c r="D322" s="28">
        <v>1</v>
      </c>
    </row>
    <row r="323" spans="1:4" x14ac:dyDescent="0.25">
      <c r="A323" s="28" t="s">
        <v>143</v>
      </c>
      <c r="B323" s="28">
        <v>-6</v>
      </c>
      <c r="C323" s="28" t="s">
        <v>83</v>
      </c>
      <c r="D323" s="28">
        <v>1</v>
      </c>
    </row>
    <row r="324" spans="1:4" x14ac:dyDescent="0.25">
      <c r="A324" s="28" t="s">
        <v>143</v>
      </c>
      <c r="B324" s="28">
        <v>-5</v>
      </c>
      <c r="C324" s="28" t="s">
        <v>31</v>
      </c>
      <c r="D324" s="28">
        <v>1</v>
      </c>
    </row>
    <row r="325" spans="1:4" x14ac:dyDescent="0.25">
      <c r="A325" s="28" t="s">
        <v>143</v>
      </c>
      <c r="B325" s="28">
        <v>-4</v>
      </c>
      <c r="C325" s="28" t="s">
        <v>53</v>
      </c>
      <c r="D325" s="28">
        <v>1</v>
      </c>
    </row>
    <row r="326" spans="1:4" x14ac:dyDescent="0.25">
      <c r="A326" s="28" t="s">
        <v>143</v>
      </c>
      <c r="B326" s="28">
        <v>-3</v>
      </c>
      <c r="C326" s="28" t="s">
        <v>65</v>
      </c>
      <c r="D326" s="28">
        <v>1</v>
      </c>
    </row>
    <row r="327" spans="1:4" x14ac:dyDescent="0.25">
      <c r="A327" s="28" t="s">
        <v>143</v>
      </c>
      <c r="B327" s="28">
        <v>-2</v>
      </c>
      <c r="C327" s="28" t="s">
        <v>31</v>
      </c>
      <c r="D327" s="28">
        <v>1</v>
      </c>
    </row>
    <row r="328" spans="1:4" x14ac:dyDescent="0.25">
      <c r="A328" s="28" t="s">
        <v>143</v>
      </c>
      <c r="B328" s="28">
        <v>-1</v>
      </c>
      <c r="C328" s="28" t="s">
        <v>31</v>
      </c>
      <c r="D328" s="28">
        <v>1</v>
      </c>
    </row>
    <row r="329" spans="1:4" x14ac:dyDescent="0.25">
      <c r="A329" s="28" t="s">
        <v>143</v>
      </c>
      <c r="B329" s="28">
        <v>0</v>
      </c>
      <c r="C329" s="28" t="s">
        <v>83</v>
      </c>
      <c r="D329" s="28">
        <v>1</v>
      </c>
    </row>
    <row r="330" spans="1:4" x14ac:dyDescent="0.25">
      <c r="A330" s="28" t="s">
        <v>144</v>
      </c>
      <c r="B330" s="28">
        <v>-6</v>
      </c>
      <c r="C330" s="28" t="s">
        <v>372</v>
      </c>
      <c r="D330" s="28">
        <v>1</v>
      </c>
    </row>
    <row r="331" spans="1:4" x14ac:dyDescent="0.25">
      <c r="A331" s="28" t="s">
        <v>144</v>
      </c>
      <c r="B331" s="28">
        <v>-5</v>
      </c>
      <c r="C331" s="28" t="s">
        <v>65</v>
      </c>
      <c r="D331" s="28">
        <v>1</v>
      </c>
    </row>
    <row r="332" spans="1:4" x14ac:dyDescent="0.25">
      <c r="A332" s="28" t="s">
        <v>144</v>
      </c>
      <c r="B332" s="28">
        <v>-4</v>
      </c>
      <c r="C332" s="28" t="s">
        <v>31</v>
      </c>
      <c r="D332" s="28">
        <v>1</v>
      </c>
    </row>
    <row r="333" spans="1:4" x14ac:dyDescent="0.25">
      <c r="A333" s="28" t="s">
        <v>144</v>
      </c>
      <c r="B333" s="28">
        <v>-3</v>
      </c>
      <c r="C333" s="28" t="s">
        <v>31</v>
      </c>
      <c r="D333" s="28">
        <v>1</v>
      </c>
    </row>
    <row r="334" spans="1:4" x14ac:dyDescent="0.25">
      <c r="A334" s="28" t="s">
        <v>144</v>
      </c>
      <c r="B334" s="28">
        <v>-2</v>
      </c>
      <c r="C334" s="28" t="s">
        <v>31</v>
      </c>
      <c r="D334" s="28">
        <v>1</v>
      </c>
    </row>
    <row r="335" spans="1:4" x14ac:dyDescent="0.25">
      <c r="A335" s="28" t="s">
        <v>144</v>
      </c>
      <c r="B335" s="28">
        <v>-1</v>
      </c>
      <c r="C335" s="28" t="s">
        <v>80</v>
      </c>
      <c r="D335" s="28">
        <v>1</v>
      </c>
    </row>
    <row r="336" spans="1:4" x14ac:dyDescent="0.25">
      <c r="A336" s="28" t="s">
        <v>144</v>
      </c>
      <c r="B336" s="28">
        <v>0</v>
      </c>
      <c r="C336" s="28" t="s">
        <v>83</v>
      </c>
      <c r="D336" s="28">
        <v>1</v>
      </c>
    </row>
    <row r="337" spans="1:4" x14ac:dyDescent="0.25">
      <c r="A337" s="28" t="s">
        <v>341</v>
      </c>
      <c r="B337" s="28">
        <v>-6</v>
      </c>
      <c r="C337" s="28" t="s">
        <v>83</v>
      </c>
      <c r="D337" s="28">
        <v>1</v>
      </c>
    </row>
    <row r="338" spans="1:4" x14ac:dyDescent="0.25">
      <c r="A338" s="28" t="s">
        <v>341</v>
      </c>
      <c r="B338" s="28">
        <v>-5</v>
      </c>
      <c r="C338" s="28" t="s">
        <v>17</v>
      </c>
      <c r="D338" s="28">
        <v>1</v>
      </c>
    </row>
    <row r="339" spans="1:4" x14ac:dyDescent="0.25">
      <c r="A339" s="28" t="s">
        <v>341</v>
      </c>
      <c r="B339" s="28">
        <v>-4</v>
      </c>
      <c r="C339" s="28" t="s">
        <v>65</v>
      </c>
      <c r="D339" s="28">
        <v>1</v>
      </c>
    </row>
    <row r="340" spans="1:4" x14ac:dyDescent="0.25">
      <c r="A340" s="28" t="s">
        <v>341</v>
      </c>
      <c r="B340" s="28">
        <v>-3</v>
      </c>
      <c r="C340" s="28" t="s">
        <v>31</v>
      </c>
      <c r="D340" s="28">
        <v>1</v>
      </c>
    </row>
    <row r="341" spans="1:4" x14ac:dyDescent="0.25">
      <c r="A341" s="28" t="s">
        <v>341</v>
      </c>
      <c r="B341" s="28">
        <v>-2</v>
      </c>
      <c r="C341" s="28" t="s">
        <v>31</v>
      </c>
      <c r="D341" s="28">
        <v>1</v>
      </c>
    </row>
    <row r="342" spans="1:4" x14ac:dyDescent="0.25">
      <c r="A342" s="28" t="s">
        <v>341</v>
      </c>
      <c r="B342" s="28">
        <v>-1</v>
      </c>
      <c r="C342" s="28" t="s">
        <v>31</v>
      </c>
      <c r="D342" s="28">
        <v>1</v>
      </c>
    </row>
    <row r="343" spans="1:4" x14ac:dyDescent="0.25">
      <c r="A343" s="28" t="s">
        <v>341</v>
      </c>
      <c r="B343" s="28">
        <v>0</v>
      </c>
      <c r="C343" s="28" t="s">
        <v>83</v>
      </c>
      <c r="D343" s="28">
        <v>1</v>
      </c>
    </row>
    <row r="344" spans="1:4" x14ac:dyDescent="0.25">
      <c r="A344" s="28" t="s">
        <v>342</v>
      </c>
      <c r="B344" s="28">
        <v>-6</v>
      </c>
      <c r="C344" s="28" t="s">
        <v>83</v>
      </c>
      <c r="D344" s="28">
        <v>1</v>
      </c>
    </row>
    <row r="345" spans="1:4" x14ac:dyDescent="0.25">
      <c r="A345" s="28" t="s">
        <v>342</v>
      </c>
      <c r="B345" s="28">
        <v>-5</v>
      </c>
      <c r="C345" s="28" t="s">
        <v>83</v>
      </c>
      <c r="D345" s="28">
        <v>1</v>
      </c>
    </row>
    <row r="346" spans="1:4" x14ac:dyDescent="0.25">
      <c r="A346" s="28" t="s">
        <v>342</v>
      </c>
      <c r="B346" s="28">
        <v>-4</v>
      </c>
      <c r="C346" s="28" t="s">
        <v>83</v>
      </c>
      <c r="D346" s="28">
        <v>1</v>
      </c>
    </row>
    <row r="347" spans="1:4" x14ac:dyDescent="0.25">
      <c r="A347" s="28" t="s">
        <v>342</v>
      </c>
      <c r="B347" s="28">
        <v>-3</v>
      </c>
      <c r="C347" s="28" t="s">
        <v>83</v>
      </c>
      <c r="D347" s="28">
        <v>1</v>
      </c>
    </row>
    <row r="348" spans="1:4" x14ac:dyDescent="0.25">
      <c r="A348" s="28" t="s">
        <v>342</v>
      </c>
      <c r="B348" s="28">
        <v>-2</v>
      </c>
      <c r="C348" s="28" t="s">
        <v>83</v>
      </c>
      <c r="D348" s="28">
        <v>1</v>
      </c>
    </row>
    <row r="349" spans="1:4" x14ac:dyDescent="0.25">
      <c r="A349" s="28" t="s">
        <v>342</v>
      </c>
      <c r="B349" s="28">
        <v>-1</v>
      </c>
      <c r="C349" s="28" t="s">
        <v>83</v>
      </c>
      <c r="D349" s="28">
        <v>1</v>
      </c>
    </row>
    <row r="350" spans="1:4" x14ac:dyDescent="0.25">
      <c r="A350" s="28" t="s">
        <v>342</v>
      </c>
      <c r="B350" s="28">
        <v>0</v>
      </c>
      <c r="C350" s="28" t="s">
        <v>83</v>
      </c>
      <c r="D350" s="28">
        <v>1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AD36"/>
  <sheetViews>
    <sheetView zoomScale="70" zoomScaleNormal="70" workbookViewId="0">
      <selection activeCell="AA35" sqref="AA35"/>
    </sheetView>
  </sheetViews>
  <sheetFormatPr baseColWidth="10" defaultColWidth="11.42578125" defaultRowHeight="15" x14ac:dyDescent="0.25"/>
  <cols>
    <col min="4" max="5" width="11.42578125" style="27"/>
    <col min="6" max="6" width="13.140625" customWidth="1"/>
    <col min="7" max="7" width="17.7109375" bestFit="1" customWidth="1"/>
    <col min="8" max="8" width="18" style="27" customWidth="1"/>
    <col min="9" max="10" width="15.140625" style="27" customWidth="1"/>
    <col min="11" max="11" width="18.7109375" style="27" bestFit="1" customWidth="1"/>
    <col min="12" max="12" width="4.28515625" style="27" customWidth="1"/>
    <col min="13" max="13" width="4.42578125" style="27" customWidth="1"/>
    <col min="14" max="14" width="4.28515625" style="27" customWidth="1"/>
    <col min="15" max="15" width="3.5703125" customWidth="1"/>
    <col min="16" max="16" width="27.28515625" customWidth="1"/>
    <col min="17" max="18" width="15.28515625" customWidth="1"/>
    <col min="19" max="20" width="6.5703125" customWidth="1"/>
    <col min="21" max="21" width="2.28515625" customWidth="1"/>
    <col min="22" max="22" width="25" customWidth="1"/>
    <col min="23" max="23" width="13" customWidth="1"/>
    <col min="24" max="25" width="13.42578125" customWidth="1"/>
    <col min="26" max="26" width="20.28515625" customWidth="1"/>
    <col min="27" max="28" width="11.42578125" customWidth="1"/>
    <col min="29" max="29" width="15.42578125" bestFit="1" customWidth="1"/>
  </cols>
  <sheetData>
    <row r="1" spans="1:30" ht="15.75" thickBot="1" x14ac:dyDescent="0.3">
      <c r="A1" s="1" t="s">
        <v>7</v>
      </c>
      <c r="B1" s="2" t="s">
        <v>2</v>
      </c>
      <c r="C1" s="2" t="s">
        <v>153</v>
      </c>
      <c r="D1" s="2" t="s">
        <v>152</v>
      </c>
      <c r="E1" s="2" t="s">
        <v>151</v>
      </c>
      <c r="F1" s="2" t="s">
        <v>110</v>
      </c>
      <c r="G1" s="2" t="s">
        <v>115</v>
      </c>
      <c r="H1" s="2" t="s">
        <v>118</v>
      </c>
      <c r="I1" s="2" t="s">
        <v>119</v>
      </c>
      <c r="J1" s="2" t="s">
        <v>147</v>
      </c>
      <c r="K1" s="2" t="s">
        <v>207</v>
      </c>
      <c r="M1" s="7"/>
      <c r="N1" s="7"/>
      <c r="O1" s="7"/>
      <c r="P1" s="76" t="s">
        <v>8</v>
      </c>
      <c r="Q1" s="77" t="s">
        <v>9</v>
      </c>
      <c r="R1" s="43" t="s">
        <v>10</v>
      </c>
      <c r="S1" s="44"/>
      <c r="T1" s="44"/>
      <c r="U1" s="45"/>
      <c r="V1" s="4" t="s">
        <v>11</v>
      </c>
      <c r="W1" s="1" t="s">
        <v>12</v>
      </c>
      <c r="X1" s="2" t="s">
        <v>13</v>
      </c>
      <c r="Y1" s="3" t="s">
        <v>14</v>
      </c>
      <c r="Z1" s="90" t="s">
        <v>15</v>
      </c>
      <c r="AA1" s="29" t="s">
        <v>344</v>
      </c>
      <c r="AB1" s="29" t="s">
        <v>13</v>
      </c>
      <c r="AC1" s="29" t="s">
        <v>103</v>
      </c>
      <c r="AD1" s="10">
        <f>COUNTA(A2:A47)</f>
        <v>31</v>
      </c>
    </row>
    <row r="2" spans="1:30" ht="15.75" thickTop="1" x14ac:dyDescent="0.25">
      <c r="A2" s="24" t="s">
        <v>31</v>
      </c>
      <c r="B2" s="20" t="str">
        <f>IF(G2=0,"S1","S2")</f>
        <v>S1</v>
      </c>
      <c r="C2" s="46">
        <v>8</v>
      </c>
      <c r="D2" s="46"/>
      <c r="E2" s="123">
        <f>SUM(C2:D2)</f>
        <v>8</v>
      </c>
      <c r="F2" s="49"/>
      <c r="G2" s="46">
        <v>0</v>
      </c>
      <c r="H2" s="49"/>
      <c r="I2" s="12"/>
      <c r="J2" s="12"/>
      <c r="K2" s="12"/>
      <c r="M2" s="7"/>
      <c r="N2" s="7"/>
      <c r="O2" s="7"/>
      <c r="P2" s="89" t="s">
        <v>31</v>
      </c>
      <c r="Q2" s="78" t="s">
        <v>28</v>
      </c>
      <c r="R2" s="24" t="s">
        <v>28</v>
      </c>
      <c r="S2" s="79">
        <v>11</v>
      </c>
      <c r="T2" s="20"/>
      <c r="U2" s="80"/>
      <c r="V2" s="81" t="s">
        <v>101</v>
      </c>
      <c r="W2" s="24" t="s">
        <v>30</v>
      </c>
      <c r="X2" s="20"/>
      <c r="Y2" s="80"/>
      <c r="Z2" s="83"/>
      <c r="AA2" s="7"/>
      <c r="AB2" s="7"/>
    </row>
    <row r="3" spans="1:30" x14ac:dyDescent="0.25">
      <c r="A3" s="24" t="s">
        <v>19</v>
      </c>
      <c r="B3" s="20" t="str">
        <f t="shared" ref="B3:B36" si="0">IF(G3=0,"S1","S2")</f>
        <v>S1</v>
      </c>
      <c r="C3" s="6">
        <v>0</v>
      </c>
      <c r="D3" s="6">
        <v>24</v>
      </c>
      <c r="E3" s="10">
        <f>SUM(C3:D3)</f>
        <v>24</v>
      </c>
      <c r="F3" s="6">
        <v>1</v>
      </c>
      <c r="G3" s="12">
        <v>0</v>
      </c>
      <c r="H3" s="6"/>
      <c r="I3" s="12">
        <v>1</v>
      </c>
      <c r="J3" s="12">
        <v>1</v>
      </c>
      <c r="K3" s="12"/>
      <c r="M3" s="7"/>
      <c r="N3" s="7"/>
      <c r="O3" s="7"/>
      <c r="P3" s="24" t="s">
        <v>20</v>
      </c>
      <c r="Q3" s="78" t="s">
        <v>21</v>
      </c>
      <c r="R3" s="24" t="s">
        <v>21</v>
      </c>
      <c r="S3" s="20">
        <v>1</v>
      </c>
      <c r="T3" s="20"/>
      <c r="U3" s="80"/>
      <c r="V3" s="82"/>
      <c r="W3" s="83"/>
      <c r="X3" s="120" t="s">
        <v>22</v>
      </c>
      <c r="Y3" s="80"/>
      <c r="Z3" s="83"/>
      <c r="AA3" s="7"/>
      <c r="AB3" s="7"/>
    </row>
    <row r="4" spans="1:30" x14ac:dyDescent="0.25">
      <c r="A4" s="24" t="s">
        <v>372</v>
      </c>
      <c r="B4" s="20" t="str">
        <f t="shared" si="0"/>
        <v>S1</v>
      </c>
      <c r="C4" s="6">
        <v>0</v>
      </c>
      <c r="D4" s="6">
        <v>24</v>
      </c>
      <c r="E4" s="10">
        <f t="shared" ref="E4:E36" si="1">SUM(C4:D4)</f>
        <v>24</v>
      </c>
      <c r="F4" s="6">
        <v>1</v>
      </c>
      <c r="G4" s="12">
        <v>0</v>
      </c>
      <c r="H4" s="6"/>
      <c r="I4" s="12">
        <v>1</v>
      </c>
      <c r="J4" s="12">
        <v>1</v>
      </c>
      <c r="K4" s="12"/>
      <c r="M4" s="7"/>
      <c r="N4" s="7"/>
      <c r="O4" s="7"/>
      <c r="P4" s="24" t="s">
        <v>24</v>
      </c>
      <c r="Q4" s="78" t="s">
        <v>25</v>
      </c>
      <c r="R4" s="24" t="s">
        <v>25</v>
      </c>
      <c r="S4" s="20">
        <v>1</v>
      </c>
      <c r="T4" s="20"/>
      <c r="U4" s="80"/>
      <c r="V4" s="82"/>
      <c r="W4" s="83"/>
      <c r="X4" s="120" t="s">
        <v>22</v>
      </c>
      <c r="Y4" s="80"/>
      <c r="Z4" s="83"/>
      <c r="AA4" s="7"/>
      <c r="AB4" s="7"/>
    </row>
    <row r="5" spans="1:30" x14ac:dyDescent="0.25">
      <c r="A5" s="24" t="s">
        <v>26</v>
      </c>
      <c r="B5" s="20" t="str">
        <f t="shared" si="0"/>
        <v>S1</v>
      </c>
      <c r="C5" s="12">
        <v>8</v>
      </c>
      <c r="D5" s="12"/>
      <c r="E5" s="10">
        <f t="shared" si="1"/>
        <v>8</v>
      </c>
      <c r="F5" s="6"/>
      <c r="G5" s="12">
        <v>0</v>
      </c>
      <c r="H5" s="6"/>
      <c r="I5" s="12"/>
      <c r="J5" s="12"/>
      <c r="K5" s="12">
        <v>1</v>
      </c>
      <c r="M5" s="7"/>
      <c r="N5" s="7"/>
      <c r="O5" s="7"/>
      <c r="P5" s="24" t="s">
        <v>197</v>
      </c>
      <c r="Q5" s="78" t="s">
        <v>27</v>
      </c>
      <c r="R5" s="24" t="s">
        <v>28</v>
      </c>
      <c r="S5" s="20">
        <v>2</v>
      </c>
      <c r="T5" s="20" t="s">
        <v>29</v>
      </c>
      <c r="U5" s="80">
        <v>1</v>
      </c>
      <c r="V5" s="81" t="s">
        <v>100</v>
      </c>
      <c r="W5" s="24" t="s">
        <v>30</v>
      </c>
      <c r="X5" s="20"/>
      <c r="Y5" s="80"/>
      <c r="Z5" s="83"/>
      <c r="AA5" s="7"/>
      <c r="AB5" s="7"/>
    </row>
    <row r="6" spans="1:30" x14ac:dyDescent="0.25">
      <c r="A6" s="24" t="s">
        <v>32</v>
      </c>
      <c r="B6" s="20" t="str">
        <f t="shared" si="0"/>
        <v>S1</v>
      </c>
      <c r="C6" s="12">
        <v>8</v>
      </c>
      <c r="D6" s="12"/>
      <c r="E6" s="10">
        <f t="shared" si="1"/>
        <v>8</v>
      </c>
      <c r="F6" s="6"/>
      <c r="G6" s="12">
        <v>0</v>
      </c>
      <c r="H6" s="6"/>
      <c r="I6" s="12"/>
      <c r="J6" s="12"/>
      <c r="K6" s="12"/>
      <c r="M6" s="7"/>
      <c r="N6" s="7"/>
      <c r="O6" s="7"/>
      <c r="P6" s="24" t="s">
        <v>33</v>
      </c>
      <c r="Q6" s="78" t="s">
        <v>28</v>
      </c>
      <c r="R6" s="24" t="s">
        <v>28</v>
      </c>
      <c r="S6" s="20">
        <v>1</v>
      </c>
      <c r="T6" s="20"/>
      <c r="U6" s="80"/>
      <c r="V6" s="82"/>
      <c r="W6" s="24" t="s">
        <v>34</v>
      </c>
      <c r="X6" s="20"/>
      <c r="Y6" s="80"/>
      <c r="Z6" s="83"/>
      <c r="AA6" s="7"/>
      <c r="AB6" s="7"/>
    </row>
    <row r="7" spans="1:30" x14ac:dyDescent="0.25">
      <c r="A7" s="24" t="s">
        <v>35</v>
      </c>
      <c r="B7" s="20" t="str">
        <f t="shared" si="0"/>
        <v>S1</v>
      </c>
      <c r="C7" s="6">
        <v>0</v>
      </c>
      <c r="D7" s="6"/>
      <c r="E7" s="10">
        <f t="shared" si="1"/>
        <v>0</v>
      </c>
      <c r="F7" s="6"/>
      <c r="G7" s="12">
        <v>0</v>
      </c>
      <c r="H7" s="6"/>
      <c r="I7" s="12"/>
      <c r="J7" s="12"/>
      <c r="K7" s="12"/>
      <c r="M7" s="7"/>
      <c r="N7" s="7"/>
      <c r="O7" s="7"/>
      <c r="P7" s="24" t="s">
        <v>36</v>
      </c>
      <c r="Q7" s="78" t="s">
        <v>21</v>
      </c>
      <c r="R7" s="24" t="s">
        <v>21</v>
      </c>
      <c r="S7" s="20">
        <v>1</v>
      </c>
      <c r="T7" s="20"/>
      <c r="U7" s="80"/>
      <c r="V7" s="82"/>
      <c r="W7" s="24"/>
      <c r="X7" s="20"/>
      <c r="Y7" s="122" t="s">
        <v>37</v>
      </c>
      <c r="Z7" s="83"/>
      <c r="AA7" s="7"/>
      <c r="AB7" s="7"/>
    </row>
    <row r="8" spans="1:30" ht="15.75" customHeight="1" x14ac:dyDescent="0.25">
      <c r="A8" s="24" t="s">
        <v>38</v>
      </c>
      <c r="B8" s="20" t="str">
        <f t="shared" si="0"/>
        <v>S1</v>
      </c>
      <c r="C8" s="6">
        <v>0</v>
      </c>
      <c r="D8" s="6"/>
      <c r="E8" s="10">
        <f t="shared" si="1"/>
        <v>0</v>
      </c>
      <c r="F8" s="6"/>
      <c r="G8" s="12">
        <v>0</v>
      </c>
      <c r="H8" s="6"/>
      <c r="I8" s="12"/>
      <c r="J8" s="12"/>
      <c r="K8" s="12"/>
      <c r="M8" s="7"/>
      <c r="N8" s="7"/>
      <c r="O8" s="7"/>
      <c r="P8" s="24" t="s">
        <v>39</v>
      </c>
      <c r="Q8" s="78" t="s">
        <v>25</v>
      </c>
      <c r="R8" s="24" t="s">
        <v>25</v>
      </c>
      <c r="S8" s="20">
        <v>1</v>
      </c>
      <c r="T8" s="20"/>
      <c r="U8" s="80"/>
      <c r="V8" s="82"/>
      <c r="W8" s="24"/>
      <c r="X8" s="20"/>
      <c r="Y8" s="122" t="s">
        <v>40</v>
      </c>
      <c r="Z8" s="83"/>
      <c r="AA8" s="7"/>
      <c r="AB8" s="7"/>
    </row>
    <row r="9" spans="1:30" x14ac:dyDescent="0.25">
      <c r="A9" s="24" t="s">
        <v>43</v>
      </c>
      <c r="B9" s="20" t="str">
        <f t="shared" si="0"/>
        <v>S1</v>
      </c>
      <c r="C9" s="6">
        <v>8</v>
      </c>
      <c r="D9" s="6"/>
      <c r="E9" s="10">
        <f t="shared" si="1"/>
        <v>8</v>
      </c>
      <c r="F9" s="6"/>
      <c r="G9" s="12">
        <v>0</v>
      </c>
      <c r="H9" s="6"/>
      <c r="I9" s="12"/>
      <c r="J9" s="12"/>
      <c r="K9" s="12"/>
      <c r="M9" s="7"/>
      <c r="N9" s="7"/>
      <c r="O9" s="7"/>
      <c r="P9" s="24" t="s">
        <v>44</v>
      </c>
      <c r="Q9" s="78" t="s">
        <v>45</v>
      </c>
      <c r="R9" s="24" t="s">
        <v>45</v>
      </c>
      <c r="S9" s="20">
        <v>1</v>
      </c>
      <c r="T9" s="20"/>
      <c r="U9" s="80"/>
      <c r="V9" s="82"/>
      <c r="W9" s="24" t="s">
        <v>46</v>
      </c>
      <c r="X9" s="20"/>
      <c r="Y9" s="122" t="s">
        <v>47</v>
      </c>
      <c r="Z9" s="83"/>
      <c r="AA9" s="7"/>
      <c r="AB9" s="7"/>
    </row>
    <row r="10" spans="1:30" x14ac:dyDescent="0.25">
      <c r="A10" s="24" t="s">
        <v>80</v>
      </c>
      <c r="B10" s="20" t="str">
        <f t="shared" si="0"/>
        <v>S1</v>
      </c>
      <c r="C10" s="6">
        <v>8</v>
      </c>
      <c r="D10" s="6"/>
      <c r="E10" s="10">
        <f t="shared" si="1"/>
        <v>8</v>
      </c>
      <c r="F10" s="6"/>
      <c r="G10" s="12">
        <v>0</v>
      </c>
      <c r="H10" s="6">
        <v>1</v>
      </c>
      <c r="I10" s="12"/>
      <c r="J10" s="12"/>
      <c r="K10" s="12"/>
      <c r="M10" s="7"/>
      <c r="N10" s="7"/>
      <c r="O10" s="7"/>
      <c r="P10" s="24" t="s">
        <v>48</v>
      </c>
      <c r="Q10" s="78" t="s">
        <v>49</v>
      </c>
      <c r="R10" s="24" t="s">
        <v>49</v>
      </c>
      <c r="S10" s="20">
        <v>1</v>
      </c>
      <c r="T10" s="20"/>
      <c r="U10" s="80"/>
      <c r="V10" s="82"/>
      <c r="W10" s="24" t="s">
        <v>46</v>
      </c>
      <c r="X10" s="20"/>
      <c r="Y10" s="122" t="s">
        <v>50</v>
      </c>
      <c r="Z10" s="83"/>
      <c r="AA10" s="7"/>
      <c r="AB10" s="7"/>
    </row>
    <row r="11" spans="1:30" x14ac:dyDescent="0.25">
      <c r="A11" s="24" t="s">
        <v>6</v>
      </c>
      <c r="B11" s="20" t="str">
        <f t="shared" si="0"/>
        <v>S1</v>
      </c>
      <c r="C11" s="12">
        <v>8</v>
      </c>
      <c r="D11" s="12"/>
      <c r="E11" s="10">
        <f t="shared" si="1"/>
        <v>8</v>
      </c>
      <c r="F11" s="6"/>
      <c r="G11" s="12">
        <v>0</v>
      </c>
      <c r="H11" s="6"/>
      <c r="I11" s="12"/>
      <c r="J11" s="12"/>
      <c r="K11" s="12"/>
      <c r="M11" s="7"/>
      <c r="N11" s="7"/>
      <c r="O11" s="7"/>
      <c r="P11" s="24" t="s">
        <v>51</v>
      </c>
      <c r="Q11" s="78" t="s">
        <v>45</v>
      </c>
      <c r="R11" s="24" t="s">
        <v>45</v>
      </c>
      <c r="S11" s="84" t="s">
        <v>52</v>
      </c>
      <c r="T11" s="20"/>
      <c r="U11" s="80"/>
      <c r="V11" s="82"/>
      <c r="W11" s="85" t="s">
        <v>325</v>
      </c>
      <c r="X11" s="20"/>
      <c r="Y11" s="80"/>
      <c r="Z11" s="83"/>
      <c r="AA11" s="7"/>
      <c r="AB11" s="7"/>
    </row>
    <row r="12" spans="1:30" x14ac:dyDescent="0.25">
      <c r="A12" s="24" t="s">
        <v>53</v>
      </c>
      <c r="B12" s="20" t="str">
        <f t="shared" si="0"/>
        <v>S1</v>
      </c>
      <c r="C12" s="6">
        <v>9</v>
      </c>
      <c r="D12" s="6">
        <v>8.8000000000000007</v>
      </c>
      <c r="E12" s="10">
        <f t="shared" si="1"/>
        <v>17.8</v>
      </c>
      <c r="F12" s="6">
        <v>1</v>
      </c>
      <c r="G12" s="12">
        <v>0</v>
      </c>
      <c r="H12" s="6">
        <v>1</v>
      </c>
      <c r="I12" s="12">
        <v>1</v>
      </c>
      <c r="J12" s="12">
        <v>1</v>
      </c>
      <c r="K12" s="12">
        <v>1</v>
      </c>
      <c r="M12" s="7"/>
      <c r="N12" s="7"/>
      <c r="O12" s="7"/>
      <c r="P12" s="24" t="s">
        <v>198</v>
      </c>
      <c r="Q12" s="78" t="s">
        <v>27</v>
      </c>
      <c r="R12" s="24" t="s">
        <v>27</v>
      </c>
      <c r="S12" s="20">
        <v>1</v>
      </c>
      <c r="T12" s="20"/>
      <c r="U12" s="80"/>
      <c r="V12" s="82"/>
      <c r="W12" s="24" t="s">
        <v>54</v>
      </c>
      <c r="X12" s="121" t="s">
        <v>55</v>
      </c>
      <c r="Y12" s="80"/>
      <c r="Z12" s="83" t="s">
        <v>111</v>
      </c>
      <c r="AA12" s="7"/>
      <c r="AB12" s="7"/>
    </row>
    <row r="13" spans="1:30" x14ac:dyDescent="0.25">
      <c r="A13" s="24" t="s">
        <v>17</v>
      </c>
      <c r="B13" s="20" t="str">
        <f t="shared" si="0"/>
        <v>S1</v>
      </c>
      <c r="C13" s="6">
        <v>8</v>
      </c>
      <c r="D13" s="6">
        <v>11.75</v>
      </c>
      <c r="E13" s="10">
        <f t="shared" si="1"/>
        <v>19.75</v>
      </c>
      <c r="F13" s="6">
        <v>1</v>
      </c>
      <c r="G13" s="12">
        <v>0</v>
      </c>
      <c r="H13" s="6">
        <v>1</v>
      </c>
      <c r="I13" s="12">
        <v>1</v>
      </c>
      <c r="J13" s="12">
        <v>1</v>
      </c>
      <c r="K13" s="12"/>
      <c r="M13" s="7"/>
      <c r="N13" s="7"/>
      <c r="O13" s="7"/>
      <c r="P13" s="24" t="s">
        <v>56</v>
      </c>
      <c r="Q13" s="78" t="s">
        <v>28</v>
      </c>
      <c r="R13" s="24" t="s">
        <v>28</v>
      </c>
      <c r="S13" s="20">
        <v>1</v>
      </c>
      <c r="T13" s="20"/>
      <c r="U13" s="80"/>
      <c r="V13" s="82"/>
      <c r="W13" s="24" t="s">
        <v>46</v>
      </c>
      <c r="X13" s="121" t="s">
        <v>57</v>
      </c>
      <c r="Y13" s="80"/>
      <c r="Z13" s="83" t="s">
        <v>111</v>
      </c>
      <c r="AA13" s="7"/>
      <c r="AB13" s="7"/>
    </row>
    <row r="14" spans="1:30" x14ac:dyDescent="0.25">
      <c r="A14" s="168" t="s">
        <v>16</v>
      </c>
      <c r="B14" s="20" t="str">
        <f t="shared" si="0"/>
        <v>S1</v>
      </c>
      <c r="C14" s="6">
        <v>8</v>
      </c>
      <c r="D14" s="6"/>
      <c r="E14" s="10">
        <f t="shared" si="1"/>
        <v>8</v>
      </c>
      <c r="F14" s="6"/>
      <c r="G14" s="12">
        <v>0</v>
      </c>
      <c r="H14" s="6"/>
      <c r="I14" s="12"/>
      <c r="J14" s="12"/>
      <c r="K14" s="12"/>
      <c r="M14" s="7"/>
      <c r="N14" s="7"/>
      <c r="O14" s="7"/>
      <c r="P14" s="24" t="s">
        <v>94</v>
      </c>
      <c r="Q14" s="78" t="s">
        <v>97</v>
      </c>
      <c r="R14" s="24"/>
      <c r="S14" s="20">
        <v>1</v>
      </c>
      <c r="T14" s="20"/>
      <c r="U14" s="80"/>
      <c r="V14" s="82"/>
      <c r="W14" s="24" t="s">
        <v>18</v>
      </c>
      <c r="X14" s="20"/>
      <c r="Y14" s="80"/>
      <c r="Z14" s="83"/>
    </row>
    <row r="15" spans="1:30" x14ac:dyDescent="0.25">
      <c r="A15" s="168" t="s">
        <v>41</v>
      </c>
      <c r="B15" s="20" t="str">
        <f t="shared" si="0"/>
        <v>S1</v>
      </c>
      <c r="C15" s="6">
        <v>8</v>
      </c>
      <c r="D15" s="6">
        <v>16</v>
      </c>
      <c r="E15" s="10">
        <f t="shared" si="1"/>
        <v>24</v>
      </c>
      <c r="F15" s="6">
        <v>1</v>
      </c>
      <c r="G15" s="12">
        <v>0</v>
      </c>
      <c r="H15" s="6">
        <v>1</v>
      </c>
      <c r="I15" s="12"/>
      <c r="J15" s="12">
        <v>1</v>
      </c>
      <c r="K15" s="12"/>
      <c r="M15" s="7"/>
      <c r="N15" s="7"/>
      <c r="O15" s="7"/>
      <c r="P15" s="24" t="s">
        <v>199</v>
      </c>
      <c r="Q15" s="78" t="s">
        <v>97</v>
      </c>
      <c r="R15" s="24" t="s">
        <v>98</v>
      </c>
      <c r="S15" s="20">
        <v>1</v>
      </c>
      <c r="T15" s="20"/>
      <c r="U15" s="80"/>
      <c r="V15" s="82"/>
      <c r="W15" s="24" t="s">
        <v>18</v>
      </c>
      <c r="X15" s="121" t="s">
        <v>42</v>
      </c>
      <c r="Y15" s="80"/>
      <c r="Z15" s="83" t="s">
        <v>111</v>
      </c>
    </row>
    <row r="16" spans="1:30" x14ac:dyDescent="0.25">
      <c r="A16" s="168" t="s">
        <v>99</v>
      </c>
      <c r="B16" s="20" t="str">
        <f t="shared" si="0"/>
        <v>S1</v>
      </c>
      <c r="C16" s="6">
        <v>7.65</v>
      </c>
      <c r="D16" s="6">
        <v>8.6</v>
      </c>
      <c r="E16" s="10">
        <f t="shared" si="1"/>
        <v>16.25</v>
      </c>
      <c r="F16" s="6">
        <v>1</v>
      </c>
      <c r="G16" s="12">
        <v>0</v>
      </c>
      <c r="H16" s="6">
        <v>1</v>
      </c>
      <c r="I16" s="12"/>
      <c r="J16" s="12">
        <v>1</v>
      </c>
      <c r="K16" s="12"/>
      <c r="M16" s="7"/>
      <c r="N16" s="7"/>
      <c r="O16" s="7"/>
      <c r="P16" s="24" t="s">
        <v>95</v>
      </c>
      <c r="Q16" s="78" t="s">
        <v>102</v>
      </c>
      <c r="R16" s="24"/>
      <c r="S16" s="20"/>
      <c r="T16" s="20"/>
      <c r="U16" s="80"/>
      <c r="V16" s="82"/>
      <c r="W16" s="24" t="s">
        <v>96</v>
      </c>
      <c r="X16" s="121" t="s">
        <v>239</v>
      </c>
      <c r="Y16" s="80"/>
      <c r="Z16" s="83"/>
      <c r="AA16" s="7"/>
      <c r="AB16" s="7"/>
    </row>
    <row r="17" spans="1:28" x14ac:dyDescent="0.25">
      <c r="A17" s="24" t="s">
        <v>58</v>
      </c>
      <c r="B17" s="20" t="str">
        <f t="shared" si="0"/>
        <v>S1</v>
      </c>
      <c r="C17" s="12">
        <v>8</v>
      </c>
      <c r="D17" s="12"/>
      <c r="E17" s="10">
        <f t="shared" si="1"/>
        <v>8</v>
      </c>
      <c r="F17" s="6"/>
      <c r="G17" s="12">
        <v>0</v>
      </c>
      <c r="H17" s="6"/>
      <c r="I17" s="12"/>
      <c r="J17" s="12"/>
      <c r="K17" s="12"/>
      <c r="M17" s="7"/>
      <c r="N17" s="7"/>
      <c r="O17" s="7"/>
      <c r="P17" s="24" t="s">
        <v>200</v>
      </c>
      <c r="Q17" s="78" t="s">
        <v>28</v>
      </c>
      <c r="R17" s="24" t="s">
        <v>28</v>
      </c>
      <c r="S17" s="20">
        <v>1</v>
      </c>
      <c r="T17" s="20"/>
      <c r="U17" s="80"/>
      <c r="V17" s="82"/>
      <c r="W17" s="24" t="s">
        <v>30</v>
      </c>
      <c r="X17" s="20"/>
      <c r="Y17" s="80"/>
      <c r="Z17" s="83"/>
      <c r="AA17" s="7"/>
      <c r="AB17" s="7"/>
    </row>
    <row r="18" spans="1:28" x14ac:dyDescent="0.25">
      <c r="A18" s="24" t="s">
        <v>168</v>
      </c>
      <c r="B18" s="20" t="str">
        <f t="shared" ref="B18" si="2">IF(G18=0,"S1","S2")</f>
        <v>S1</v>
      </c>
      <c r="C18" s="6">
        <v>8</v>
      </c>
      <c r="D18" s="6"/>
      <c r="E18" s="10">
        <f t="shared" ref="E18" si="3">SUM(C18:D18)</f>
        <v>8</v>
      </c>
      <c r="F18" s="6"/>
      <c r="G18" s="12">
        <v>0</v>
      </c>
      <c r="H18" s="12"/>
      <c r="I18" s="12"/>
      <c r="J18" s="12"/>
      <c r="K18" s="12">
        <v>1</v>
      </c>
      <c r="M18" s="7"/>
      <c r="N18" s="7"/>
      <c r="O18" s="7"/>
      <c r="P18" s="24" t="s">
        <v>204</v>
      </c>
      <c r="Q18" s="78" t="s">
        <v>78</v>
      </c>
      <c r="R18" s="24"/>
      <c r="S18" s="20">
        <v>1</v>
      </c>
      <c r="T18" s="20"/>
      <c r="U18" s="80"/>
      <c r="V18" s="82"/>
      <c r="W18" s="24" t="s">
        <v>30</v>
      </c>
      <c r="X18" s="20"/>
      <c r="Y18" s="80"/>
      <c r="Z18" s="83"/>
      <c r="AA18" s="7"/>
      <c r="AB18" s="7"/>
    </row>
    <row r="19" spans="1:28" x14ac:dyDescent="0.25">
      <c r="A19" s="24" t="s">
        <v>60</v>
      </c>
      <c r="B19" s="24" t="str">
        <f t="shared" si="0"/>
        <v>S1</v>
      </c>
      <c r="C19" s="12">
        <v>10</v>
      </c>
      <c r="D19" s="12"/>
      <c r="E19" s="20">
        <f t="shared" si="1"/>
        <v>10</v>
      </c>
      <c r="F19" s="5"/>
      <c r="G19" s="12">
        <v>0</v>
      </c>
      <c r="H19" s="12"/>
      <c r="I19" s="12"/>
      <c r="J19" s="12"/>
      <c r="K19" s="12"/>
      <c r="M19" s="7"/>
      <c r="N19" s="7"/>
      <c r="O19" s="7"/>
      <c r="P19" s="24" t="s">
        <v>201</v>
      </c>
      <c r="Q19" s="78" t="s">
        <v>28</v>
      </c>
      <c r="R19" s="24" t="s">
        <v>28</v>
      </c>
      <c r="S19" s="20">
        <v>1</v>
      </c>
      <c r="T19" s="20"/>
      <c r="U19" s="80"/>
      <c r="V19" s="82" t="s">
        <v>61</v>
      </c>
      <c r="W19" s="24" t="s">
        <v>62</v>
      </c>
      <c r="X19" s="20"/>
      <c r="Y19" s="80"/>
      <c r="Z19" s="83"/>
      <c r="AA19" s="7"/>
      <c r="AB19" s="7"/>
    </row>
    <row r="20" spans="1:28" s="13" customFormat="1" x14ac:dyDescent="0.25">
      <c r="A20" s="24" t="s">
        <v>63</v>
      </c>
      <c r="B20" s="20" t="str">
        <f t="shared" si="0"/>
        <v>S2</v>
      </c>
      <c r="C20" s="6">
        <v>8</v>
      </c>
      <c r="D20" s="6"/>
      <c r="E20" s="10">
        <f t="shared" si="1"/>
        <v>8</v>
      </c>
      <c r="F20" s="6"/>
      <c r="G20" s="12">
        <v>1</v>
      </c>
      <c r="H20" s="12"/>
      <c r="I20" s="12"/>
      <c r="J20" s="12"/>
      <c r="K20" s="12"/>
      <c r="M20" s="7"/>
      <c r="N20" s="7"/>
      <c r="O20" s="7"/>
      <c r="P20" s="24" t="s">
        <v>64</v>
      </c>
      <c r="Q20" s="78"/>
      <c r="R20" s="24"/>
      <c r="S20" s="20"/>
      <c r="T20" s="20"/>
      <c r="U20" s="80"/>
      <c r="V20" s="82"/>
      <c r="W20" s="24"/>
      <c r="X20" s="20"/>
      <c r="Y20" s="80"/>
      <c r="Z20" s="83"/>
      <c r="AA20" s="7"/>
      <c r="AB20" s="7"/>
    </row>
    <row r="21" spans="1:28" x14ac:dyDescent="0.25">
      <c r="A21" s="24" t="s">
        <v>84</v>
      </c>
      <c r="B21" s="20" t="str">
        <f t="shared" si="0"/>
        <v>S2</v>
      </c>
      <c r="C21" s="6">
        <v>0</v>
      </c>
      <c r="D21" s="6"/>
      <c r="E21" s="10">
        <f t="shared" si="1"/>
        <v>0</v>
      </c>
      <c r="F21" s="6"/>
      <c r="G21" s="12">
        <v>1</v>
      </c>
      <c r="H21" s="12"/>
      <c r="I21" s="12"/>
      <c r="J21" s="12"/>
      <c r="K21" s="12"/>
      <c r="M21" s="7"/>
      <c r="N21" s="7"/>
      <c r="O21" s="7"/>
      <c r="P21" s="24" t="s">
        <v>202</v>
      </c>
      <c r="Q21" s="78"/>
      <c r="R21" s="24"/>
      <c r="S21" s="20"/>
      <c r="T21" s="20"/>
      <c r="U21" s="80"/>
      <c r="V21" s="82"/>
      <c r="W21" s="24"/>
      <c r="X21" s="20"/>
      <c r="Y21" s="80"/>
      <c r="Z21" s="83"/>
      <c r="AA21" s="7"/>
      <c r="AB21" s="7"/>
    </row>
    <row r="22" spans="1:28" x14ac:dyDescent="0.25">
      <c r="A22" s="24" t="s">
        <v>5</v>
      </c>
      <c r="B22" s="20" t="str">
        <f t="shared" si="0"/>
        <v>S2</v>
      </c>
      <c r="C22" s="6">
        <v>0</v>
      </c>
      <c r="D22" s="6"/>
      <c r="E22" s="10">
        <f t="shared" si="1"/>
        <v>0</v>
      </c>
      <c r="F22" s="6"/>
      <c r="G22" s="12">
        <v>1</v>
      </c>
      <c r="H22" s="12"/>
      <c r="I22" s="12"/>
      <c r="J22" s="12"/>
      <c r="K22" s="12"/>
      <c r="M22" s="7"/>
      <c r="N22" s="7"/>
      <c r="O22" s="7"/>
      <c r="P22" s="24" t="s">
        <v>203</v>
      </c>
      <c r="Q22" s="78"/>
      <c r="R22" s="24"/>
      <c r="S22" s="20"/>
      <c r="T22" s="20"/>
      <c r="U22" s="80"/>
      <c r="V22" s="82"/>
      <c r="W22" s="24"/>
      <c r="X22" s="20"/>
      <c r="Y22" s="80"/>
      <c r="Z22" s="83"/>
      <c r="AA22" s="7"/>
      <c r="AB22" s="7"/>
    </row>
    <row r="23" spans="1:28" x14ac:dyDescent="0.25">
      <c r="A23" s="24" t="s">
        <v>65</v>
      </c>
      <c r="B23" s="20" t="str">
        <f t="shared" si="0"/>
        <v>S2</v>
      </c>
      <c r="C23" s="6">
        <v>8</v>
      </c>
      <c r="D23" s="6">
        <v>-8</v>
      </c>
      <c r="E23" s="10">
        <f t="shared" si="1"/>
        <v>0</v>
      </c>
      <c r="F23" s="6"/>
      <c r="G23" s="12">
        <v>1</v>
      </c>
      <c r="H23" s="12"/>
      <c r="I23" s="12"/>
      <c r="J23" s="12"/>
      <c r="K23" s="12"/>
      <c r="M23" s="7"/>
      <c r="N23" s="7"/>
      <c r="O23" s="7"/>
      <c r="P23" s="24" t="s">
        <v>66</v>
      </c>
      <c r="Q23" s="78"/>
      <c r="R23" s="24"/>
      <c r="S23" s="20"/>
      <c r="T23" s="20"/>
      <c r="U23" s="80"/>
      <c r="V23" s="82"/>
      <c r="W23" s="24"/>
      <c r="X23" s="20"/>
      <c r="Y23" s="80"/>
      <c r="Z23" s="83"/>
      <c r="AA23" s="7"/>
      <c r="AB23" s="7"/>
    </row>
    <row r="24" spans="1:28" x14ac:dyDescent="0.25">
      <c r="A24" s="24" t="s">
        <v>69</v>
      </c>
      <c r="B24" s="20" t="str">
        <f t="shared" si="0"/>
        <v>S2</v>
      </c>
      <c r="C24" s="6">
        <v>8</v>
      </c>
      <c r="D24" s="6"/>
      <c r="E24" s="10">
        <f t="shared" si="1"/>
        <v>8</v>
      </c>
      <c r="F24" s="6"/>
      <c r="G24" s="12">
        <v>1</v>
      </c>
      <c r="H24" s="12"/>
      <c r="I24" s="12"/>
      <c r="J24" s="12"/>
      <c r="K24" s="12"/>
      <c r="M24" s="7"/>
      <c r="N24" s="7"/>
      <c r="O24" s="7"/>
      <c r="P24" s="24" t="s">
        <v>93</v>
      </c>
      <c r="Q24" s="78"/>
      <c r="R24" s="24"/>
      <c r="S24" s="20"/>
      <c r="T24" s="20"/>
      <c r="U24" s="80"/>
      <c r="V24" s="82"/>
      <c r="W24" s="24"/>
      <c r="X24" s="20"/>
      <c r="Y24" s="80"/>
      <c r="Z24" s="83"/>
      <c r="AA24" s="7"/>
      <c r="AB24" s="7"/>
    </row>
    <row r="25" spans="1:28" x14ac:dyDescent="0.25">
      <c r="A25" s="24" t="s">
        <v>67</v>
      </c>
      <c r="B25" s="20" t="str">
        <f t="shared" si="0"/>
        <v>S2</v>
      </c>
      <c r="C25" s="6">
        <v>8</v>
      </c>
      <c r="D25" s="6"/>
      <c r="E25" s="10">
        <f t="shared" si="1"/>
        <v>8</v>
      </c>
      <c r="F25" s="6"/>
      <c r="G25" s="12">
        <v>1</v>
      </c>
      <c r="H25" s="12"/>
      <c r="I25" s="12"/>
      <c r="J25" s="12"/>
      <c r="K25" s="12"/>
      <c r="M25" s="7"/>
      <c r="N25" s="7"/>
      <c r="O25" s="7"/>
      <c r="P25" s="24" t="s">
        <v>68</v>
      </c>
      <c r="Q25" s="78"/>
      <c r="R25" s="24"/>
      <c r="S25" s="20"/>
      <c r="T25" s="20"/>
      <c r="U25" s="80"/>
      <c r="V25" s="82"/>
      <c r="W25" s="24"/>
      <c r="X25" s="20"/>
      <c r="Y25" s="80"/>
      <c r="Z25" s="83"/>
      <c r="AA25" s="7"/>
      <c r="AB25" s="7"/>
    </row>
    <row r="26" spans="1:28" s="27" customFormat="1" x14ac:dyDescent="0.25">
      <c r="A26" s="24" t="s">
        <v>83</v>
      </c>
      <c r="B26" s="20" t="s">
        <v>170</v>
      </c>
      <c r="C26" s="6">
        <v>0</v>
      </c>
      <c r="D26" s="6"/>
      <c r="E26" s="10">
        <f t="shared" si="1"/>
        <v>0</v>
      </c>
      <c r="F26" s="6"/>
      <c r="G26" s="12">
        <v>1</v>
      </c>
      <c r="H26" s="12"/>
      <c r="I26" s="12"/>
      <c r="J26" s="12"/>
      <c r="K26" s="12"/>
      <c r="M26" s="7"/>
      <c r="N26" s="7"/>
      <c r="O26" s="7"/>
      <c r="P26" s="24" t="s">
        <v>83</v>
      </c>
      <c r="Q26" s="78"/>
      <c r="R26" s="24"/>
      <c r="S26" s="20"/>
      <c r="T26" s="20"/>
      <c r="U26" s="80"/>
      <c r="V26" s="82"/>
      <c r="W26" s="24"/>
      <c r="X26" s="20"/>
      <c r="Y26" s="80"/>
      <c r="Z26" s="83"/>
      <c r="AA26" s="7"/>
      <c r="AB26" s="7"/>
    </row>
    <row r="27" spans="1:28" s="27" customFormat="1" x14ac:dyDescent="0.25">
      <c r="A27" s="24" t="s">
        <v>196</v>
      </c>
      <c r="B27" s="20" t="str">
        <f t="shared" ref="B27" si="4">IF(G27=0,"S1","S2")</f>
        <v>S2</v>
      </c>
      <c r="C27" s="6">
        <v>0</v>
      </c>
      <c r="D27" s="6"/>
      <c r="E27" s="10">
        <f t="shared" ref="E27" si="5">SUM(C27:D27)</f>
        <v>0</v>
      </c>
      <c r="F27" s="6"/>
      <c r="G27" s="12">
        <v>1</v>
      </c>
      <c r="H27" s="12"/>
      <c r="I27" s="12"/>
      <c r="J27" s="12"/>
      <c r="K27" s="12"/>
      <c r="M27" s="7"/>
      <c r="N27" s="7"/>
      <c r="O27" s="7"/>
      <c r="P27" s="24" t="s">
        <v>206</v>
      </c>
      <c r="Q27" s="78" t="s">
        <v>28</v>
      </c>
      <c r="R27" s="24"/>
      <c r="S27" s="20"/>
      <c r="T27" s="20"/>
      <c r="U27" s="80"/>
      <c r="V27" s="82"/>
      <c r="W27" s="24"/>
      <c r="X27" s="20"/>
      <c r="Y27" s="80"/>
      <c r="Z27" s="83"/>
      <c r="AA27" s="7"/>
      <c r="AB27" s="7"/>
    </row>
    <row r="28" spans="1:28" s="27" customFormat="1" x14ac:dyDescent="0.25">
      <c r="A28" s="26" t="s">
        <v>169</v>
      </c>
      <c r="B28" s="21" t="str">
        <f t="shared" si="0"/>
        <v>S1</v>
      </c>
      <c r="C28" s="158">
        <v>8</v>
      </c>
      <c r="D28" s="158"/>
      <c r="E28" s="25">
        <f t="shared" si="1"/>
        <v>8</v>
      </c>
      <c r="F28" s="158"/>
      <c r="G28" s="11">
        <v>0</v>
      </c>
      <c r="H28" s="11"/>
      <c r="I28" s="11"/>
      <c r="J28" s="11"/>
      <c r="K28" s="11"/>
      <c r="M28" s="7"/>
      <c r="N28" s="7"/>
      <c r="O28" s="7"/>
      <c r="P28" s="26" t="s">
        <v>205</v>
      </c>
      <c r="Q28" s="86" t="s">
        <v>28</v>
      </c>
      <c r="R28" s="26"/>
      <c r="S28" s="21"/>
      <c r="T28" s="21"/>
      <c r="U28" s="87"/>
      <c r="V28" s="88"/>
      <c r="W28" s="26" t="s">
        <v>30</v>
      </c>
      <c r="X28" s="21"/>
      <c r="Y28" s="87"/>
      <c r="Z28" s="91"/>
      <c r="AA28" s="7"/>
      <c r="AB28" s="7"/>
    </row>
    <row r="29" spans="1:28" s="27" customFormat="1" x14ac:dyDescent="0.25">
      <c r="A29" s="179" t="s">
        <v>365</v>
      </c>
      <c r="B29" s="20" t="str">
        <f t="shared" si="0"/>
        <v>S1</v>
      </c>
      <c r="C29" s="6">
        <v>8</v>
      </c>
      <c r="D29" s="5">
        <v>4</v>
      </c>
      <c r="E29" s="24">
        <f t="shared" si="1"/>
        <v>12</v>
      </c>
      <c r="F29" s="5">
        <v>0</v>
      </c>
      <c r="G29" s="6">
        <v>0</v>
      </c>
      <c r="H29" s="6"/>
      <c r="I29" s="6"/>
      <c r="J29" s="6">
        <v>1</v>
      </c>
      <c r="K29" s="6"/>
      <c r="M29" s="7"/>
      <c r="N29" s="7"/>
      <c r="O29" s="7"/>
      <c r="P29" s="24" t="s">
        <v>367</v>
      </c>
      <c r="Q29" s="78" t="s">
        <v>28</v>
      </c>
      <c r="R29" s="24"/>
      <c r="S29" s="20"/>
      <c r="T29" s="20"/>
      <c r="U29" s="80"/>
      <c r="V29" s="82">
        <v>1</v>
      </c>
      <c r="W29" s="24" t="s">
        <v>343</v>
      </c>
      <c r="X29" s="20" t="s">
        <v>345</v>
      </c>
      <c r="Y29" s="80"/>
      <c r="Z29" s="83"/>
      <c r="AA29" s="7"/>
      <c r="AB29" s="7"/>
    </row>
    <row r="30" spans="1:28" x14ac:dyDescent="0.25">
      <c r="A30" s="179" t="s">
        <v>364</v>
      </c>
      <c r="B30" s="20" t="str">
        <f t="shared" si="0"/>
        <v>S1</v>
      </c>
      <c r="C30" s="6">
        <v>8</v>
      </c>
      <c r="D30" s="5">
        <v>11.75</v>
      </c>
      <c r="E30" s="24">
        <f t="shared" si="1"/>
        <v>19.75</v>
      </c>
      <c r="F30" s="5">
        <v>1</v>
      </c>
      <c r="G30" s="5">
        <v>0</v>
      </c>
      <c r="H30" s="5"/>
      <c r="I30" s="5"/>
      <c r="J30" s="5">
        <v>1</v>
      </c>
      <c r="K30" s="5"/>
      <c r="M30" s="7"/>
      <c r="N30" s="7"/>
      <c r="O30" s="7"/>
      <c r="P30" s="24" t="s">
        <v>366</v>
      </c>
      <c r="Q30" s="78" t="s">
        <v>45</v>
      </c>
      <c r="R30" s="24"/>
      <c r="S30" s="20"/>
      <c r="T30" s="20"/>
      <c r="U30" s="80"/>
      <c r="V30" s="82">
        <v>1</v>
      </c>
      <c r="W30" s="24" t="s">
        <v>346</v>
      </c>
      <c r="X30" s="20" t="s">
        <v>347</v>
      </c>
      <c r="Y30" s="80"/>
      <c r="Z30" s="83"/>
    </row>
    <row r="31" spans="1:28" x14ac:dyDescent="0.25">
      <c r="A31" s="179" t="s">
        <v>370</v>
      </c>
      <c r="B31" s="20" t="str">
        <f t="shared" si="0"/>
        <v>S1</v>
      </c>
      <c r="C31" s="6"/>
      <c r="D31" s="5">
        <v>12</v>
      </c>
      <c r="E31" s="24">
        <f t="shared" si="1"/>
        <v>12</v>
      </c>
      <c r="F31" s="5">
        <v>1</v>
      </c>
      <c r="G31" s="5">
        <v>0</v>
      </c>
      <c r="H31" s="5">
        <v>1</v>
      </c>
      <c r="I31" s="5"/>
      <c r="J31" s="5">
        <v>1</v>
      </c>
      <c r="K31" s="5"/>
      <c r="M31" s="7"/>
      <c r="N31" s="7"/>
      <c r="O31" s="7"/>
      <c r="P31" s="24" t="s">
        <v>368</v>
      </c>
      <c r="Q31" s="78" t="s">
        <v>351</v>
      </c>
      <c r="R31" s="24"/>
      <c r="S31" s="20"/>
      <c r="T31" s="20"/>
      <c r="U31" s="80"/>
      <c r="V31" s="82">
        <v>1</v>
      </c>
      <c r="W31" s="24"/>
      <c r="X31" s="20" t="s">
        <v>349</v>
      </c>
      <c r="Y31" s="80"/>
      <c r="Z31" s="83"/>
    </row>
    <row r="32" spans="1:28" x14ac:dyDescent="0.25">
      <c r="A32" s="179" t="s">
        <v>371</v>
      </c>
      <c r="B32" s="20" t="str">
        <f t="shared" si="0"/>
        <v>S1</v>
      </c>
      <c r="C32" s="6"/>
      <c r="D32" s="5">
        <v>12</v>
      </c>
      <c r="E32" s="24">
        <f t="shared" si="1"/>
        <v>12</v>
      </c>
      <c r="F32" s="5">
        <v>0</v>
      </c>
      <c r="G32" s="5">
        <v>0</v>
      </c>
      <c r="H32" s="5"/>
      <c r="I32" s="5"/>
      <c r="J32" s="5">
        <v>1</v>
      </c>
      <c r="K32" s="5"/>
      <c r="M32" s="7"/>
      <c r="N32" s="7"/>
      <c r="O32" s="7"/>
      <c r="P32" s="24" t="s">
        <v>369</v>
      </c>
      <c r="Q32" s="78" t="s">
        <v>29</v>
      </c>
      <c r="R32" s="24"/>
      <c r="S32" s="20"/>
      <c r="T32" s="20"/>
      <c r="U32" s="80"/>
      <c r="V32" s="82">
        <v>1</v>
      </c>
      <c r="W32" s="24"/>
      <c r="X32" s="20" t="s">
        <v>350</v>
      </c>
      <c r="Y32" s="80"/>
      <c r="Z32" s="83"/>
    </row>
    <row r="33" spans="1:26" x14ac:dyDescent="0.25">
      <c r="A33" s="5"/>
      <c r="B33" s="20" t="str">
        <f t="shared" si="0"/>
        <v>S1</v>
      </c>
      <c r="C33" s="6"/>
      <c r="D33" s="5"/>
      <c r="E33" s="24">
        <f t="shared" si="1"/>
        <v>0</v>
      </c>
      <c r="F33" s="5"/>
      <c r="G33" s="5"/>
      <c r="H33" s="5"/>
      <c r="I33" s="5"/>
      <c r="J33" s="5"/>
      <c r="K33" s="5"/>
      <c r="M33" s="7"/>
      <c r="N33" s="7"/>
      <c r="O33" s="7"/>
      <c r="P33" s="24"/>
      <c r="Q33" s="78"/>
      <c r="R33" s="24"/>
      <c r="S33" s="20"/>
      <c r="T33" s="20"/>
      <c r="U33" s="80"/>
      <c r="V33" s="82"/>
      <c r="W33" s="24"/>
      <c r="X33" s="10"/>
      <c r="Y33" s="80"/>
      <c r="Z33" s="83"/>
    </row>
    <row r="34" spans="1:26" x14ac:dyDescent="0.25">
      <c r="A34" s="5"/>
      <c r="B34" s="20" t="str">
        <f t="shared" si="0"/>
        <v>S1</v>
      </c>
      <c r="C34" s="6"/>
      <c r="D34" s="5"/>
      <c r="E34" s="24">
        <f t="shared" si="1"/>
        <v>0</v>
      </c>
      <c r="F34" s="5"/>
      <c r="G34" s="5"/>
      <c r="H34" s="5"/>
      <c r="I34" s="5"/>
      <c r="J34" s="5"/>
      <c r="K34" s="5"/>
      <c r="M34" s="7"/>
      <c r="N34" s="7"/>
      <c r="O34" s="7"/>
      <c r="P34" s="24"/>
      <c r="Q34" s="78"/>
      <c r="R34" s="24"/>
      <c r="S34" s="20"/>
      <c r="T34" s="20"/>
      <c r="U34" s="80"/>
      <c r="V34" s="82"/>
      <c r="W34" s="24"/>
      <c r="X34" s="10"/>
      <c r="Y34" s="80"/>
      <c r="Z34" s="83"/>
    </row>
    <row r="35" spans="1:26" x14ac:dyDescent="0.25">
      <c r="A35" s="5"/>
      <c r="B35" s="20" t="str">
        <f t="shared" si="0"/>
        <v>S1</v>
      </c>
      <c r="C35" s="6"/>
      <c r="D35" s="5"/>
      <c r="E35" s="24">
        <f t="shared" si="1"/>
        <v>0</v>
      </c>
      <c r="F35" s="5"/>
      <c r="G35" s="5"/>
      <c r="H35" s="5"/>
      <c r="I35" s="5"/>
      <c r="J35" s="5"/>
      <c r="K35" s="5"/>
      <c r="M35" s="7"/>
      <c r="N35" s="7"/>
      <c r="O35" s="7"/>
      <c r="P35" s="24"/>
      <c r="Q35" s="78"/>
      <c r="R35" s="24"/>
      <c r="S35" s="20"/>
      <c r="T35" s="20"/>
      <c r="U35" s="80"/>
      <c r="V35" s="82"/>
      <c r="W35" s="24"/>
      <c r="X35" s="10"/>
      <c r="Y35" s="80"/>
      <c r="Z35" s="83"/>
    </row>
    <row r="36" spans="1:26" x14ac:dyDescent="0.25">
      <c r="A36" s="157"/>
      <c r="B36" s="21" t="str">
        <f t="shared" si="0"/>
        <v>S1</v>
      </c>
      <c r="C36" s="158"/>
      <c r="D36" s="157"/>
      <c r="E36" s="26">
        <f t="shared" si="1"/>
        <v>0</v>
      </c>
      <c r="F36" s="157"/>
      <c r="G36" s="157"/>
      <c r="H36" s="157"/>
      <c r="I36" s="157"/>
      <c r="J36" s="157"/>
      <c r="K36" s="157"/>
      <c r="M36" s="7"/>
      <c r="N36" s="7"/>
      <c r="O36" s="7"/>
      <c r="P36" s="26"/>
      <c r="Q36" s="86"/>
      <c r="R36" s="26"/>
      <c r="S36" s="21"/>
      <c r="T36" s="21"/>
      <c r="U36" s="87"/>
      <c r="V36" s="88"/>
      <c r="W36" s="26"/>
      <c r="X36" s="25"/>
      <c r="Y36" s="87"/>
      <c r="Z36" s="91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A1:NJ63"/>
  <sheetViews>
    <sheetView zoomScale="85" zoomScaleNormal="85" workbookViewId="0">
      <selection activeCell="AK14" sqref="AK14"/>
    </sheetView>
  </sheetViews>
  <sheetFormatPr baseColWidth="10" defaultColWidth="11.42578125" defaultRowHeight="15" x14ac:dyDescent="0.25"/>
  <cols>
    <col min="1" max="1" width="5.140625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bestFit="1" customWidth="1"/>
    <col min="10" max="10" width="3.42578125" bestFit="1" customWidth="1"/>
    <col min="11" max="11" width="4.42578125" bestFit="1" customWidth="1"/>
    <col min="12" max="12" width="3.7109375" bestFit="1" customWidth="1"/>
    <col min="13" max="13" width="4.5703125" bestFit="1" customWidth="1"/>
    <col min="14" max="14" width="3.42578125" bestFit="1" customWidth="1"/>
    <col min="15" max="17" width="4.5703125" bestFit="1" customWidth="1"/>
    <col min="18" max="18" width="3.85546875" bestFit="1" customWidth="1"/>
    <col min="19" max="19" width="3.5703125" bestFit="1" customWidth="1"/>
    <col min="20" max="20" width="3.42578125" bestFit="1" customWidth="1"/>
    <col min="21" max="21" width="3.85546875" bestFit="1" customWidth="1"/>
    <col min="22" max="22" width="4.85546875" customWidth="1"/>
    <col min="23" max="23" width="3.42578125" bestFit="1" customWidth="1"/>
    <col min="24" max="24" width="5" bestFit="1" customWidth="1"/>
    <col min="25" max="25" width="4.28515625" bestFit="1" customWidth="1"/>
    <col min="26" max="26" width="3.5703125" bestFit="1" customWidth="1"/>
    <col min="27" max="28" width="5.140625" bestFit="1" customWidth="1"/>
    <col min="29" max="39" width="3.85546875" bestFit="1" customWidth="1"/>
    <col min="40" max="41" width="3.42578125" bestFit="1" customWidth="1"/>
    <col min="42" max="42" width="5" bestFit="1" customWidth="1"/>
    <col min="43" max="43" width="3.7109375" bestFit="1" customWidth="1"/>
    <col min="44" max="45" width="5" bestFit="1" customWidth="1"/>
    <col min="46" max="46" width="4.42578125" bestFit="1" customWidth="1"/>
    <col min="47" max="47" width="4.140625" bestFit="1" customWidth="1"/>
    <col min="48" max="49" width="4.85546875" bestFit="1" customWidth="1"/>
    <col min="50" max="50" width="3.42578125" bestFit="1" customWidth="1"/>
    <col min="51" max="51" width="4.42578125" bestFit="1" customWidth="1"/>
    <col min="52" max="52" width="3.7109375" bestFit="1" customWidth="1"/>
    <col min="53" max="53" width="4.5703125" bestFit="1" customWidth="1"/>
    <col min="54" max="54" width="3.42578125" bestFit="1" customWidth="1"/>
    <col min="55" max="57" width="4.5703125" bestFit="1" customWidth="1"/>
    <col min="58" max="58" width="3.85546875" bestFit="1" customWidth="1"/>
    <col min="59" max="59" width="3.5703125" bestFit="1" customWidth="1"/>
    <col min="60" max="60" width="3.42578125" bestFit="1" customWidth="1"/>
    <col min="61" max="61" width="3.85546875" bestFit="1" customWidth="1"/>
    <col min="62" max="62" width="5" bestFit="1" customWidth="1"/>
    <col min="63" max="63" width="3.42578125" bestFit="1" customWidth="1"/>
    <col min="64" max="64" width="5" bestFit="1" customWidth="1"/>
    <col min="65" max="65" width="4.28515625" bestFit="1" customWidth="1"/>
    <col min="66" max="66" width="3.5703125" bestFit="1" customWidth="1"/>
    <col min="67" max="107" width="3.42578125" bestFit="1" customWidth="1"/>
    <col min="108" max="372" width="4.42578125" bestFit="1" customWidth="1"/>
    <col min="373" max="374" width="4.42578125" customWidth="1"/>
  </cols>
  <sheetData>
    <row r="1" spans="1:374" x14ac:dyDescent="0.25">
      <c r="A1" s="19" t="s">
        <v>79</v>
      </c>
      <c r="B1" s="25">
        <v>-6</v>
      </c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5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/>
      <c r="J2" s="28">
        <v>13</v>
      </c>
      <c r="K2" s="28">
        <v>12</v>
      </c>
      <c r="L2" s="28">
        <v>12</v>
      </c>
      <c r="M2" s="28">
        <v>13</v>
      </c>
      <c r="N2" s="28">
        <v>13</v>
      </c>
      <c r="O2" s="28"/>
      <c r="P2" s="28"/>
      <c r="Q2" s="28">
        <v>12</v>
      </c>
      <c r="R2" s="28">
        <v>12</v>
      </c>
      <c r="S2" s="28">
        <v>12</v>
      </c>
      <c r="T2" s="28">
        <v>12</v>
      </c>
      <c r="U2" s="28">
        <v>12</v>
      </c>
      <c r="V2" s="28"/>
      <c r="W2" s="28"/>
      <c r="X2" s="28">
        <v>12</v>
      </c>
      <c r="Y2" s="28">
        <v>12</v>
      </c>
      <c r="Z2" s="28">
        <v>12</v>
      </c>
      <c r="AA2" s="28">
        <v>12</v>
      </c>
      <c r="AB2" s="28">
        <v>12</v>
      </c>
      <c r="AC2" s="28"/>
      <c r="AD2" s="28"/>
      <c r="AE2" s="28">
        <v>12</v>
      </c>
      <c r="AF2" s="28">
        <v>12</v>
      </c>
      <c r="AG2" s="28">
        <v>12</v>
      </c>
      <c r="AH2" s="28">
        <v>12</v>
      </c>
      <c r="AI2" s="28">
        <v>12</v>
      </c>
      <c r="AJ2" s="28"/>
      <c r="AK2" s="28"/>
      <c r="AL2" s="28">
        <v>12</v>
      </c>
      <c r="AM2" s="28">
        <v>13</v>
      </c>
      <c r="AN2" s="28">
        <v>13</v>
      </c>
      <c r="AO2" s="28">
        <v>12</v>
      </c>
      <c r="AP2" s="28">
        <v>12</v>
      </c>
      <c r="AQ2" s="28"/>
      <c r="AR2" s="28"/>
      <c r="AS2" s="28">
        <v>12</v>
      </c>
      <c r="AT2" s="28">
        <v>12</v>
      </c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>
        <v>1</v>
      </c>
      <c r="J3" s="28"/>
      <c r="K3" s="28"/>
      <c r="L3" s="28"/>
      <c r="M3" s="28"/>
      <c r="N3" s="28"/>
      <c r="O3" s="28">
        <v>1</v>
      </c>
      <c r="P3" s="28"/>
      <c r="Q3" s="28"/>
      <c r="R3" s="28"/>
      <c r="S3" s="28"/>
      <c r="T3" s="28"/>
      <c r="U3" s="28"/>
      <c r="V3" s="28">
        <v>2</v>
      </c>
      <c r="W3" s="28"/>
      <c r="X3" s="28"/>
      <c r="Y3" s="28"/>
      <c r="Z3" s="28"/>
      <c r="AA3" s="28"/>
      <c r="AB3" s="28"/>
      <c r="AC3" s="28">
        <v>1</v>
      </c>
      <c r="AD3" s="28"/>
      <c r="AE3" s="28"/>
      <c r="AF3" s="28"/>
      <c r="AG3" s="28"/>
      <c r="AH3" s="28"/>
      <c r="AI3" s="28"/>
      <c r="AJ3" s="28">
        <v>2</v>
      </c>
      <c r="AK3" s="28"/>
      <c r="AL3" s="39"/>
      <c r="AM3" s="28"/>
      <c r="AN3" s="28"/>
      <c r="AO3" s="28"/>
      <c r="AP3" s="28"/>
      <c r="AQ3" s="28">
        <v>1</v>
      </c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>
        <v>1</v>
      </c>
      <c r="Q4" s="28"/>
      <c r="R4" s="28"/>
      <c r="S4" s="28"/>
      <c r="T4" s="28"/>
      <c r="U4" s="28"/>
      <c r="V4" s="28"/>
      <c r="W4" s="28">
        <v>1</v>
      </c>
      <c r="X4" s="28"/>
      <c r="Y4" s="28"/>
      <c r="Z4" s="28"/>
      <c r="AA4" s="28"/>
      <c r="AB4" s="28"/>
      <c r="AC4" s="28"/>
      <c r="AD4" s="28">
        <v>1</v>
      </c>
      <c r="AE4" s="28"/>
      <c r="AF4" s="28"/>
      <c r="AG4" s="28"/>
      <c r="AH4" s="28"/>
      <c r="AI4" s="28"/>
      <c r="AJ4" s="28"/>
      <c r="AK4" s="28">
        <v>1</v>
      </c>
      <c r="AL4" s="39"/>
      <c r="AM4" s="28"/>
      <c r="AN4" s="28"/>
      <c r="AO4" s="28"/>
      <c r="AP4" s="28"/>
      <c r="AQ4" s="28"/>
      <c r="AR4" s="28">
        <v>1</v>
      </c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>
        <v>1</v>
      </c>
      <c r="J5" s="28">
        <v>2</v>
      </c>
      <c r="K5" s="28">
        <v>2</v>
      </c>
      <c r="L5" s="28">
        <v>2</v>
      </c>
      <c r="M5" s="28">
        <v>2</v>
      </c>
      <c r="N5" s="28">
        <v>2</v>
      </c>
      <c r="O5" s="28">
        <v>1</v>
      </c>
      <c r="P5" s="28">
        <v>1</v>
      </c>
      <c r="Q5" s="28">
        <v>2</v>
      </c>
      <c r="R5" s="28">
        <v>2</v>
      </c>
      <c r="S5" s="28">
        <v>2</v>
      </c>
      <c r="T5" s="28">
        <v>2</v>
      </c>
      <c r="U5" s="28">
        <v>2</v>
      </c>
      <c r="V5" s="28">
        <v>1</v>
      </c>
      <c r="W5" s="28">
        <v>1</v>
      </c>
      <c r="X5" s="28">
        <v>2</v>
      </c>
      <c r="Y5" s="28">
        <v>2</v>
      </c>
      <c r="Z5" s="28">
        <v>2</v>
      </c>
      <c r="AA5" s="28">
        <v>2</v>
      </c>
      <c r="AB5" s="28">
        <v>2</v>
      </c>
      <c r="AC5" s="28">
        <v>1</v>
      </c>
      <c r="AD5" s="28">
        <v>1</v>
      </c>
      <c r="AE5" s="28">
        <v>2</v>
      </c>
      <c r="AF5" s="28">
        <v>2</v>
      </c>
      <c r="AG5" s="28">
        <v>2</v>
      </c>
      <c r="AH5" s="28">
        <v>2</v>
      </c>
      <c r="AI5" s="28">
        <v>2</v>
      </c>
      <c r="AJ5" s="28">
        <v>1</v>
      </c>
      <c r="AK5" s="28">
        <v>1</v>
      </c>
      <c r="AL5" s="39">
        <v>2</v>
      </c>
      <c r="AM5" s="28">
        <v>2</v>
      </c>
      <c r="AN5" s="28">
        <v>2</v>
      </c>
      <c r="AO5" s="28">
        <v>2</v>
      </c>
      <c r="AP5" s="28">
        <v>2</v>
      </c>
      <c r="AQ5" s="28">
        <v>1</v>
      </c>
      <c r="AR5" s="28">
        <v>1</v>
      </c>
      <c r="AS5" s="28">
        <v>2</v>
      </c>
      <c r="AT5" s="28">
        <v>2</v>
      </c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>
        <v>1</v>
      </c>
      <c r="K6" s="28">
        <v>1</v>
      </c>
      <c r="L6" s="28">
        <v>1</v>
      </c>
      <c r="M6" s="28">
        <v>1</v>
      </c>
      <c r="N6" s="28">
        <v>1</v>
      </c>
      <c r="O6" s="28"/>
      <c r="P6" s="28"/>
      <c r="Q6" s="28">
        <v>1</v>
      </c>
      <c r="R6" s="28">
        <v>1</v>
      </c>
      <c r="S6" s="28">
        <v>1</v>
      </c>
      <c r="T6" s="28">
        <v>1</v>
      </c>
      <c r="U6" s="28">
        <v>1</v>
      </c>
      <c r="V6" s="28"/>
      <c r="W6" s="28"/>
      <c r="X6" s="28">
        <v>1</v>
      </c>
      <c r="Y6" s="28">
        <v>1</v>
      </c>
      <c r="Z6" s="28">
        <v>1</v>
      </c>
      <c r="AA6" s="28">
        <v>1</v>
      </c>
      <c r="AB6" s="28">
        <v>1</v>
      </c>
      <c r="AC6" s="28"/>
      <c r="AD6" s="28"/>
      <c r="AE6" s="28">
        <v>1</v>
      </c>
      <c r="AF6" s="28">
        <v>1</v>
      </c>
      <c r="AG6" s="28">
        <v>1</v>
      </c>
      <c r="AH6" s="28">
        <v>1</v>
      </c>
      <c r="AI6" s="28">
        <v>1</v>
      </c>
      <c r="AJ6" s="28"/>
      <c r="AK6" s="28"/>
      <c r="AL6" s="39">
        <v>1</v>
      </c>
      <c r="AM6" s="28">
        <v>1</v>
      </c>
      <c r="AN6" s="28">
        <v>1</v>
      </c>
      <c r="AO6" s="28">
        <v>1</v>
      </c>
      <c r="AP6" s="28">
        <v>1</v>
      </c>
      <c r="AQ6" s="28"/>
      <c r="AR6" s="28"/>
      <c r="AS6" s="28">
        <v>1</v>
      </c>
      <c r="AT6" s="28">
        <v>1</v>
      </c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>
        <v>1</v>
      </c>
      <c r="J7" s="28"/>
      <c r="K7" s="28"/>
      <c r="L7" s="28"/>
      <c r="M7" s="28"/>
      <c r="N7" s="28"/>
      <c r="O7" s="28">
        <v>1</v>
      </c>
      <c r="P7" s="28"/>
      <c r="Q7" s="28"/>
      <c r="R7" s="28"/>
      <c r="S7" s="28"/>
      <c r="T7" s="28"/>
      <c r="U7" s="28"/>
      <c r="V7" s="28">
        <v>1</v>
      </c>
      <c r="W7" s="28"/>
      <c r="X7" s="28"/>
      <c r="Y7" s="28"/>
      <c r="Z7" s="28"/>
      <c r="AA7" s="28"/>
      <c r="AB7" s="28"/>
      <c r="AC7" s="28">
        <v>1</v>
      </c>
      <c r="AD7" s="28"/>
      <c r="AE7" s="28"/>
      <c r="AF7" s="28"/>
      <c r="AG7" s="28"/>
      <c r="AH7" s="28"/>
      <c r="AI7" s="28"/>
      <c r="AJ7" s="28">
        <v>1</v>
      </c>
      <c r="AK7" s="28"/>
      <c r="AL7" s="39"/>
      <c r="AM7" s="28"/>
      <c r="AN7" s="28"/>
      <c r="AO7" s="28"/>
      <c r="AP7" s="28"/>
      <c r="AQ7" s="28">
        <v>1</v>
      </c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>
        <v>1</v>
      </c>
      <c r="Q8" s="28"/>
      <c r="R8" s="28"/>
      <c r="S8" s="28"/>
      <c r="T8" s="28"/>
      <c r="U8" s="28"/>
      <c r="V8" s="28"/>
      <c r="W8" s="28">
        <v>1</v>
      </c>
      <c r="X8" s="28"/>
      <c r="Y8" s="28"/>
      <c r="Z8" s="28"/>
      <c r="AA8" s="28"/>
      <c r="AB8" s="28"/>
      <c r="AC8" s="28"/>
      <c r="AD8" s="28">
        <v>1</v>
      </c>
      <c r="AE8" s="28"/>
      <c r="AF8" s="28"/>
      <c r="AG8" s="28"/>
      <c r="AH8" s="28"/>
      <c r="AI8" s="28"/>
      <c r="AJ8" s="28"/>
      <c r="AK8" s="28">
        <v>1</v>
      </c>
      <c r="AL8" s="39"/>
      <c r="AM8" s="28"/>
      <c r="AN8" s="28"/>
      <c r="AO8" s="28"/>
      <c r="AP8" s="28"/>
      <c r="AQ8" s="28"/>
      <c r="AR8" s="28">
        <v>1</v>
      </c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>
        <v>1</v>
      </c>
      <c r="K9" s="28">
        <v>1</v>
      </c>
      <c r="L9" s="28">
        <v>1</v>
      </c>
      <c r="M9" s="28">
        <v>1</v>
      </c>
      <c r="N9" s="28"/>
      <c r="O9" s="28"/>
      <c r="P9" s="28"/>
      <c r="Q9" s="28">
        <v>1</v>
      </c>
      <c r="R9" s="28">
        <v>1</v>
      </c>
      <c r="S9" s="28">
        <v>1</v>
      </c>
      <c r="T9" s="28">
        <v>1</v>
      </c>
      <c r="U9" s="28"/>
      <c r="V9" s="28"/>
      <c r="W9" s="28"/>
      <c r="X9" s="28">
        <v>1</v>
      </c>
      <c r="Y9" s="28">
        <v>1</v>
      </c>
      <c r="Z9" s="28">
        <v>1</v>
      </c>
      <c r="AA9" s="28">
        <v>1</v>
      </c>
      <c r="AB9" s="28"/>
      <c r="AC9" s="28"/>
      <c r="AD9" s="28"/>
      <c r="AE9" s="28">
        <v>1</v>
      </c>
      <c r="AF9" s="28">
        <v>1</v>
      </c>
      <c r="AG9" s="28">
        <v>1</v>
      </c>
      <c r="AH9" s="28">
        <v>1</v>
      </c>
      <c r="AI9" s="28"/>
      <c r="AJ9" s="28"/>
      <c r="AK9" s="28"/>
      <c r="AL9" s="39">
        <v>1</v>
      </c>
      <c r="AM9" s="28">
        <v>1</v>
      </c>
      <c r="AN9" s="28">
        <v>1</v>
      </c>
      <c r="AO9" s="28">
        <v>1</v>
      </c>
      <c r="AP9" s="28"/>
      <c r="AQ9" s="28"/>
      <c r="AR9" s="28"/>
      <c r="AS9" s="28">
        <v>1</v>
      </c>
      <c r="AT9" s="28">
        <v>1</v>
      </c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>
        <v>1</v>
      </c>
      <c r="O10" s="28"/>
      <c r="P10" s="28"/>
      <c r="Q10" s="28"/>
      <c r="R10" s="28"/>
      <c r="S10" s="28"/>
      <c r="T10" s="28"/>
      <c r="U10" s="28">
        <v>1</v>
      </c>
      <c r="V10" s="28"/>
      <c r="W10" s="28"/>
      <c r="X10" s="28"/>
      <c r="Y10" s="28"/>
      <c r="Z10" s="28"/>
      <c r="AA10" s="28"/>
      <c r="AB10" s="28">
        <v>1</v>
      </c>
      <c r="AC10" s="28"/>
      <c r="AD10" s="28"/>
      <c r="AE10" s="28"/>
      <c r="AF10" s="28"/>
      <c r="AG10" s="28"/>
      <c r="AH10" s="28"/>
      <c r="AI10" s="28">
        <v>1</v>
      </c>
      <c r="AJ10" s="28"/>
      <c r="AK10" s="28"/>
      <c r="AL10" s="39"/>
      <c r="AM10" s="28"/>
      <c r="AN10" s="28"/>
      <c r="AO10" s="28"/>
      <c r="AP10" s="28">
        <v>1</v>
      </c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>
        <v>1</v>
      </c>
      <c r="K11" s="39">
        <v>1</v>
      </c>
      <c r="L11" s="39">
        <v>1</v>
      </c>
      <c r="M11" s="39">
        <v>1</v>
      </c>
      <c r="N11" s="39">
        <v>1</v>
      </c>
      <c r="O11" s="39"/>
      <c r="P11" s="39"/>
      <c r="Q11" s="39">
        <v>1</v>
      </c>
      <c r="R11" s="39">
        <v>1</v>
      </c>
      <c r="S11" s="39">
        <v>1</v>
      </c>
      <c r="T11" s="39">
        <v>1</v>
      </c>
      <c r="U11" s="39">
        <v>1</v>
      </c>
      <c r="V11" s="39"/>
      <c r="W11" s="39"/>
      <c r="X11" s="39">
        <v>1</v>
      </c>
      <c r="Y11" s="39">
        <v>1</v>
      </c>
      <c r="Z11" s="39">
        <v>1</v>
      </c>
      <c r="AA11" s="39">
        <v>1</v>
      </c>
      <c r="AB11" s="39">
        <v>1</v>
      </c>
      <c r="AC11" s="39"/>
      <c r="AD11" s="39"/>
      <c r="AE11" s="39">
        <v>1</v>
      </c>
      <c r="AF11" s="39">
        <v>1</v>
      </c>
      <c r="AG11" s="39">
        <v>1</v>
      </c>
      <c r="AH11" s="39">
        <v>1</v>
      </c>
      <c r="AI11" s="39">
        <v>1</v>
      </c>
      <c r="AJ11" s="39"/>
      <c r="AK11" s="39"/>
      <c r="AL11" s="39">
        <v>1</v>
      </c>
      <c r="AM11" s="39">
        <v>1</v>
      </c>
      <c r="AN11" s="39">
        <v>1</v>
      </c>
      <c r="AO11" s="39">
        <v>1</v>
      </c>
      <c r="AP11" s="39">
        <v>1</v>
      </c>
      <c r="AQ11" s="39"/>
      <c r="AR11" s="39"/>
      <c r="AS11" s="39">
        <v>1</v>
      </c>
      <c r="AT11" s="39">
        <v>1</v>
      </c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39"/>
      <c r="KU11" s="39"/>
      <c r="KV11" s="39"/>
      <c r="KW11" s="39"/>
      <c r="KX11" s="39"/>
      <c r="KY11" s="39"/>
      <c r="KZ11" s="39"/>
      <c r="LA11" s="39"/>
      <c r="LB11" s="39"/>
      <c r="LC11" s="39"/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39"/>
      <c r="LU11" s="39"/>
      <c r="LV11" s="39"/>
      <c r="LW11" s="39"/>
      <c r="LX11" s="39"/>
      <c r="LY11" s="39"/>
      <c r="LZ11" s="39"/>
      <c r="MA11" s="39"/>
      <c r="MB11" s="39"/>
      <c r="MC11" s="39"/>
      <c r="MD11" s="39"/>
      <c r="ME11" s="39"/>
      <c r="MF11" s="39"/>
      <c r="MG11" s="39"/>
      <c r="MH11" s="39"/>
      <c r="MI11" s="39"/>
      <c r="MJ11" s="39"/>
      <c r="MK11" s="39"/>
      <c r="ML11" s="39"/>
      <c r="MM11" s="39"/>
      <c r="MN11" s="39"/>
      <c r="MO11" s="39"/>
      <c r="MP11" s="39"/>
      <c r="MQ11" s="39"/>
      <c r="MR11" s="39"/>
      <c r="MS11" s="39"/>
      <c r="MT11" s="39"/>
      <c r="MU11" s="39"/>
      <c r="MV11" s="39"/>
      <c r="MW11" s="39"/>
      <c r="MX11" s="39"/>
      <c r="MY11" s="39"/>
      <c r="MZ11" s="39"/>
      <c r="NA11" s="39"/>
      <c r="NB11" s="39"/>
      <c r="NC11" s="39"/>
      <c r="ND11" s="39"/>
      <c r="NE11" s="39"/>
      <c r="NF11" s="39"/>
      <c r="NG11" s="39"/>
      <c r="NH11" s="39"/>
      <c r="NI11" s="39"/>
      <c r="NJ11" s="39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>
        <v>1</v>
      </c>
      <c r="J12" s="28">
        <v>1</v>
      </c>
      <c r="K12" s="28">
        <v>1</v>
      </c>
      <c r="L12" s="28">
        <v>1</v>
      </c>
      <c r="M12" s="28">
        <v>1</v>
      </c>
      <c r="N12" s="28">
        <v>1</v>
      </c>
      <c r="O12" s="28">
        <v>1</v>
      </c>
      <c r="P12" s="28">
        <v>1</v>
      </c>
      <c r="Q12" s="28">
        <v>1</v>
      </c>
      <c r="R12" s="28">
        <v>1</v>
      </c>
      <c r="S12" s="28">
        <v>1</v>
      </c>
      <c r="T12" s="28">
        <v>1</v>
      </c>
      <c r="U12" s="28">
        <v>1</v>
      </c>
      <c r="V12" s="28">
        <v>1</v>
      </c>
      <c r="W12" s="28">
        <v>1</v>
      </c>
      <c r="X12" s="28">
        <v>1</v>
      </c>
      <c r="Y12" s="28">
        <v>1</v>
      </c>
      <c r="Z12" s="28">
        <v>1</v>
      </c>
      <c r="AA12" s="28">
        <v>1</v>
      </c>
      <c r="AB12" s="28">
        <v>1</v>
      </c>
      <c r="AC12" s="28">
        <v>1</v>
      </c>
      <c r="AD12" s="28">
        <v>1</v>
      </c>
      <c r="AE12" s="28">
        <v>1</v>
      </c>
      <c r="AF12" s="28">
        <v>1</v>
      </c>
      <c r="AG12" s="28">
        <v>1</v>
      </c>
      <c r="AH12" s="28">
        <v>1</v>
      </c>
      <c r="AI12" s="28">
        <v>1</v>
      </c>
      <c r="AJ12" s="28">
        <v>1</v>
      </c>
      <c r="AK12" s="28">
        <v>1</v>
      </c>
      <c r="AL12" s="39">
        <v>1</v>
      </c>
      <c r="AM12" s="28">
        <v>1</v>
      </c>
      <c r="AN12" s="28">
        <v>1</v>
      </c>
      <c r="AO12" s="28">
        <v>1</v>
      </c>
      <c r="AP12" s="28">
        <v>1</v>
      </c>
      <c r="AQ12" s="28">
        <v>1</v>
      </c>
      <c r="AR12" s="28">
        <v>1</v>
      </c>
      <c r="AS12" s="28">
        <v>1</v>
      </c>
      <c r="AT12" s="28">
        <v>1</v>
      </c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39"/>
      <c r="J13" s="39">
        <v>1</v>
      </c>
      <c r="K13" s="39">
        <v>1</v>
      </c>
      <c r="L13" s="39">
        <v>1</v>
      </c>
      <c r="M13" s="39">
        <v>1</v>
      </c>
      <c r="N13" s="39">
        <v>1</v>
      </c>
      <c r="O13" s="39"/>
      <c r="P13" s="39"/>
      <c r="Q13" s="39">
        <v>1</v>
      </c>
      <c r="R13" s="39">
        <v>1</v>
      </c>
      <c r="S13" s="39">
        <v>1</v>
      </c>
      <c r="T13" s="39">
        <v>1</v>
      </c>
      <c r="U13" s="39">
        <v>1</v>
      </c>
      <c r="V13" s="39"/>
      <c r="W13" s="39"/>
      <c r="X13" s="39">
        <v>1</v>
      </c>
      <c r="Y13" s="39">
        <v>1</v>
      </c>
      <c r="Z13" s="39">
        <v>1</v>
      </c>
      <c r="AA13" s="39">
        <v>1</v>
      </c>
      <c r="AB13" s="39">
        <v>1</v>
      </c>
      <c r="AC13" s="39"/>
      <c r="AD13" s="39"/>
      <c r="AE13" s="39">
        <v>1</v>
      </c>
      <c r="AF13" s="39">
        <v>1</v>
      </c>
      <c r="AG13" s="39">
        <v>1</v>
      </c>
      <c r="AH13" s="39">
        <v>1</v>
      </c>
      <c r="AI13" s="39">
        <v>1</v>
      </c>
      <c r="AJ13" s="39"/>
      <c r="AK13" s="39"/>
      <c r="AL13" s="39">
        <v>1</v>
      </c>
      <c r="AM13" s="39">
        <v>1</v>
      </c>
      <c r="AN13" s="39">
        <v>1</v>
      </c>
      <c r="AO13" s="39">
        <v>1</v>
      </c>
      <c r="AP13" s="39">
        <v>1</v>
      </c>
      <c r="AQ13" s="39"/>
      <c r="AR13" s="39"/>
      <c r="AS13" s="39">
        <v>1</v>
      </c>
      <c r="AT13" s="39">
        <v>1</v>
      </c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39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39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39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39"/>
      <c r="J17" s="39">
        <v>1</v>
      </c>
      <c r="K17" s="39">
        <v>1</v>
      </c>
      <c r="L17" s="39">
        <v>1</v>
      </c>
      <c r="M17" s="39">
        <v>1</v>
      </c>
      <c r="N17" s="39">
        <v>1</v>
      </c>
      <c r="O17" s="39"/>
      <c r="P17" s="39"/>
      <c r="Q17" s="39">
        <v>1</v>
      </c>
      <c r="R17" s="39">
        <v>1</v>
      </c>
      <c r="S17" s="39">
        <v>1</v>
      </c>
      <c r="T17" s="39">
        <v>1</v>
      </c>
      <c r="U17" s="39">
        <v>1</v>
      </c>
      <c r="V17" s="39"/>
      <c r="W17" s="39"/>
      <c r="X17" s="39">
        <v>1</v>
      </c>
      <c r="Y17" s="39">
        <v>1</v>
      </c>
      <c r="Z17" s="39">
        <v>1</v>
      </c>
      <c r="AA17" s="39">
        <v>1</v>
      </c>
      <c r="AB17" s="39">
        <v>1</v>
      </c>
      <c r="AC17" s="39"/>
      <c r="AD17" s="39"/>
      <c r="AE17" s="39">
        <v>1</v>
      </c>
      <c r="AF17" s="39">
        <v>1</v>
      </c>
      <c r="AG17" s="39">
        <v>1</v>
      </c>
      <c r="AH17" s="39">
        <v>1</v>
      </c>
      <c r="AI17" s="39">
        <v>1</v>
      </c>
      <c r="AJ17" s="39"/>
      <c r="AK17" s="39"/>
      <c r="AL17" s="39">
        <v>1</v>
      </c>
      <c r="AM17" s="39">
        <v>1</v>
      </c>
      <c r="AN17" s="39">
        <v>1</v>
      </c>
      <c r="AO17" s="39">
        <v>1</v>
      </c>
      <c r="AP17" s="39">
        <v>1</v>
      </c>
      <c r="AQ17" s="39"/>
      <c r="AR17" s="39"/>
      <c r="AS17" s="39">
        <v>1</v>
      </c>
      <c r="AT17" s="39">
        <v>1</v>
      </c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39"/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39"/>
      <c r="KU17" s="39"/>
      <c r="KV17" s="39"/>
      <c r="KW17" s="39"/>
      <c r="KX17" s="39"/>
      <c r="KY17" s="39"/>
      <c r="KZ17" s="39"/>
      <c r="LA17" s="39"/>
      <c r="LB17" s="39"/>
      <c r="LC17" s="39"/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39"/>
      <c r="LU17" s="39"/>
      <c r="LV17" s="39"/>
      <c r="LW17" s="39"/>
      <c r="LX17" s="39"/>
      <c r="LY17" s="39"/>
      <c r="LZ17" s="39"/>
      <c r="MA17" s="39"/>
      <c r="MB17" s="39"/>
      <c r="MC17" s="39"/>
      <c r="MD17" s="39"/>
      <c r="ME17" s="39"/>
      <c r="MF17" s="39"/>
      <c r="MG17" s="39"/>
      <c r="MH17" s="39"/>
      <c r="MI17" s="39"/>
      <c r="MJ17" s="39"/>
      <c r="MK17" s="39"/>
      <c r="ML17" s="39"/>
      <c r="MM17" s="39"/>
      <c r="MN17" s="39"/>
      <c r="MO17" s="39"/>
      <c r="MP17" s="39"/>
      <c r="MQ17" s="39"/>
      <c r="MR17" s="39"/>
      <c r="MS17" s="39"/>
      <c r="MT17" s="39"/>
      <c r="MU17" s="39"/>
      <c r="MV17" s="39"/>
      <c r="MW17" s="39"/>
      <c r="MX17" s="39"/>
      <c r="MY17" s="39"/>
      <c r="MZ17" s="39"/>
      <c r="NA17" s="39"/>
      <c r="NB17" s="39"/>
      <c r="NC17" s="39"/>
      <c r="ND17" s="39"/>
      <c r="NE17" s="39"/>
      <c r="NF17" s="39"/>
      <c r="NG17" s="39"/>
      <c r="NH17" s="39"/>
      <c r="NI17" s="39"/>
      <c r="NJ17" s="39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39"/>
      <c r="J18" s="39"/>
      <c r="K18" s="39"/>
      <c r="L18" s="39">
        <v>1</v>
      </c>
      <c r="M18" s="39"/>
      <c r="N18" s="39"/>
      <c r="O18" s="39"/>
      <c r="P18" s="39"/>
      <c r="Q18" s="39"/>
      <c r="R18" s="39"/>
      <c r="S18" s="39">
        <v>1</v>
      </c>
      <c r="T18" s="39"/>
      <c r="U18" s="39"/>
      <c r="V18" s="39"/>
      <c r="W18" s="39"/>
      <c r="X18" s="39"/>
      <c r="Y18" s="39"/>
      <c r="Z18" s="39">
        <v>1</v>
      </c>
      <c r="AA18" s="39"/>
      <c r="AB18" s="39"/>
      <c r="AC18" s="39"/>
      <c r="AD18" s="39"/>
      <c r="AE18" s="39"/>
      <c r="AF18" s="39"/>
      <c r="AG18" s="39">
        <v>1</v>
      </c>
      <c r="AH18" s="39"/>
      <c r="AI18" s="39"/>
      <c r="AJ18" s="39"/>
      <c r="AK18" s="39"/>
      <c r="AL18" s="39"/>
      <c r="AM18" s="39"/>
      <c r="AN18" s="39">
        <v>1</v>
      </c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39"/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39"/>
      <c r="KU18" s="39"/>
      <c r="KV18" s="39"/>
      <c r="KW18" s="39"/>
      <c r="KX18" s="39"/>
      <c r="KY18" s="39"/>
      <c r="KZ18" s="39"/>
      <c r="LA18" s="39"/>
      <c r="LB18" s="39"/>
      <c r="LC18" s="39"/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39"/>
      <c r="LU18" s="39"/>
      <c r="LV18" s="39"/>
      <c r="LW18" s="39"/>
      <c r="LX18" s="39"/>
      <c r="LY18" s="39"/>
      <c r="LZ18" s="39"/>
      <c r="MA18" s="39"/>
      <c r="MB18" s="39"/>
      <c r="MC18" s="39"/>
      <c r="MD18" s="39"/>
      <c r="ME18" s="39"/>
      <c r="MF18" s="39"/>
      <c r="MG18" s="39"/>
      <c r="MH18" s="39"/>
      <c r="MI18" s="39"/>
      <c r="MJ18" s="39"/>
      <c r="MK18" s="39"/>
      <c r="ML18" s="39"/>
      <c r="MM18" s="39"/>
      <c r="MN18" s="39"/>
      <c r="MO18" s="39"/>
      <c r="MP18" s="39"/>
      <c r="MQ18" s="39"/>
      <c r="MR18" s="39"/>
      <c r="MS18" s="39"/>
      <c r="MT18" s="39"/>
      <c r="MU18" s="39"/>
      <c r="MV18" s="39"/>
      <c r="MW18" s="39"/>
      <c r="MX18" s="39"/>
      <c r="MY18" s="39"/>
      <c r="MZ18" s="39"/>
      <c r="NA18" s="39"/>
      <c r="NB18" s="39"/>
      <c r="NC18" s="39"/>
      <c r="ND18" s="39"/>
      <c r="NE18" s="39"/>
      <c r="NF18" s="39"/>
      <c r="NG18" s="39"/>
      <c r="NH18" s="39"/>
      <c r="NI18" s="39"/>
      <c r="NJ18" s="39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/>
      <c r="J19" s="40">
        <v>1</v>
      </c>
      <c r="K19" s="40">
        <v>1</v>
      </c>
      <c r="L19" s="40">
        <v>1</v>
      </c>
      <c r="M19" s="40">
        <v>1</v>
      </c>
      <c r="N19" s="40">
        <v>1</v>
      </c>
      <c r="O19" s="40"/>
      <c r="P19" s="40"/>
      <c r="Q19" s="40">
        <v>1</v>
      </c>
      <c r="R19" s="40">
        <v>1</v>
      </c>
      <c r="S19" s="40">
        <v>1</v>
      </c>
      <c r="T19" s="40">
        <v>1</v>
      </c>
      <c r="U19" s="40">
        <v>1</v>
      </c>
      <c r="V19" s="40"/>
      <c r="W19" s="40"/>
      <c r="X19" s="40">
        <v>1</v>
      </c>
      <c r="Y19" s="40">
        <v>1</v>
      </c>
      <c r="Z19" s="40">
        <v>1</v>
      </c>
      <c r="AA19" s="40">
        <v>1</v>
      </c>
      <c r="AB19" s="40">
        <v>1</v>
      </c>
      <c r="AC19" s="40"/>
      <c r="AD19" s="40"/>
      <c r="AE19" s="40">
        <v>1</v>
      </c>
      <c r="AF19" s="40">
        <v>1</v>
      </c>
      <c r="AG19" s="40">
        <v>1</v>
      </c>
      <c r="AH19" s="40">
        <v>1</v>
      </c>
      <c r="AI19" s="40">
        <v>1</v>
      </c>
      <c r="AJ19" s="40"/>
      <c r="AK19" s="40"/>
      <c r="AL19" s="40">
        <v>1</v>
      </c>
      <c r="AM19" s="40">
        <v>1</v>
      </c>
      <c r="AN19" s="40">
        <v>1</v>
      </c>
      <c r="AO19" s="40">
        <v>1</v>
      </c>
      <c r="AP19" s="40">
        <v>1</v>
      </c>
      <c r="AQ19" s="40"/>
      <c r="AR19" s="40"/>
      <c r="AS19" s="40">
        <v>1</v>
      </c>
      <c r="AT19" s="40">
        <v>1</v>
      </c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</row>
    <row r="20" spans="1:374" s="13" customFormat="1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22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22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22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22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22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22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22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22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22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22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22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25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4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22"/>
      <c r="C29" s="22"/>
      <c r="D29" s="22"/>
      <c r="E29" s="22"/>
      <c r="F29" s="22"/>
      <c r="G29" s="22"/>
      <c r="H29" s="24"/>
      <c r="I29" s="22"/>
      <c r="J29" s="22"/>
      <c r="K29" s="22">
        <v>1</v>
      </c>
      <c r="L29" s="22"/>
      <c r="M29" s="22">
        <v>1</v>
      </c>
      <c r="N29" s="22"/>
      <c r="O29" s="22"/>
      <c r="P29" s="22"/>
      <c r="Q29" s="22">
        <v>1</v>
      </c>
      <c r="R29" s="22">
        <v>1</v>
      </c>
      <c r="S29" s="22"/>
      <c r="T29" s="22"/>
      <c r="U29" s="22"/>
      <c r="V29" s="22"/>
      <c r="W29" s="22"/>
      <c r="X29" s="22">
        <v>1</v>
      </c>
      <c r="Y29" s="22"/>
      <c r="Z29" s="22"/>
      <c r="AA29" s="22"/>
      <c r="AB29" s="22"/>
      <c r="AC29" s="22"/>
      <c r="AD29" s="22"/>
      <c r="AE29" s="22">
        <v>1</v>
      </c>
      <c r="AF29" s="22">
        <v>1</v>
      </c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22"/>
      <c r="FZ29" s="22"/>
      <c r="GA29" s="22"/>
      <c r="GB29" s="22"/>
      <c r="GC29" s="22"/>
      <c r="GD29" s="22"/>
      <c r="GE29" s="22"/>
      <c r="GF29" s="22"/>
      <c r="GG29" s="22"/>
      <c r="GH29" s="22"/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22"/>
      <c r="GZ29" s="22"/>
      <c r="HA29" s="22"/>
      <c r="HB29" s="22"/>
      <c r="HC29" s="22"/>
      <c r="HD29" s="22"/>
      <c r="HE29" s="22"/>
      <c r="HF29" s="22"/>
      <c r="HG29" s="22"/>
      <c r="HH29" s="22"/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22"/>
      <c r="HZ29" s="22"/>
      <c r="IA29" s="22"/>
      <c r="IB29" s="22"/>
      <c r="IC29" s="22"/>
      <c r="ID29" s="22"/>
      <c r="IE29" s="22"/>
      <c r="IF29" s="22"/>
      <c r="IG29" s="22"/>
      <c r="IH29" s="22"/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22"/>
      <c r="IZ29" s="22"/>
      <c r="JA29" s="22"/>
      <c r="JB29" s="22"/>
      <c r="JC29" s="22"/>
      <c r="JD29" s="22"/>
      <c r="JE29" s="22"/>
      <c r="JF29" s="22"/>
      <c r="JG29" s="22"/>
      <c r="JH29" s="22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22"/>
      <c r="MZ29" s="22"/>
      <c r="NA29" s="22"/>
      <c r="NB29" s="22"/>
      <c r="NC29" s="22"/>
      <c r="ND29" s="22"/>
      <c r="NE29" s="22"/>
      <c r="NF29" s="22"/>
      <c r="NG29" s="22"/>
      <c r="NH29" s="22"/>
      <c r="NI29" s="22"/>
      <c r="NJ29" s="22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>
        <v>1</v>
      </c>
      <c r="L30" s="15">
        <v>1</v>
      </c>
      <c r="M30" s="7">
        <v>1</v>
      </c>
      <c r="N30" s="15"/>
      <c r="O30" s="15"/>
      <c r="P30" s="15"/>
      <c r="Q30" s="15"/>
      <c r="R30" s="15">
        <v>1</v>
      </c>
      <c r="S30" s="15"/>
      <c r="T30" s="7"/>
      <c r="U30" s="15"/>
      <c r="V30" s="15"/>
      <c r="W30" s="15"/>
      <c r="X30" s="15"/>
      <c r="Y30" s="15"/>
      <c r="Z30" s="15"/>
      <c r="AA30" s="7">
        <v>1</v>
      </c>
      <c r="AB30" s="15"/>
      <c r="AC30" s="15"/>
      <c r="AD30" s="15"/>
      <c r="AE30" s="15"/>
      <c r="AF30" s="15"/>
      <c r="AG30" s="15">
        <v>1</v>
      </c>
      <c r="AH30" s="7">
        <v>1</v>
      </c>
      <c r="AI30" s="15"/>
      <c r="AJ30" s="15"/>
      <c r="AK30" s="15"/>
      <c r="AL30" s="15">
        <v>1</v>
      </c>
      <c r="AM30" s="15"/>
      <c r="AN30" s="15"/>
      <c r="AO30" s="7"/>
      <c r="AP30" s="15"/>
      <c r="AQ30" s="15"/>
      <c r="AR30" s="15"/>
      <c r="AS30" s="15"/>
      <c r="AT30" s="15"/>
      <c r="AU30" s="15"/>
      <c r="AV30" s="7"/>
      <c r="AW30" s="15"/>
      <c r="AX30" s="15"/>
      <c r="AY30" s="15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>
        <v>1</v>
      </c>
      <c r="X31" s="15"/>
      <c r="Y31" s="15"/>
      <c r="Z31" s="15"/>
      <c r="AA31" s="15"/>
      <c r="AB31" s="15"/>
      <c r="AC31" s="15"/>
      <c r="AD31" s="15">
        <v>1</v>
      </c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>
        <v>1</v>
      </c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>
        <v>1</v>
      </c>
      <c r="AD32" s="15"/>
      <c r="AE32" s="15"/>
      <c r="AF32" s="15"/>
      <c r="AG32" s="15"/>
      <c r="AH32" s="15"/>
      <c r="AI32" s="15"/>
      <c r="AJ32" s="15"/>
      <c r="AK32" s="15">
        <v>1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27"/>
      <c r="AL33" s="27"/>
      <c r="AM33" s="27"/>
      <c r="AN33" s="27"/>
      <c r="AO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27"/>
      <c r="AL34" s="27"/>
      <c r="AM34" s="27"/>
      <c r="AN34" s="27"/>
      <c r="AO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27"/>
      <c r="AL35" s="27"/>
      <c r="AM35" s="27"/>
      <c r="AN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  <row r="37" spans="1:374" x14ac:dyDescent="0.25"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</row>
    <row r="38" spans="1:374" x14ac:dyDescent="0.25">
      <c r="I38" s="22"/>
      <c r="J38" s="22">
        <v>1</v>
      </c>
      <c r="K38" s="22">
        <v>1</v>
      </c>
      <c r="L38" s="22">
        <v>1</v>
      </c>
      <c r="M38" s="22">
        <v>1</v>
      </c>
      <c r="N38" s="22">
        <v>1</v>
      </c>
      <c r="O38" s="22"/>
      <c r="P38" s="22"/>
      <c r="Q38" s="22">
        <v>1</v>
      </c>
      <c r="R38" s="22">
        <v>1</v>
      </c>
      <c r="S38" s="22">
        <v>1</v>
      </c>
      <c r="T38" s="22">
        <v>1</v>
      </c>
      <c r="U38" s="22">
        <v>1</v>
      </c>
      <c r="V38" s="22"/>
      <c r="W38" s="22"/>
      <c r="X38" s="22">
        <v>1</v>
      </c>
      <c r="Y38" s="22">
        <v>1</v>
      </c>
      <c r="Z38" s="22">
        <v>1</v>
      </c>
      <c r="AA38" s="22">
        <v>1</v>
      </c>
      <c r="AB38" s="22">
        <v>1</v>
      </c>
      <c r="AC38" s="22"/>
      <c r="AD38" s="22"/>
      <c r="AE38" s="22">
        <v>1</v>
      </c>
      <c r="AF38" s="22">
        <v>1</v>
      </c>
      <c r="AG38" s="22">
        <v>1</v>
      </c>
      <c r="AH38" s="22">
        <v>1</v>
      </c>
      <c r="AI38" s="22">
        <v>1</v>
      </c>
      <c r="AJ38" s="22"/>
      <c r="AK38" s="22"/>
      <c r="AL38" s="22">
        <v>1</v>
      </c>
      <c r="AM38" s="22">
        <v>1</v>
      </c>
      <c r="AN38" s="22">
        <v>1</v>
      </c>
      <c r="AO38" s="22">
        <v>1</v>
      </c>
      <c r="AP38" s="22">
        <v>1</v>
      </c>
      <c r="AQ38" s="22"/>
      <c r="AR38" s="22"/>
      <c r="AS38" s="22">
        <v>1</v>
      </c>
      <c r="AT38" s="22">
        <v>1</v>
      </c>
      <c r="AU38" s="22">
        <v>1</v>
      </c>
      <c r="AV38" s="22">
        <v>1</v>
      </c>
      <c r="AW38" s="22">
        <v>1</v>
      </c>
      <c r="AX38" s="22"/>
      <c r="AY38" s="22"/>
    </row>
    <row r="39" spans="1:374" x14ac:dyDescent="0.25">
      <c r="I39" s="15"/>
      <c r="J39" s="15">
        <v>1</v>
      </c>
      <c r="K39" s="15">
        <v>1</v>
      </c>
      <c r="L39" s="15">
        <v>1</v>
      </c>
      <c r="M39" s="7">
        <v>1</v>
      </c>
      <c r="N39" s="15"/>
      <c r="O39" s="15"/>
      <c r="P39" s="15"/>
      <c r="Q39" s="15">
        <v>1</v>
      </c>
      <c r="R39" s="15">
        <v>1</v>
      </c>
      <c r="S39" s="15">
        <v>1</v>
      </c>
      <c r="T39" s="7">
        <v>1</v>
      </c>
      <c r="U39" s="15"/>
      <c r="V39" s="15"/>
      <c r="W39" s="15"/>
      <c r="X39" s="15">
        <v>1</v>
      </c>
      <c r="Y39" s="15">
        <v>1</v>
      </c>
      <c r="Z39" s="15">
        <v>1</v>
      </c>
      <c r="AA39" s="7">
        <v>1</v>
      </c>
      <c r="AB39" s="15"/>
      <c r="AC39" s="15"/>
      <c r="AD39" s="15"/>
      <c r="AE39" s="15">
        <v>1</v>
      </c>
      <c r="AF39" s="15">
        <v>1</v>
      </c>
      <c r="AG39" s="15">
        <v>1</v>
      </c>
      <c r="AH39" s="7">
        <v>1</v>
      </c>
      <c r="AI39" s="15"/>
      <c r="AJ39" s="15"/>
      <c r="AK39" s="15"/>
      <c r="AL39" s="15">
        <v>1</v>
      </c>
      <c r="AM39" s="15">
        <v>1</v>
      </c>
      <c r="AN39" s="15">
        <v>1</v>
      </c>
      <c r="AO39" s="7">
        <v>1</v>
      </c>
      <c r="AP39" s="15"/>
      <c r="AQ39" s="15"/>
      <c r="AR39" s="15"/>
      <c r="AS39" s="15">
        <v>1</v>
      </c>
      <c r="AT39" s="15">
        <v>1</v>
      </c>
      <c r="AU39" s="15">
        <v>1</v>
      </c>
      <c r="AV39" s="7">
        <v>1</v>
      </c>
      <c r="AW39" s="15"/>
      <c r="AX39" s="15"/>
      <c r="AY39" s="15"/>
    </row>
    <row r="40" spans="1:374" x14ac:dyDescent="0.25">
      <c r="I40" s="15">
        <v>1</v>
      </c>
      <c r="J40" s="15"/>
      <c r="K40" s="15"/>
      <c r="L40" s="15"/>
      <c r="M40" s="15"/>
      <c r="N40" s="15">
        <v>1</v>
      </c>
      <c r="O40" s="15">
        <v>1</v>
      </c>
      <c r="P40" s="15">
        <v>1</v>
      </c>
      <c r="Q40" s="15"/>
      <c r="R40" s="15"/>
      <c r="S40" s="15"/>
      <c r="T40" s="15"/>
      <c r="U40" s="15">
        <v>1</v>
      </c>
      <c r="V40" s="15">
        <v>1</v>
      </c>
      <c r="W40" s="15">
        <v>1</v>
      </c>
      <c r="X40" s="15"/>
      <c r="Y40" s="15"/>
      <c r="Z40" s="15"/>
      <c r="AA40" s="15"/>
      <c r="AB40" s="15">
        <v>1</v>
      </c>
      <c r="AC40" s="15">
        <v>1</v>
      </c>
      <c r="AD40" s="15">
        <v>1</v>
      </c>
      <c r="AE40" s="15"/>
      <c r="AF40" s="15"/>
      <c r="AG40" s="15"/>
      <c r="AH40" s="15"/>
      <c r="AI40" s="15">
        <v>1</v>
      </c>
      <c r="AJ40" s="15">
        <v>1</v>
      </c>
      <c r="AK40" s="15">
        <v>1</v>
      </c>
      <c r="AL40" s="15"/>
      <c r="AM40" s="15"/>
      <c r="AN40" s="15"/>
      <c r="AO40" s="15"/>
      <c r="AP40" s="15">
        <v>1</v>
      </c>
      <c r="AQ40" s="15">
        <v>1</v>
      </c>
      <c r="AR40" s="15">
        <v>1</v>
      </c>
      <c r="AS40" s="15"/>
      <c r="AT40" s="15"/>
      <c r="AU40" s="15"/>
      <c r="AV40" s="15"/>
      <c r="AW40" s="15">
        <v>1</v>
      </c>
      <c r="AX40" s="15">
        <v>1</v>
      </c>
      <c r="AY40" s="15">
        <v>1</v>
      </c>
    </row>
    <row r="41" spans="1:374" x14ac:dyDescent="0.25">
      <c r="I41" s="15">
        <v>1</v>
      </c>
      <c r="J41" s="15"/>
      <c r="K41" s="15"/>
      <c r="L41" s="15"/>
      <c r="M41" s="15"/>
      <c r="N41" s="15"/>
      <c r="O41" s="15">
        <v>1</v>
      </c>
      <c r="P41" s="15">
        <v>1</v>
      </c>
      <c r="Q41" s="15"/>
      <c r="R41" s="15"/>
      <c r="S41" s="15"/>
      <c r="T41" s="15"/>
      <c r="U41" s="15"/>
      <c r="V41" s="15">
        <v>1</v>
      </c>
      <c r="W41" s="15">
        <v>1</v>
      </c>
      <c r="X41" s="15"/>
      <c r="Y41" s="15"/>
      <c r="Z41" s="15"/>
      <c r="AA41" s="15"/>
      <c r="AB41" s="15"/>
      <c r="AC41" s="15">
        <v>1</v>
      </c>
      <c r="AD41" s="15">
        <v>1</v>
      </c>
      <c r="AE41" s="15"/>
      <c r="AF41" s="15"/>
      <c r="AG41" s="15"/>
      <c r="AH41" s="15"/>
      <c r="AI41" s="15"/>
      <c r="AJ41" s="15">
        <v>1</v>
      </c>
      <c r="AK41" s="15">
        <v>1</v>
      </c>
      <c r="AL41" s="15"/>
      <c r="AM41" s="15"/>
      <c r="AN41" s="15"/>
      <c r="AO41" s="15"/>
      <c r="AP41" s="15"/>
      <c r="AQ41" s="15">
        <v>1</v>
      </c>
      <c r="AR41" s="15">
        <v>1</v>
      </c>
      <c r="AS41" s="15"/>
      <c r="AT41" s="15"/>
      <c r="AU41" s="15"/>
      <c r="AV41" s="15"/>
      <c r="AW41" s="15"/>
      <c r="AX41" s="15">
        <v>1</v>
      </c>
      <c r="AY41" s="15">
        <v>1</v>
      </c>
    </row>
    <row r="63" spans="10:36" x14ac:dyDescent="0.25"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</row>
  </sheetData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NJ36"/>
  <sheetViews>
    <sheetView zoomScale="80" zoomScaleNormal="80" workbookViewId="0">
      <selection activeCell="A28" sqref="A28:A32"/>
    </sheetView>
  </sheetViews>
  <sheetFormatPr baseColWidth="10" defaultColWidth="11.42578125" defaultRowHeight="15" x14ac:dyDescent="0.25"/>
  <cols>
    <col min="1" max="1" width="5.140625" style="27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style="27" bestFit="1" customWidth="1"/>
    <col min="10" max="10" width="3.42578125" style="27" bestFit="1" customWidth="1"/>
    <col min="11" max="11" width="4.42578125" style="27" bestFit="1" customWidth="1"/>
    <col min="12" max="12" width="3.7109375" style="27" bestFit="1" customWidth="1"/>
    <col min="13" max="13" width="4.5703125" style="27" bestFit="1" customWidth="1"/>
    <col min="14" max="14" width="3.42578125" style="27" bestFit="1" customWidth="1"/>
    <col min="15" max="17" width="4.5703125" style="27" bestFit="1" customWidth="1"/>
    <col min="18" max="18" width="3.85546875" style="27" bestFit="1" customWidth="1"/>
    <col min="19" max="19" width="3.5703125" style="27" bestFit="1" customWidth="1"/>
    <col min="20" max="20" width="3.42578125" style="27" bestFit="1" customWidth="1"/>
    <col min="21" max="21" width="3.85546875" style="27" bestFit="1" customWidth="1"/>
    <col min="22" max="22" width="5" style="27" bestFit="1" customWidth="1"/>
    <col min="23" max="23" width="3.42578125" style="27" bestFit="1" customWidth="1"/>
    <col min="24" max="24" width="5" style="27" bestFit="1" customWidth="1"/>
    <col min="25" max="25" width="4.28515625" style="27" bestFit="1" customWidth="1"/>
    <col min="26" max="26" width="3.5703125" style="27" bestFit="1" customWidth="1"/>
    <col min="27" max="28" width="5.140625" style="27" bestFit="1" customWidth="1"/>
    <col min="29" max="39" width="3.85546875" style="27" bestFit="1" customWidth="1"/>
    <col min="40" max="41" width="3.42578125" style="27" bestFit="1" customWidth="1"/>
    <col min="42" max="42" width="5" style="27" bestFit="1" customWidth="1"/>
    <col min="43" max="43" width="3.7109375" style="27" bestFit="1" customWidth="1"/>
    <col min="44" max="45" width="5" style="27" bestFit="1" customWidth="1"/>
    <col min="46" max="46" width="4.42578125" style="27" bestFit="1" customWidth="1"/>
    <col min="47" max="47" width="4.140625" style="27" bestFit="1" customWidth="1"/>
    <col min="48" max="49" width="4.85546875" style="27" bestFit="1" customWidth="1"/>
    <col min="50" max="50" width="3.42578125" style="27" bestFit="1" customWidth="1"/>
    <col min="51" max="51" width="4.42578125" style="27" bestFit="1" customWidth="1"/>
    <col min="52" max="52" width="3.7109375" style="27" bestFit="1" customWidth="1"/>
    <col min="53" max="53" width="4.5703125" style="27" bestFit="1" customWidth="1"/>
    <col min="54" max="54" width="3.42578125" style="27" bestFit="1" customWidth="1"/>
    <col min="55" max="57" width="4.5703125" style="27" bestFit="1" customWidth="1"/>
    <col min="58" max="58" width="3.85546875" style="27" bestFit="1" customWidth="1"/>
    <col min="59" max="59" width="3.5703125" style="27" bestFit="1" customWidth="1"/>
    <col min="60" max="60" width="3.42578125" style="27" bestFit="1" customWidth="1"/>
    <col min="61" max="61" width="3.85546875" style="27" bestFit="1" customWidth="1"/>
    <col min="62" max="62" width="5" style="27" bestFit="1" customWidth="1"/>
    <col min="63" max="63" width="3.42578125" style="27" bestFit="1" customWidth="1"/>
    <col min="64" max="64" width="5" style="27" bestFit="1" customWidth="1"/>
    <col min="65" max="65" width="4.28515625" style="27" bestFit="1" customWidth="1"/>
    <col min="66" max="66" width="3.5703125" style="27" bestFit="1" customWidth="1"/>
    <col min="67" max="107" width="3.42578125" style="27" bestFit="1" customWidth="1"/>
    <col min="108" max="372" width="4.42578125" style="27" bestFit="1" customWidth="1"/>
    <col min="373" max="374" width="4.42578125" style="27" customWidth="1"/>
    <col min="375" max="16384" width="11.42578125" style="27"/>
  </cols>
  <sheetData>
    <row r="1" spans="1:374" x14ac:dyDescent="0.25">
      <c r="A1" s="19" t="s">
        <v>79</v>
      </c>
      <c r="B1" s="25"/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2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 t="str">
        <f>IF(Nachfrage!I2&gt;=10,4,"")</f>
        <v/>
      </c>
      <c r="J2" s="28">
        <f>IF(Nachfrage!J2&gt;=10,4,"")</f>
        <v>4</v>
      </c>
      <c r="K2" s="28">
        <f>IF(Nachfrage!K2&gt;=10,4,"")</f>
        <v>4</v>
      </c>
      <c r="L2" s="28">
        <f>IF(Nachfrage!L2&gt;=10,4,"")</f>
        <v>4</v>
      </c>
      <c r="M2" s="28">
        <f>IF(Nachfrage!M2&gt;=10,4,"")</f>
        <v>4</v>
      </c>
      <c r="N2" s="28">
        <f>IF(Nachfrage!N2&gt;=10,4,"")</f>
        <v>4</v>
      </c>
      <c r="O2" s="28" t="str">
        <f>IF(Nachfrage!O2&gt;=10,4,"")</f>
        <v/>
      </c>
      <c r="P2" s="28" t="str">
        <f>IF(Nachfrage!P2&gt;=10,4,"")</f>
        <v/>
      </c>
      <c r="Q2" s="28">
        <f>IF(Nachfrage!Q2&gt;=10,4,"")</f>
        <v>4</v>
      </c>
      <c r="R2" s="28">
        <f>IF(Nachfrage!R2&gt;=10,4,"")</f>
        <v>4</v>
      </c>
      <c r="S2" s="28">
        <f>IF(Nachfrage!S2&gt;=10,4,"")</f>
        <v>4</v>
      </c>
      <c r="T2" s="28">
        <f>IF(Nachfrage!T2&gt;=10,4,"")</f>
        <v>4</v>
      </c>
      <c r="U2" s="28">
        <f>IF(Nachfrage!U2&gt;=10,4,"")</f>
        <v>4</v>
      </c>
      <c r="V2" s="28" t="str">
        <f>IF(Nachfrage!V2&gt;=10,4,"")</f>
        <v/>
      </c>
      <c r="W2" s="28" t="str">
        <f>IF(Nachfrage!W2&gt;=10,4,"")</f>
        <v/>
      </c>
      <c r="X2" s="28">
        <f>IF(Nachfrage!X2&gt;=10,4,"")</f>
        <v>4</v>
      </c>
      <c r="Y2" s="28">
        <f>IF(Nachfrage!Y2&gt;=10,4,"")</f>
        <v>4</v>
      </c>
      <c r="Z2" s="28">
        <f>IF(Nachfrage!Z2&gt;=10,4,"")</f>
        <v>4</v>
      </c>
      <c r="AA2" s="28">
        <f>IF(Nachfrage!AA2&gt;=10,4,"")</f>
        <v>4</v>
      </c>
      <c r="AB2" s="28">
        <f>IF(Nachfrage!AB2&gt;=10,4,"")</f>
        <v>4</v>
      </c>
      <c r="AC2" s="28" t="str">
        <f>IF(Nachfrage!AC2&gt;=10,4,"")</f>
        <v/>
      </c>
      <c r="AD2" s="28" t="str">
        <f>IF(Nachfrage!AD2&gt;=10,4,"")</f>
        <v/>
      </c>
      <c r="AE2" s="28">
        <f>IF(Nachfrage!AE2&gt;=10,4,"")</f>
        <v>4</v>
      </c>
      <c r="AF2" s="28">
        <f>IF(Nachfrage!AF2&gt;=10,4,"")</f>
        <v>4</v>
      </c>
      <c r="AG2" s="28">
        <f>IF(Nachfrage!AG2&gt;=10,4,"")</f>
        <v>4</v>
      </c>
      <c r="AH2" s="28">
        <f>IF(Nachfrage!AH2&gt;=10,4,"")</f>
        <v>4</v>
      </c>
      <c r="AI2" s="28">
        <f>IF(Nachfrage!AI2&gt;=10,4,"")</f>
        <v>4</v>
      </c>
      <c r="AJ2" s="28" t="str">
        <f>IF(Nachfrage!AJ2&gt;=10,4,"")</f>
        <v/>
      </c>
      <c r="AK2" s="28" t="str">
        <f>IF(Nachfrage!AK2&gt;=10,4,"")</f>
        <v/>
      </c>
      <c r="AL2" s="28">
        <f>IF(Nachfrage!AL2&gt;=10,4,"")</f>
        <v>4</v>
      </c>
      <c r="AM2" s="28">
        <f>IF(Nachfrage!AM2&gt;=10,4,"")</f>
        <v>4</v>
      </c>
      <c r="AN2" s="28">
        <f>IF(Nachfrage!AN2&gt;=10,4,"")</f>
        <v>4</v>
      </c>
      <c r="AO2" s="28">
        <f>IF(Nachfrage!AO2&gt;=10,4,"")</f>
        <v>4</v>
      </c>
      <c r="AP2" s="28">
        <f>IF(Nachfrage!AP2&gt;=10,4,"")</f>
        <v>4</v>
      </c>
      <c r="AQ2" s="28" t="str">
        <f>IF(Nachfrage!AQ2&gt;=10,4,"")</f>
        <v/>
      </c>
      <c r="AR2" s="28" t="str">
        <f>IF(Nachfrage!AR2&gt;=10,4,"")</f>
        <v/>
      </c>
      <c r="AS2" s="28">
        <f>IF(Nachfrage!AS2&gt;=10,4,"")</f>
        <v>4</v>
      </c>
      <c r="AT2" s="28">
        <f>IF(Nachfrage!AT2&gt;=10,4,"")</f>
        <v>4</v>
      </c>
      <c r="AU2" s="28" t="str">
        <f>IF(Nachfrage!AU2&gt;=10,4,"")</f>
        <v/>
      </c>
      <c r="AV2" s="28" t="str">
        <f>IF(Nachfrage!AV2&gt;=10,4,"")</f>
        <v/>
      </c>
      <c r="AW2" s="28" t="str">
        <f>IF(Nachfrage!AW2&gt;=10,4,"")</f>
        <v/>
      </c>
      <c r="AX2" s="28" t="str">
        <f>IF(Nachfrage!AX2&gt;=10,4,"")</f>
        <v/>
      </c>
      <c r="AY2" s="28" t="str">
        <f>IF(Nachfrage!AY2&gt;=10,4,"")</f>
        <v/>
      </c>
      <c r="AZ2" s="28" t="str">
        <f>IF(Nachfrage!AZ2&gt;=10,4,"")</f>
        <v/>
      </c>
      <c r="BA2" s="28" t="str">
        <f>IF(Nachfrage!BA2&gt;=10,4,"")</f>
        <v/>
      </c>
      <c r="BB2" s="28" t="str">
        <f>IF(Nachfrage!BB2&gt;=10,4,"")</f>
        <v/>
      </c>
      <c r="BC2" s="28" t="str">
        <f>IF(Nachfrage!BC2&gt;=10,4,"")</f>
        <v/>
      </c>
      <c r="BD2" s="28" t="str">
        <f>IF(Nachfrage!BD2&gt;=10,4,"")</f>
        <v/>
      </c>
      <c r="BE2" s="28" t="str">
        <f>IF(Nachfrage!BE2&gt;=10,4,"")</f>
        <v/>
      </c>
      <c r="BF2" s="28" t="str">
        <f>IF(Nachfrage!BF2&gt;=10,4,"")</f>
        <v/>
      </c>
      <c r="BG2" s="28" t="str">
        <f>IF(Nachfrage!BG2&gt;=10,4,"")</f>
        <v/>
      </c>
      <c r="BH2" s="28" t="str">
        <f>IF(Nachfrage!BH2&gt;=10,4,"")</f>
        <v/>
      </c>
      <c r="BI2" s="28" t="str">
        <f>IF(Nachfrage!BI2&gt;=10,4,"")</f>
        <v/>
      </c>
      <c r="BJ2" s="28" t="str">
        <f>IF(Nachfrage!BJ2&gt;=10,4,"")</f>
        <v/>
      </c>
      <c r="BK2" s="28" t="str">
        <f>IF(Nachfrage!BK2&gt;=10,4,"")</f>
        <v/>
      </c>
      <c r="BL2" s="28" t="str">
        <f>IF(Nachfrage!BL2&gt;=10,4,"")</f>
        <v/>
      </c>
      <c r="BM2" s="28" t="str">
        <f>IF(Nachfrage!BM2&gt;=10,4,"")</f>
        <v/>
      </c>
      <c r="BN2" s="28" t="str">
        <f>IF(Nachfrage!BN2&gt;=10,4,"")</f>
        <v/>
      </c>
      <c r="BO2" s="28" t="str">
        <f>IF(Nachfrage!BO2&gt;=10,4,"")</f>
        <v/>
      </c>
      <c r="BP2" s="28" t="str">
        <f>IF(Nachfrage!BP2&gt;=10,4,"")</f>
        <v/>
      </c>
      <c r="BQ2" s="28" t="str">
        <f>IF(Nachfrage!BQ2&gt;=10,4,"")</f>
        <v/>
      </c>
      <c r="BR2" s="28" t="str">
        <f>IF(Nachfrage!BR2&gt;=10,4,"")</f>
        <v/>
      </c>
      <c r="BS2" s="28" t="str">
        <f>IF(Nachfrage!BS2&gt;=10,4,"")</f>
        <v/>
      </c>
      <c r="BT2" s="28" t="str">
        <f>IF(Nachfrage!BT2&gt;=10,4,"")</f>
        <v/>
      </c>
      <c r="BU2" s="28" t="str">
        <f>IF(Nachfrage!BU2&gt;=10,4,"")</f>
        <v/>
      </c>
      <c r="BV2" s="28" t="str">
        <f>IF(Nachfrage!BV2&gt;=10,4,"")</f>
        <v/>
      </c>
      <c r="BW2" s="28" t="str">
        <f>IF(Nachfrage!BW2&gt;=10,4,"")</f>
        <v/>
      </c>
      <c r="BX2" s="28" t="str">
        <f>IF(Nachfrage!BX2&gt;=10,4,"")</f>
        <v/>
      </c>
      <c r="BY2" s="28" t="str">
        <f>IF(Nachfrage!BY2&gt;=10,4,"")</f>
        <v/>
      </c>
      <c r="BZ2" s="28" t="str">
        <f>IF(Nachfrage!BZ2&gt;=10,4,"")</f>
        <v/>
      </c>
      <c r="CA2" s="28" t="str">
        <f>IF(Nachfrage!CA2&gt;=10,4,"")</f>
        <v/>
      </c>
      <c r="CB2" s="28" t="str">
        <f>IF(Nachfrage!CB2&gt;=10,4,"")</f>
        <v/>
      </c>
      <c r="CC2" s="28" t="str">
        <f>IF(Nachfrage!CC2&gt;=10,4,"")</f>
        <v/>
      </c>
      <c r="CD2" s="28" t="str">
        <f>IF(Nachfrage!CD2&gt;=10,4,"")</f>
        <v/>
      </c>
      <c r="CE2" s="28" t="str">
        <f>IF(Nachfrage!CE2&gt;=10,4,"")</f>
        <v/>
      </c>
      <c r="CF2" s="28" t="str">
        <f>IF(Nachfrage!CF2&gt;=10,4,"")</f>
        <v/>
      </c>
      <c r="CG2" s="28" t="str">
        <f>IF(Nachfrage!CG2&gt;=10,4,"")</f>
        <v/>
      </c>
      <c r="CH2" s="28" t="str">
        <f>IF(Nachfrage!CH2&gt;=10,4,"")</f>
        <v/>
      </c>
      <c r="CI2" s="28" t="str">
        <f>IF(Nachfrage!CI2&gt;=10,4,"")</f>
        <v/>
      </c>
      <c r="CJ2" s="28" t="str">
        <f>IF(Nachfrage!CJ2&gt;=10,4,"")</f>
        <v/>
      </c>
      <c r="CK2" s="28" t="str">
        <f>IF(Nachfrage!CK2&gt;=10,4,"")</f>
        <v/>
      </c>
      <c r="CL2" s="28" t="str">
        <f>IF(Nachfrage!CL2&gt;=10,4,"")</f>
        <v/>
      </c>
      <c r="CM2" s="28" t="str">
        <f>IF(Nachfrage!CM2&gt;=10,4,"")</f>
        <v/>
      </c>
      <c r="CN2" s="28" t="str">
        <f>IF(Nachfrage!CN2&gt;=10,4,"")</f>
        <v/>
      </c>
      <c r="CO2" s="28" t="str">
        <f>IF(Nachfrage!CO2&gt;=10,4,"")</f>
        <v/>
      </c>
      <c r="CP2" s="28" t="str">
        <f>IF(Nachfrage!CP2&gt;=10,4,"")</f>
        <v/>
      </c>
      <c r="CQ2" s="28" t="str">
        <f>IF(Nachfrage!CQ2&gt;=10,4,"")</f>
        <v/>
      </c>
      <c r="CR2" s="28" t="str">
        <f>IF(Nachfrage!CR2&gt;=10,4,"")</f>
        <v/>
      </c>
      <c r="CS2" s="28" t="str">
        <f>IF(Nachfrage!CS2&gt;=10,4,"")</f>
        <v/>
      </c>
      <c r="CT2" s="28" t="str">
        <f>IF(Nachfrage!CT2&gt;=10,4,"")</f>
        <v/>
      </c>
      <c r="CU2" s="28" t="str">
        <f>IF(Nachfrage!CU2&gt;=10,4,"")</f>
        <v/>
      </c>
      <c r="CV2" s="28" t="str">
        <f>IF(Nachfrage!CV2&gt;=10,4,"")</f>
        <v/>
      </c>
      <c r="CW2" s="28" t="str">
        <f>IF(Nachfrage!CW2&gt;=10,4,"")</f>
        <v/>
      </c>
      <c r="CX2" s="28" t="str">
        <f>IF(Nachfrage!CX2&gt;=10,4,"")</f>
        <v/>
      </c>
      <c r="CY2" s="28" t="str">
        <f>IF(Nachfrage!CY2&gt;=10,4,"")</f>
        <v/>
      </c>
      <c r="CZ2" s="28" t="str">
        <f>IF(Nachfrage!CZ2&gt;=10,4,"")</f>
        <v/>
      </c>
      <c r="DA2" s="28" t="str">
        <f>IF(Nachfrage!DA2&gt;=10,4,"")</f>
        <v/>
      </c>
      <c r="DB2" s="28" t="str">
        <f>IF(Nachfrage!DB2&gt;=10,4,"")</f>
        <v/>
      </c>
      <c r="DC2" s="28" t="str">
        <f>IF(Nachfrage!DC2&gt;=10,4,"")</f>
        <v/>
      </c>
      <c r="DD2" s="28" t="str">
        <f>IF(Nachfrage!DD2&gt;=10,4,"")</f>
        <v/>
      </c>
      <c r="DE2" s="28" t="str">
        <f>IF(Nachfrage!DE2&gt;=10,4,"")</f>
        <v/>
      </c>
      <c r="DF2" s="28" t="str">
        <f>IF(Nachfrage!DF2&gt;=10,4,"")</f>
        <v/>
      </c>
      <c r="DG2" s="28" t="str">
        <f>IF(Nachfrage!DG2&gt;=10,4,"")</f>
        <v/>
      </c>
      <c r="DH2" s="28" t="str">
        <f>IF(Nachfrage!DH2&gt;=10,4,"")</f>
        <v/>
      </c>
      <c r="DI2" s="28" t="str">
        <f>IF(Nachfrage!DI2&gt;=10,4,"")</f>
        <v/>
      </c>
      <c r="DJ2" s="28" t="str">
        <f>IF(Nachfrage!DJ2&gt;=10,4,"")</f>
        <v/>
      </c>
      <c r="DK2" s="28" t="str">
        <f>IF(Nachfrage!DK2&gt;=10,4,"")</f>
        <v/>
      </c>
      <c r="DL2" s="28" t="str">
        <f>IF(Nachfrage!DL2&gt;=10,4,"")</f>
        <v/>
      </c>
      <c r="DM2" s="28" t="str">
        <f>IF(Nachfrage!DM2&gt;=10,4,"")</f>
        <v/>
      </c>
      <c r="DN2" s="28" t="str">
        <f>IF(Nachfrage!DN2&gt;=10,4,"")</f>
        <v/>
      </c>
      <c r="DO2" s="28" t="str">
        <f>IF(Nachfrage!DO2&gt;=10,4,"")</f>
        <v/>
      </c>
      <c r="DP2" s="28" t="str">
        <f>IF(Nachfrage!DP2&gt;=10,4,"")</f>
        <v/>
      </c>
      <c r="DQ2" s="28" t="str">
        <f>IF(Nachfrage!DQ2&gt;=10,4,"")</f>
        <v/>
      </c>
      <c r="DR2" s="28" t="str">
        <f>IF(Nachfrage!DR2&gt;=10,4,"")</f>
        <v/>
      </c>
      <c r="DS2" s="28" t="str">
        <f>IF(Nachfrage!DS2&gt;=10,4,"")</f>
        <v/>
      </c>
      <c r="DT2" s="28" t="str">
        <f>IF(Nachfrage!DT2&gt;=10,4,"")</f>
        <v/>
      </c>
      <c r="DU2" s="28" t="str">
        <f>IF(Nachfrage!DU2&gt;=10,4,"")</f>
        <v/>
      </c>
      <c r="DV2" s="28" t="str">
        <f>IF(Nachfrage!DV2&gt;=10,4,"")</f>
        <v/>
      </c>
      <c r="DW2" s="28" t="str">
        <f>IF(Nachfrage!DW2&gt;=10,4,"")</f>
        <v/>
      </c>
      <c r="DX2" s="28" t="str">
        <f>IF(Nachfrage!DX2&gt;=10,4,"")</f>
        <v/>
      </c>
      <c r="DY2" s="28" t="str">
        <f>IF(Nachfrage!DY2&gt;=10,4,"")</f>
        <v/>
      </c>
      <c r="DZ2" s="28" t="str">
        <f>IF(Nachfrage!DZ2&gt;=10,4,"")</f>
        <v/>
      </c>
      <c r="EA2" s="28" t="str">
        <f>IF(Nachfrage!EA2&gt;=10,4,"")</f>
        <v/>
      </c>
      <c r="EB2" s="28" t="str">
        <f>IF(Nachfrage!EB2&gt;=10,4,"")</f>
        <v/>
      </c>
      <c r="EC2" s="28" t="str">
        <f>IF(Nachfrage!EC2&gt;=10,4,"")</f>
        <v/>
      </c>
      <c r="ED2" s="28" t="str">
        <f>IF(Nachfrage!ED2&gt;=10,4,"")</f>
        <v/>
      </c>
      <c r="EE2" s="28" t="str">
        <f>IF(Nachfrage!EE2&gt;=10,4,"")</f>
        <v/>
      </c>
      <c r="EF2" s="28" t="str">
        <f>IF(Nachfrage!EF2&gt;=10,4,"")</f>
        <v/>
      </c>
      <c r="EG2" s="28" t="str">
        <f>IF(Nachfrage!EG2&gt;=10,4,"")</f>
        <v/>
      </c>
      <c r="EH2" s="28" t="str">
        <f>IF(Nachfrage!EH2&gt;=10,4,"")</f>
        <v/>
      </c>
      <c r="EI2" s="28" t="str">
        <f>IF(Nachfrage!EI2&gt;=10,4,"")</f>
        <v/>
      </c>
      <c r="EJ2" s="28" t="str">
        <f>IF(Nachfrage!EJ2&gt;=10,4,"")</f>
        <v/>
      </c>
      <c r="EK2" s="28" t="str">
        <f>IF(Nachfrage!EK2&gt;=10,4,"")</f>
        <v/>
      </c>
      <c r="EL2" s="28" t="str">
        <f>IF(Nachfrage!EL2&gt;=10,4,"")</f>
        <v/>
      </c>
      <c r="EM2" s="28" t="str">
        <f>IF(Nachfrage!EM2&gt;=10,4,"")</f>
        <v/>
      </c>
      <c r="EN2" s="28" t="str">
        <f>IF(Nachfrage!EN2&gt;=10,4,"")</f>
        <v/>
      </c>
      <c r="EO2" s="28" t="str">
        <f>IF(Nachfrage!EO2&gt;=10,4,"")</f>
        <v/>
      </c>
      <c r="EP2" s="28" t="str">
        <f>IF(Nachfrage!EP2&gt;=10,4,"")</f>
        <v/>
      </c>
      <c r="EQ2" s="28" t="str">
        <f>IF(Nachfrage!EQ2&gt;=10,4,"")</f>
        <v/>
      </c>
      <c r="ER2" s="28" t="str">
        <f>IF(Nachfrage!ER2&gt;=10,4,"")</f>
        <v/>
      </c>
      <c r="ES2" s="28" t="str">
        <f>IF(Nachfrage!ES2&gt;=10,4,"")</f>
        <v/>
      </c>
      <c r="ET2" s="28" t="str">
        <f>IF(Nachfrage!ET2&gt;=10,4,"")</f>
        <v/>
      </c>
      <c r="EU2" s="28" t="str">
        <f>IF(Nachfrage!EU2&gt;=10,4,"")</f>
        <v/>
      </c>
      <c r="EV2" s="28" t="str">
        <f>IF(Nachfrage!EV2&gt;=10,4,"")</f>
        <v/>
      </c>
      <c r="EW2" s="28" t="str">
        <f>IF(Nachfrage!EW2&gt;=10,4,"")</f>
        <v/>
      </c>
      <c r="EX2" s="28" t="str">
        <f>IF(Nachfrage!EX2&gt;=10,4,"")</f>
        <v/>
      </c>
      <c r="EY2" s="28" t="str">
        <f>IF(Nachfrage!EY2&gt;=10,4,"")</f>
        <v/>
      </c>
      <c r="EZ2" s="28" t="str">
        <f>IF(Nachfrage!EZ2&gt;=10,4,"")</f>
        <v/>
      </c>
      <c r="FA2" s="28" t="str">
        <f>IF(Nachfrage!FA2&gt;=10,4,"")</f>
        <v/>
      </c>
      <c r="FB2" s="28" t="str">
        <f>IF(Nachfrage!FB2&gt;=10,4,"")</f>
        <v/>
      </c>
      <c r="FC2" s="28" t="str">
        <f>IF(Nachfrage!FC2&gt;=10,4,"")</f>
        <v/>
      </c>
      <c r="FD2" s="28" t="str">
        <f>IF(Nachfrage!FD2&gt;=10,4,"")</f>
        <v/>
      </c>
      <c r="FE2" s="28" t="str">
        <f>IF(Nachfrage!FE2&gt;=10,4,"")</f>
        <v/>
      </c>
      <c r="FF2" s="28" t="str">
        <f>IF(Nachfrage!FF2&gt;=10,4,"")</f>
        <v/>
      </c>
      <c r="FG2" s="28" t="str">
        <f>IF(Nachfrage!FG2&gt;=10,4,"")</f>
        <v/>
      </c>
      <c r="FH2" s="28" t="str">
        <f>IF(Nachfrage!FH2&gt;=10,4,"")</f>
        <v/>
      </c>
      <c r="FI2" s="28" t="str">
        <f>IF(Nachfrage!FI2&gt;=10,4,"")</f>
        <v/>
      </c>
      <c r="FJ2" s="28" t="str">
        <f>IF(Nachfrage!FJ2&gt;=10,4,"")</f>
        <v/>
      </c>
      <c r="FK2" s="28" t="str">
        <f>IF(Nachfrage!FK2&gt;=10,4,"")</f>
        <v/>
      </c>
      <c r="FL2" s="28" t="str">
        <f>IF(Nachfrage!FL2&gt;=10,4,"")</f>
        <v/>
      </c>
      <c r="FM2" s="28" t="str">
        <f>IF(Nachfrage!FM2&gt;=10,4,"")</f>
        <v/>
      </c>
      <c r="FN2" s="28" t="str">
        <f>IF(Nachfrage!FN2&gt;=10,4,"")</f>
        <v/>
      </c>
      <c r="FO2" s="28" t="str">
        <f>IF(Nachfrage!FO2&gt;=10,4,"")</f>
        <v/>
      </c>
      <c r="FP2" s="28" t="str">
        <f>IF(Nachfrage!FP2&gt;=10,4,"")</f>
        <v/>
      </c>
      <c r="FQ2" s="28" t="str">
        <f>IF(Nachfrage!FQ2&gt;=10,4,"")</f>
        <v/>
      </c>
      <c r="FR2" s="28" t="str">
        <f>IF(Nachfrage!FR2&gt;=10,4,"")</f>
        <v/>
      </c>
      <c r="FS2" s="28" t="str">
        <f>IF(Nachfrage!FS2&gt;=10,4,"")</f>
        <v/>
      </c>
      <c r="FT2" s="28" t="str">
        <f>IF(Nachfrage!FT2&gt;=10,4,"")</f>
        <v/>
      </c>
      <c r="FU2" s="28" t="str">
        <f>IF(Nachfrage!FU2&gt;=10,4,"")</f>
        <v/>
      </c>
      <c r="FV2" s="28" t="str">
        <f>IF(Nachfrage!FV2&gt;=10,4,"")</f>
        <v/>
      </c>
      <c r="FW2" s="28" t="str">
        <f>IF(Nachfrage!FW2&gt;=10,4,"")</f>
        <v/>
      </c>
      <c r="FX2" s="28" t="str">
        <f>IF(Nachfrage!FX2&gt;=10,4,"")</f>
        <v/>
      </c>
      <c r="FY2" s="28" t="str">
        <f>IF(Nachfrage!FY2&gt;=10,4,"")</f>
        <v/>
      </c>
      <c r="FZ2" s="28" t="str">
        <f>IF(Nachfrage!FZ2&gt;=10,4,"")</f>
        <v/>
      </c>
      <c r="GA2" s="28" t="str">
        <f>IF(Nachfrage!GA2&gt;=10,4,"")</f>
        <v/>
      </c>
      <c r="GB2" s="28" t="str">
        <f>IF(Nachfrage!GB2&gt;=10,4,"")</f>
        <v/>
      </c>
      <c r="GC2" s="28" t="str">
        <f>IF(Nachfrage!GC2&gt;=10,4,"")</f>
        <v/>
      </c>
      <c r="GD2" s="28" t="str">
        <f>IF(Nachfrage!GD2&gt;=10,4,"")</f>
        <v/>
      </c>
      <c r="GE2" s="28" t="str">
        <f>IF(Nachfrage!GE2&gt;=10,4,"")</f>
        <v/>
      </c>
      <c r="GF2" s="28" t="str">
        <f>IF(Nachfrage!GF2&gt;=10,4,"")</f>
        <v/>
      </c>
      <c r="GG2" s="28" t="str">
        <f>IF(Nachfrage!GG2&gt;=10,4,"")</f>
        <v/>
      </c>
      <c r="GH2" s="28" t="str">
        <f>IF(Nachfrage!GH2&gt;=10,4,"")</f>
        <v/>
      </c>
      <c r="GI2" s="28" t="str">
        <f>IF(Nachfrage!GI2&gt;=10,4,"")</f>
        <v/>
      </c>
      <c r="GJ2" s="28" t="str">
        <f>IF(Nachfrage!GJ2&gt;=10,4,"")</f>
        <v/>
      </c>
      <c r="GK2" s="28" t="str">
        <f>IF(Nachfrage!GK2&gt;=10,4,"")</f>
        <v/>
      </c>
      <c r="GL2" s="28" t="str">
        <f>IF(Nachfrage!GL2&gt;=10,4,"")</f>
        <v/>
      </c>
      <c r="GM2" s="28" t="str">
        <f>IF(Nachfrage!GM2&gt;=10,4,"")</f>
        <v/>
      </c>
      <c r="GN2" s="28" t="str">
        <f>IF(Nachfrage!GN2&gt;=10,4,"")</f>
        <v/>
      </c>
      <c r="GO2" s="28" t="str">
        <f>IF(Nachfrage!GO2&gt;=10,4,"")</f>
        <v/>
      </c>
      <c r="GP2" s="28" t="str">
        <f>IF(Nachfrage!GP2&gt;=10,4,"")</f>
        <v/>
      </c>
      <c r="GQ2" s="28" t="str">
        <f>IF(Nachfrage!GQ2&gt;=10,4,"")</f>
        <v/>
      </c>
      <c r="GR2" s="28" t="str">
        <f>IF(Nachfrage!GR2&gt;=10,4,"")</f>
        <v/>
      </c>
      <c r="GS2" s="28" t="str">
        <f>IF(Nachfrage!GS2&gt;=10,4,"")</f>
        <v/>
      </c>
      <c r="GT2" s="28" t="str">
        <f>IF(Nachfrage!GT2&gt;=10,4,"")</f>
        <v/>
      </c>
      <c r="GU2" s="28" t="str">
        <f>IF(Nachfrage!GU2&gt;=10,4,"")</f>
        <v/>
      </c>
      <c r="GV2" s="28" t="str">
        <f>IF(Nachfrage!GV2&gt;=10,4,"")</f>
        <v/>
      </c>
      <c r="GW2" s="28" t="str">
        <f>IF(Nachfrage!GW2&gt;=10,4,"")</f>
        <v/>
      </c>
      <c r="GX2" s="28" t="str">
        <f>IF(Nachfrage!GX2&gt;=10,4,"")</f>
        <v/>
      </c>
      <c r="GY2" s="28" t="str">
        <f>IF(Nachfrage!GY2&gt;=10,4,"")</f>
        <v/>
      </c>
      <c r="GZ2" s="28" t="str">
        <f>IF(Nachfrage!GZ2&gt;=10,4,"")</f>
        <v/>
      </c>
      <c r="HA2" s="28" t="str">
        <f>IF(Nachfrage!HA2&gt;=10,4,"")</f>
        <v/>
      </c>
      <c r="HB2" s="28" t="str">
        <f>IF(Nachfrage!HB2&gt;=10,4,"")</f>
        <v/>
      </c>
      <c r="HC2" s="28" t="str">
        <f>IF(Nachfrage!HC2&gt;=10,4,"")</f>
        <v/>
      </c>
      <c r="HD2" s="28" t="str">
        <f>IF(Nachfrage!HD2&gt;=10,4,"")</f>
        <v/>
      </c>
      <c r="HE2" s="28" t="str">
        <f>IF(Nachfrage!HE2&gt;=10,4,"")</f>
        <v/>
      </c>
      <c r="HF2" s="28" t="str">
        <f>IF(Nachfrage!HF2&gt;=10,4,"")</f>
        <v/>
      </c>
      <c r="HG2" s="28" t="str">
        <f>IF(Nachfrage!HG2&gt;=10,4,"")</f>
        <v/>
      </c>
      <c r="HH2" s="28" t="str">
        <f>IF(Nachfrage!HH2&gt;=10,4,"")</f>
        <v/>
      </c>
      <c r="HI2" s="28" t="str">
        <f>IF(Nachfrage!HI2&gt;=10,4,"")</f>
        <v/>
      </c>
      <c r="HJ2" s="28" t="str">
        <f>IF(Nachfrage!HJ2&gt;=10,4,"")</f>
        <v/>
      </c>
      <c r="HK2" s="28" t="str">
        <f>IF(Nachfrage!HK2&gt;=10,4,"")</f>
        <v/>
      </c>
      <c r="HL2" s="28" t="str">
        <f>IF(Nachfrage!HL2&gt;=10,4,"")</f>
        <v/>
      </c>
      <c r="HM2" s="28" t="str">
        <f>IF(Nachfrage!HM2&gt;=10,4,"")</f>
        <v/>
      </c>
      <c r="HN2" s="28" t="str">
        <f>IF(Nachfrage!HN2&gt;=10,4,"")</f>
        <v/>
      </c>
      <c r="HO2" s="28" t="str">
        <f>IF(Nachfrage!HO2&gt;=10,4,"")</f>
        <v/>
      </c>
      <c r="HP2" s="28" t="str">
        <f>IF(Nachfrage!HP2&gt;=10,4,"")</f>
        <v/>
      </c>
      <c r="HQ2" s="28" t="str">
        <f>IF(Nachfrage!HQ2&gt;=10,4,"")</f>
        <v/>
      </c>
      <c r="HR2" s="28" t="str">
        <f>IF(Nachfrage!HR2&gt;=10,4,"")</f>
        <v/>
      </c>
      <c r="HS2" s="28" t="str">
        <f>IF(Nachfrage!HS2&gt;=10,4,"")</f>
        <v/>
      </c>
      <c r="HT2" s="28" t="str">
        <f>IF(Nachfrage!HT2&gt;=10,4,"")</f>
        <v/>
      </c>
      <c r="HU2" s="28" t="str">
        <f>IF(Nachfrage!HU2&gt;=10,4,"")</f>
        <v/>
      </c>
      <c r="HV2" s="28" t="str">
        <f>IF(Nachfrage!HV2&gt;=10,4,"")</f>
        <v/>
      </c>
      <c r="HW2" s="28" t="str">
        <f>IF(Nachfrage!HW2&gt;=10,4,"")</f>
        <v/>
      </c>
      <c r="HX2" s="28" t="str">
        <f>IF(Nachfrage!HX2&gt;=10,4,"")</f>
        <v/>
      </c>
      <c r="HY2" s="28" t="str">
        <f>IF(Nachfrage!HY2&gt;=10,4,"")</f>
        <v/>
      </c>
      <c r="HZ2" s="28" t="str">
        <f>IF(Nachfrage!HZ2&gt;=10,4,"")</f>
        <v/>
      </c>
      <c r="IA2" s="28" t="str">
        <f>IF(Nachfrage!IA2&gt;=10,4,"")</f>
        <v/>
      </c>
      <c r="IB2" s="28" t="str">
        <f>IF(Nachfrage!IB2&gt;=10,4,"")</f>
        <v/>
      </c>
      <c r="IC2" s="28" t="str">
        <f>IF(Nachfrage!IC2&gt;=10,4,"")</f>
        <v/>
      </c>
      <c r="ID2" s="28" t="str">
        <f>IF(Nachfrage!ID2&gt;=10,4,"")</f>
        <v/>
      </c>
      <c r="IE2" s="28" t="str">
        <f>IF(Nachfrage!IE2&gt;=10,4,"")</f>
        <v/>
      </c>
      <c r="IF2" s="28" t="str">
        <f>IF(Nachfrage!IF2&gt;=10,4,"")</f>
        <v/>
      </c>
      <c r="IG2" s="28" t="str">
        <f>IF(Nachfrage!IG2&gt;=10,4,"")</f>
        <v/>
      </c>
      <c r="IH2" s="28" t="str">
        <f>IF(Nachfrage!IH2&gt;=10,4,"")</f>
        <v/>
      </c>
      <c r="II2" s="28" t="str">
        <f>IF(Nachfrage!II2&gt;=10,4,"")</f>
        <v/>
      </c>
      <c r="IJ2" s="28" t="str">
        <f>IF(Nachfrage!IJ2&gt;=10,4,"")</f>
        <v/>
      </c>
      <c r="IK2" s="28" t="str">
        <f>IF(Nachfrage!IK2&gt;=10,4,"")</f>
        <v/>
      </c>
      <c r="IL2" s="28" t="str">
        <f>IF(Nachfrage!IL2&gt;=10,4,"")</f>
        <v/>
      </c>
      <c r="IM2" s="28" t="str">
        <f>IF(Nachfrage!IM2&gt;=10,4,"")</f>
        <v/>
      </c>
      <c r="IN2" s="28" t="str">
        <f>IF(Nachfrage!IN2&gt;=10,4,"")</f>
        <v/>
      </c>
      <c r="IO2" s="28" t="str">
        <f>IF(Nachfrage!IO2&gt;=10,4,"")</f>
        <v/>
      </c>
      <c r="IP2" s="28" t="str">
        <f>IF(Nachfrage!IP2&gt;=10,4,"")</f>
        <v/>
      </c>
      <c r="IQ2" s="28" t="str">
        <f>IF(Nachfrage!IQ2&gt;=10,4,"")</f>
        <v/>
      </c>
      <c r="IR2" s="28" t="str">
        <f>IF(Nachfrage!IR2&gt;=10,4,"")</f>
        <v/>
      </c>
      <c r="IS2" s="28" t="str">
        <f>IF(Nachfrage!IS2&gt;=10,4,"")</f>
        <v/>
      </c>
      <c r="IT2" s="28" t="str">
        <f>IF(Nachfrage!IT2&gt;=10,4,"")</f>
        <v/>
      </c>
      <c r="IU2" s="28" t="str">
        <f>IF(Nachfrage!IU2&gt;=10,4,"")</f>
        <v/>
      </c>
      <c r="IV2" s="28" t="str">
        <f>IF(Nachfrage!IV2&gt;=10,4,"")</f>
        <v/>
      </c>
      <c r="IW2" s="28" t="str">
        <f>IF(Nachfrage!IW2&gt;=10,4,"")</f>
        <v/>
      </c>
      <c r="IX2" s="28" t="str">
        <f>IF(Nachfrage!IX2&gt;=10,4,"")</f>
        <v/>
      </c>
      <c r="IY2" s="28" t="str">
        <f>IF(Nachfrage!IY2&gt;=10,4,"")</f>
        <v/>
      </c>
      <c r="IZ2" s="28" t="str">
        <f>IF(Nachfrage!IZ2&gt;=10,4,"")</f>
        <v/>
      </c>
      <c r="JA2" s="28" t="str">
        <f>IF(Nachfrage!JA2&gt;=10,4,"")</f>
        <v/>
      </c>
      <c r="JB2" s="28" t="str">
        <f>IF(Nachfrage!JB2&gt;=10,4,"")</f>
        <v/>
      </c>
      <c r="JC2" s="28" t="str">
        <f>IF(Nachfrage!JC2&gt;=10,4,"")</f>
        <v/>
      </c>
      <c r="JD2" s="28" t="str">
        <f>IF(Nachfrage!JD2&gt;=10,4,"")</f>
        <v/>
      </c>
      <c r="JE2" s="28" t="str">
        <f>IF(Nachfrage!JE2&gt;=10,4,"")</f>
        <v/>
      </c>
      <c r="JF2" s="28" t="str">
        <f>IF(Nachfrage!JF2&gt;=10,4,"")</f>
        <v/>
      </c>
      <c r="JG2" s="28" t="str">
        <f>IF(Nachfrage!JG2&gt;=10,4,"")</f>
        <v/>
      </c>
      <c r="JH2" s="28" t="str">
        <f>IF(Nachfrage!JH2&gt;=10,4,"")</f>
        <v/>
      </c>
      <c r="JI2" s="28" t="str">
        <f>IF(Nachfrage!JI2&gt;=10,4,"")</f>
        <v/>
      </c>
      <c r="JJ2" s="28" t="str">
        <f>IF(Nachfrage!JJ2&gt;=10,4,"")</f>
        <v/>
      </c>
      <c r="JK2" s="28" t="str">
        <f>IF(Nachfrage!JK2&gt;=10,4,"")</f>
        <v/>
      </c>
      <c r="JL2" s="28" t="str">
        <f>IF(Nachfrage!JL2&gt;=10,4,"")</f>
        <v/>
      </c>
      <c r="JM2" s="28" t="str">
        <f>IF(Nachfrage!JM2&gt;=10,4,"")</f>
        <v/>
      </c>
      <c r="JN2" s="28" t="str">
        <f>IF(Nachfrage!JN2&gt;=10,4,"")</f>
        <v/>
      </c>
      <c r="JO2" s="28" t="str">
        <f>IF(Nachfrage!JO2&gt;=10,4,"")</f>
        <v/>
      </c>
      <c r="JP2" s="28" t="str">
        <f>IF(Nachfrage!JP2&gt;=10,4,"")</f>
        <v/>
      </c>
      <c r="JQ2" s="28" t="str">
        <f>IF(Nachfrage!JQ2&gt;=10,4,"")</f>
        <v/>
      </c>
      <c r="JR2" s="28" t="str">
        <f>IF(Nachfrage!JR2&gt;=10,4,"")</f>
        <v/>
      </c>
      <c r="JS2" s="28" t="str">
        <f>IF(Nachfrage!JS2&gt;=10,4,"")</f>
        <v/>
      </c>
      <c r="JT2" s="28" t="str">
        <f>IF(Nachfrage!JT2&gt;=10,4,"")</f>
        <v/>
      </c>
      <c r="JU2" s="28" t="str">
        <f>IF(Nachfrage!JU2&gt;=10,4,"")</f>
        <v/>
      </c>
      <c r="JV2" s="28" t="str">
        <f>IF(Nachfrage!JV2&gt;=10,4,"")</f>
        <v/>
      </c>
      <c r="JW2" s="28" t="str">
        <f>IF(Nachfrage!JW2&gt;=10,4,"")</f>
        <v/>
      </c>
      <c r="JX2" s="28" t="str">
        <f>IF(Nachfrage!JX2&gt;=10,4,"")</f>
        <v/>
      </c>
      <c r="JY2" s="28" t="str">
        <f>IF(Nachfrage!JY2&gt;=10,4,"")</f>
        <v/>
      </c>
      <c r="JZ2" s="28" t="str">
        <f>IF(Nachfrage!JZ2&gt;=10,4,"")</f>
        <v/>
      </c>
      <c r="KA2" s="28" t="str">
        <f>IF(Nachfrage!KA2&gt;=10,4,"")</f>
        <v/>
      </c>
      <c r="KB2" s="28" t="str">
        <f>IF(Nachfrage!KB2&gt;=10,4,"")</f>
        <v/>
      </c>
      <c r="KC2" s="28" t="str">
        <f>IF(Nachfrage!KC2&gt;=10,4,"")</f>
        <v/>
      </c>
      <c r="KD2" s="28" t="str">
        <f>IF(Nachfrage!KD2&gt;=10,4,"")</f>
        <v/>
      </c>
      <c r="KE2" s="28" t="str">
        <f>IF(Nachfrage!KE2&gt;=10,4,"")</f>
        <v/>
      </c>
      <c r="KF2" s="28" t="str">
        <f>IF(Nachfrage!KF2&gt;=10,4,"")</f>
        <v/>
      </c>
      <c r="KG2" s="28" t="str">
        <f>IF(Nachfrage!KG2&gt;=10,4,"")</f>
        <v/>
      </c>
      <c r="KH2" s="28" t="str">
        <f>IF(Nachfrage!KH2&gt;=10,4,"")</f>
        <v/>
      </c>
      <c r="KI2" s="28" t="str">
        <f>IF(Nachfrage!KI2&gt;=10,4,"")</f>
        <v/>
      </c>
      <c r="KJ2" s="28" t="str">
        <f>IF(Nachfrage!KJ2&gt;=10,4,"")</f>
        <v/>
      </c>
      <c r="KK2" s="28" t="str">
        <f>IF(Nachfrage!KK2&gt;=10,4,"")</f>
        <v/>
      </c>
      <c r="KL2" s="28" t="str">
        <f>IF(Nachfrage!KL2&gt;=10,4,"")</f>
        <v/>
      </c>
      <c r="KM2" s="28" t="str">
        <f>IF(Nachfrage!KM2&gt;=10,4,"")</f>
        <v/>
      </c>
      <c r="KN2" s="28" t="str">
        <f>IF(Nachfrage!KN2&gt;=10,4,"")</f>
        <v/>
      </c>
      <c r="KO2" s="28" t="str">
        <f>IF(Nachfrage!KO2&gt;=10,4,"")</f>
        <v/>
      </c>
      <c r="KP2" s="28" t="str">
        <f>IF(Nachfrage!KP2&gt;=10,4,"")</f>
        <v/>
      </c>
      <c r="KQ2" s="28" t="str">
        <f>IF(Nachfrage!KQ2&gt;=10,4,"")</f>
        <v/>
      </c>
      <c r="KR2" s="28" t="str">
        <f>IF(Nachfrage!KR2&gt;=10,4,"")</f>
        <v/>
      </c>
      <c r="KS2" s="28" t="str">
        <f>IF(Nachfrage!KS2&gt;=10,4,"")</f>
        <v/>
      </c>
      <c r="KT2" s="28" t="str">
        <f>IF(Nachfrage!KT2&gt;=10,4,"")</f>
        <v/>
      </c>
      <c r="KU2" s="28" t="str">
        <f>IF(Nachfrage!KU2&gt;=10,4,"")</f>
        <v/>
      </c>
      <c r="KV2" s="28" t="str">
        <f>IF(Nachfrage!KV2&gt;=10,4,"")</f>
        <v/>
      </c>
      <c r="KW2" s="28" t="str">
        <f>IF(Nachfrage!KW2&gt;=10,4,"")</f>
        <v/>
      </c>
      <c r="KX2" s="28" t="str">
        <f>IF(Nachfrage!KX2&gt;=10,4,"")</f>
        <v/>
      </c>
      <c r="KY2" s="28" t="str">
        <f>IF(Nachfrage!KY2&gt;=10,4,"")</f>
        <v/>
      </c>
      <c r="KZ2" s="28" t="str">
        <f>IF(Nachfrage!KZ2&gt;=10,4,"")</f>
        <v/>
      </c>
      <c r="LA2" s="28" t="str">
        <f>IF(Nachfrage!LA2&gt;=10,4,"")</f>
        <v/>
      </c>
      <c r="LB2" s="28" t="str">
        <f>IF(Nachfrage!LB2&gt;=10,4,"")</f>
        <v/>
      </c>
      <c r="LC2" s="28" t="str">
        <f>IF(Nachfrage!LC2&gt;=10,4,"")</f>
        <v/>
      </c>
      <c r="LD2" s="28" t="str">
        <f>IF(Nachfrage!LD2&gt;=10,4,"")</f>
        <v/>
      </c>
      <c r="LE2" s="28" t="str">
        <f>IF(Nachfrage!LE2&gt;=10,4,"")</f>
        <v/>
      </c>
      <c r="LF2" s="28" t="str">
        <f>IF(Nachfrage!LF2&gt;=10,4,"")</f>
        <v/>
      </c>
      <c r="LG2" s="28" t="str">
        <f>IF(Nachfrage!LG2&gt;=10,4,"")</f>
        <v/>
      </c>
      <c r="LH2" s="28" t="str">
        <f>IF(Nachfrage!LH2&gt;=10,4,"")</f>
        <v/>
      </c>
      <c r="LI2" s="28" t="str">
        <f>IF(Nachfrage!LI2&gt;=10,4,"")</f>
        <v/>
      </c>
      <c r="LJ2" s="28" t="str">
        <f>IF(Nachfrage!LJ2&gt;=10,4,"")</f>
        <v/>
      </c>
      <c r="LK2" s="28" t="str">
        <f>IF(Nachfrage!LK2&gt;=10,4,"")</f>
        <v/>
      </c>
      <c r="LL2" s="28" t="str">
        <f>IF(Nachfrage!LL2&gt;=10,4,"")</f>
        <v/>
      </c>
      <c r="LM2" s="28" t="str">
        <f>IF(Nachfrage!LM2&gt;=10,4,"")</f>
        <v/>
      </c>
      <c r="LN2" s="28" t="str">
        <f>IF(Nachfrage!LN2&gt;=10,4,"")</f>
        <v/>
      </c>
      <c r="LO2" s="28" t="str">
        <f>IF(Nachfrage!LO2&gt;=10,4,"")</f>
        <v/>
      </c>
      <c r="LP2" s="28" t="str">
        <f>IF(Nachfrage!LP2&gt;=10,4,"")</f>
        <v/>
      </c>
      <c r="LQ2" s="28" t="str">
        <f>IF(Nachfrage!LQ2&gt;=10,4,"")</f>
        <v/>
      </c>
      <c r="LR2" s="28" t="str">
        <f>IF(Nachfrage!LR2&gt;=10,4,"")</f>
        <v/>
      </c>
      <c r="LS2" s="28" t="str">
        <f>IF(Nachfrage!LS2&gt;=10,4,"")</f>
        <v/>
      </c>
      <c r="LT2" s="28" t="str">
        <f>IF(Nachfrage!LT2&gt;=10,4,"")</f>
        <v/>
      </c>
      <c r="LU2" s="28" t="str">
        <f>IF(Nachfrage!LU2&gt;=10,4,"")</f>
        <v/>
      </c>
      <c r="LV2" s="28" t="str">
        <f>IF(Nachfrage!LV2&gt;=10,4,"")</f>
        <v/>
      </c>
      <c r="LW2" s="28" t="str">
        <f>IF(Nachfrage!LW2&gt;=10,4,"")</f>
        <v/>
      </c>
      <c r="LX2" s="28" t="str">
        <f>IF(Nachfrage!LX2&gt;=10,4,"")</f>
        <v/>
      </c>
      <c r="LY2" s="28" t="str">
        <f>IF(Nachfrage!LY2&gt;=10,4,"")</f>
        <v/>
      </c>
      <c r="LZ2" s="28" t="str">
        <f>IF(Nachfrage!LZ2&gt;=10,4,"")</f>
        <v/>
      </c>
      <c r="MA2" s="28" t="str">
        <f>IF(Nachfrage!MA2&gt;=10,4,"")</f>
        <v/>
      </c>
      <c r="MB2" s="28" t="str">
        <f>IF(Nachfrage!MB2&gt;=10,4,"")</f>
        <v/>
      </c>
      <c r="MC2" s="28" t="str">
        <f>IF(Nachfrage!MC2&gt;=10,4,"")</f>
        <v/>
      </c>
      <c r="MD2" s="28" t="str">
        <f>IF(Nachfrage!MD2&gt;=10,4,"")</f>
        <v/>
      </c>
      <c r="ME2" s="28" t="str">
        <f>IF(Nachfrage!ME2&gt;=10,4,"")</f>
        <v/>
      </c>
      <c r="MF2" s="28" t="str">
        <f>IF(Nachfrage!MF2&gt;=10,4,"")</f>
        <v/>
      </c>
      <c r="MG2" s="28" t="str">
        <f>IF(Nachfrage!MG2&gt;=10,4,"")</f>
        <v/>
      </c>
      <c r="MH2" s="28" t="str">
        <f>IF(Nachfrage!MH2&gt;=10,4,"")</f>
        <v/>
      </c>
      <c r="MI2" s="28" t="str">
        <f>IF(Nachfrage!MI2&gt;=10,4,"")</f>
        <v/>
      </c>
      <c r="MJ2" s="28" t="str">
        <f>IF(Nachfrage!MJ2&gt;=10,4,"")</f>
        <v/>
      </c>
      <c r="MK2" s="28" t="str">
        <f>IF(Nachfrage!MK2&gt;=10,4,"")</f>
        <v/>
      </c>
      <c r="ML2" s="28" t="str">
        <f>IF(Nachfrage!ML2&gt;=10,4,"")</f>
        <v/>
      </c>
      <c r="MM2" s="28" t="str">
        <f>IF(Nachfrage!MM2&gt;=10,4,"")</f>
        <v/>
      </c>
      <c r="MN2" s="28" t="str">
        <f>IF(Nachfrage!MN2&gt;=10,4,"")</f>
        <v/>
      </c>
      <c r="MO2" s="28" t="str">
        <f>IF(Nachfrage!MO2&gt;=10,4,"")</f>
        <v/>
      </c>
      <c r="MP2" s="28" t="str">
        <f>IF(Nachfrage!MP2&gt;=10,4,"")</f>
        <v/>
      </c>
      <c r="MQ2" s="28" t="str">
        <f>IF(Nachfrage!MQ2&gt;=10,4,"")</f>
        <v/>
      </c>
      <c r="MR2" s="28" t="str">
        <f>IF(Nachfrage!MR2&gt;=10,4,"")</f>
        <v/>
      </c>
      <c r="MS2" s="28" t="str">
        <f>IF(Nachfrage!MS2&gt;=10,4,"")</f>
        <v/>
      </c>
      <c r="MT2" s="28" t="str">
        <f>IF(Nachfrage!MT2&gt;=10,4,"")</f>
        <v/>
      </c>
      <c r="MU2" s="28" t="str">
        <f>IF(Nachfrage!MU2&gt;=10,4,"")</f>
        <v/>
      </c>
      <c r="MV2" s="28" t="str">
        <f>IF(Nachfrage!MV2&gt;=10,4,"")</f>
        <v/>
      </c>
      <c r="MW2" s="28" t="str">
        <f>IF(Nachfrage!MW2&gt;=10,4,"")</f>
        <v/>
      </c>
      <c r="MX2" s="28" t="str">
        <f>IF(Nachfrage!MX2&gt;=10,4,"")</f>
        <v/>
      </c>
      <c r="MY2" s="28" t="str">
        <f>IF(Nachfrage!MY2&gt;=10,4,"")</f>
        <v/>
      </c>
      <c r="MZ2" s="28" t="str">
        <f>IF(Nachfrage!MZ2&gt;=10,4,"")</f>
        <v/>
      </c>
      <c r="NA2" s="28" t="str">
        <f>IF(Nachfrage!NA2&gt;=10,4,"")</f>
        <v/>
      </c>
      <c r="NB2" s="28" t="str">
        <f>IF(Nachfrage!NB2&gt;=10,4,"")</f>
        <v/>
      </c>
      <c r="NC2" s="28" t="str">
        <f>IF(Nachfrage!NC2&gt;=10,4,"")</f>
        <v/>
      </c>
      <c r="ND2" s="28" t="str">
        <f>IF(Nachfrage!ND2&gt;=10,4,"")</f>
        <v/>
      </c>
      <c r="NE2" s="28" t="str">
        <f>IF(Nachfrage!NE2&gt;=10,4,"")</f>
        <v/>
      </c>
      <c r="NF2" s="28" t="str">
        <f>IF(Nachfrage!NF2&gt;=10,4,"")</f>
        <v/>
      </c>
      <c r="NG2" s="28" t="str">
        <f>IF(Nachfrage!NG2&gt;=10,4,"")</f>
        <v/>
      </c>
      <c r="NH2" s="28" t="str">
        <f>IF(Nachfrage!NH2&gt;=10,4,"")</f>
        <v/>
      </c>
      <c r="NI2" s="28" t="str">
        <f>IF(Nachfrage!NI2&gt;=10,4,"")</f>
        <v/>
      </c>
      <c r="NJ2" s="28" t="str">
        <f>IF(Nachfrage!NJ2&gt;=10,4,"")</f>
        <v/>
      </c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</row>
    <row r="20" spans="1:374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22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22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22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22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7"/>
      <c r="C29" s="15"/>
      <c r="D29" s="15"/>
      <c r="E29" s="15"/>
      <c r="F29" s="15"/>
      <c r="G29" s="15"/>
      <c r="H29" s="14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5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5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5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5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5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5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5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NJ36"/>
  <sheetViews>
    <sheetView zoomScale="80" zoomScaleNormal="80" workbookViewId="0">
      <selection activeCell="E33" sqref="E33"/>
    </sheetView>
  </sheetViews>
  <sheetFormatPr baseColWidth="10" defaultColWidth="11.42578125" defaultRowHeight="15" x14ac:dyDescent="0.25"/>
  <cols>
    <col min="1" max="1" width="5.140625" style="27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style="27" bestFit="1" customWidth="1"/>
    <col min="10" max="10" width="3.42578125" style="27" bestFit="1" customWidth="1"/>
    <col min="11" max="11" width="4.42578125" style="27" bestFit="1" customWidth="1"/>
    <col min="12" max="12" width="3.7109375" style="27" bestFit="1" customWidth="1"/>
    <col min="13" max="13" width="4.5703125" style="27" bestFit="1" customWidth="1"/>
    <col min="14" max="14" width="3.42578125" style="27" bestFit="1" customWidth="1"/>
    <col min="15" max="17" width="4.5703125" style="27" bestFit="1" customWidth="1"/>
    <col min="18" max="18" width="3.85546875" style="27" bestFit="1" customWidth="1"/>
    <col min="19" max="19" width="3.5703125" style="27" bestFit="1" customWidth="1"/>
    <col min="20" max="20" width="3.42578125" style="27" bestFit="1" customWidth="1"/>
    <col min="21" max="21" width="3.85546875" style="27" bestFit="1" customWidth="1"/>
    <col min="22" max="22" width="5" style="27" bestFit="1" customWidth="1"/>
    <col min="23" max="23" width="3.42578125" style="27" bestFit="1" customWidth="1"/>
    <col min="24" max="24" width="5" style="27" bestFit="1" customWidth="1"/>
    <col min="25" max="25" width="4.28515625" style="27" bestFit="1" customWidth="1"/>
    <col min="26" max="26" width="3.5703125" style="27" bestFit="1" customWidth="1"/>
    <col min="27" max="28" width="5.140625" style="27" bestFit="1" customWidth="1"/>
    <col min="29" max="39" width="3.85546875" style="27" bestFit="1" customWidth="1"/>
    <col min="40" max="41" width="3.42578125" style="27" bestFit="1" customWidth="1"/>
    <col min="42" max="42" width="5" style="27" bestFit="1" customWidth="1"/>
    <col min="43" max="43" width="3.7109375" style="27" bestFit="1" customWidth="1"/>
    <col min="44" max="45" width="5" style="27" bestFit="1" customWidth="1"/>
    <col min="46" max="46" width="4.42578125" style="27" bestFit="1" customWidth="1"/>
    <col min="47" max="47" width="4.140625" style="27" bestFit="1" customWidth="1"/>
    <col min="48" max="49" width="4.85546875" style="27" bestFit="1" customWidth="1"/>
    <col min="50" max="50" width="3.42578125" style="27" bestFit="1" customWidth="1"/>
    <col min="51" max="51" width="4.42578125" style="27" bestFit="1" customWidth="1"/>
    <col min="52" max="52" width="3.7109375" style="27" bestFit="1" customWidth="1"/>
    <col min="53" max="53" width="4.5703125" style="27" bestFit="1" customWidth="1"/>
    <col min="54" max="54" width="3.42578125" style="27" bestFit="1" customWidth="1"/>
    <col min="55" max="57" width="4.5703125" style="27" bestFit="1" customWidth="1"/>
    <col min="58" max="58" width="3.85546875" style="27" bestFit="1" customWidth="1"/>
    <col min="59" max="59" width="3.5703125" style="27" bestFit="1" customWidth="1"/>
    <col min="60" max="60" width="3.42578125" style="27" bestFit="1" customWidth="1"/>
    <col min="61" max="61" width="3.85546875" style="27" bestFit="1" customWidth="1"/>
    <col min="62" max="62" width="5" style="27" bestFit="1" customWidth="1"/>
    <col min="63" max="63" width="3.42578125" style="27" bestFit="1" customWidth="1"/>
    <col min="64" max="64" width="5" style="27" bestFit="1" customWidth="1"/>
    <col min="65" max="65" width="4.28515625" style="27" bestFit="1" customWidth="1"/>
    <col min="66" max="66" width="3.5703125" style="27" bestFit="1" customWidth="1"/>
    <col min="67" max="107" width="3.42578125" style="27" bestFit="1" customWidth="1"/>
    <col min="108" max="372" width="4.42578125" style="27" bestFit="1" customWidth="1"/>
    <col min="373" max="374" width="4.42578125" style="27" customWidth="1"/>
    <col min="375" max="16384" width="11.42578125" style="27"/>
  </cols>
  <sheetData>
    <row r="1" spans="1:374" x14ac:dyDescent="0.25">
      <c r="A1" s="19" t="s">
        <v>79</v>
      </c>
      <c r="B1" s="25">
        <v>-6</v>
      </c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5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/>
      <c r="J5" s="28">
        <v>1</v>
      </c>
      <c r="K5" s="28">
        <v>1</v>
      </c>
      <c r="L5" s="28">
        <v>1</v>
      </c>
      <c r="M5" s="28">
        <v>0</v>
      </c>
      <c r="N5" s="28">
        <v>1</v>
      </c>
      <c r="O5" s="28"/>
      <c r="P5" s="28"/>
      <c r="Q5" s="28">
        <v>1</v>
      </c>
      <c r="R5" s="28">
        <v>1</v>
      </c>
      <c r="S5" s="28">
        <v>1</v>
      </c>
      <c r="T5" s="28">
        <v>0</v>
      </c>
      <c r="U5" s="28">
        <v>1</v>
      </c>
      <c r="V5" s="28"/>
      <c r="W5" s="28"/>
      <c r="X5" s="28">
        <v>1</v>
      </c>
      <c r="Y5" s="28">
        <v>1</v>
      </c>
      <c r="Z5" s="28">
        <v>1</v>
      </c>
      <c r="AA5" s="28">
        <v>0</v>
      </c>
      <c r="AB5" s="28">
        <v>1</v>
      </c>
      <c r="AC5" s="28"/>
      <c r="AD5" s="28"/>
      <c r="AE5" s="28">
        <v>1</v>
      </c>
      <c r="AF5" s="28">
        <v>1</v>
      </c>
      <c r="AG5" s="28">
        <v>1</v>
      </c>
      <c r="AH5" s="28">
        <v>0</v>
      </c>
      <c r="AI5" s="28">
        <v>1</v>
      </c>
      <c r="AJ5" s="28"/>
      <c r="AK5" s="28"/>
      <c r="AL5" s="28">
        <v>1</v>
      </c>
      <c r="AM5" s="28">
        <v>1</v>
      </c>
      <c r="AN5" s="28">
        <v>1</v>
      </c>
      <c r="AO5" s="28">
        <v>0</v>
      </c>
      <c r="AP5" s="28">
        <v>1</v>
      </c>
      <c r="AQ5" s="28"/>
      <c r="AR5" s="28"/>
      <c r="AS5" s="28">
        <v>1</v>
      </c>
      <c r="AT5" s="28">
        <v>1</v>
      </c>
      <c r="AU5" s="28">
        <v>1</v>
      </c>
      <c r="AV5" s="28">
        <v>0</v>
      </c>
      <c r="AW5" s="28">
        <v>1</v>
      </c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39"/>
      <c r="KU11" s="39"/>
      <c r="KV11" s="39"/>
      <c r="KW11" s="39"/>
      <c r="KX11" s="39"/>
      <c r="KY11" s="39"/>
      <c r="KZ11" s="39"/>
      <c r="LA11" s="39"/>
      <c r="LB11" s="39"/>
      <c r="LC11" s="39"/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39"/>
      <c r="LU11" s="39"/>
      <c r="LV11" s="39"/>
      <c r="LW11" s="39"/>
      <c r="LX11" s="39"/>
      <c r="LY11" s="39"/>
      <c r="LZ11" s="39"/>
      <c r="MA11" s="39"/>
      <c r="MB11" s="39"/>
      <c r="MC11" s="39"/>
      <c r="MD11" s="39"/>
      <c r="ME11" s="39"/>
      <c r="MF11" s="39"/>
      <c r="MG11" s="39"/>
      <c r="MH11" s="39"/>
      <c r="MI11" s="39"/>
      <c r="MJ11" s="39"/>
      <c r="MK11" s="39"/>
      <c r="ML11" s="39"/>
      <c r="MM11" s="39"/>
      <c r="MN11" s="39"/>
      <c r="MO11" s="39"/>
      <c r="MP11" s="39"/>
      <c r="MQ11" s="39"/>
      <c r="MR11" s="39"/>
      <c r="MS11" s="39"/>
      <c r="MT11" s="39"/>
      <c r="MU11" s="39"/>
      <c r="MV11" s="39"/>
      <c r="MW11" s="39"/>
      <c r="MX11" s="39"/>
      <c r="MY11" s="39"/>
      <c r="MZ11" s="39"/>
      <c r="NA11" s="39"/>
      <c r="NB11" s="39"/>
      <c r="NC11" s="39"/>
      <c r="ND11" s="39"/>
      <c r="NE11" s="39"/>
      <c r="NF11" s="39"/>
      <c r="NG11" s="39"/>
      <c r="NH11" s="39"/>
      <c r="NI11" s="39"/>
      <c r="NJ11" s="39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>
        <f>Nachfrage!I19</f>
        <v>0</v>
      </c>
      <c r="J19" s="40">
        <f>Nachfrage!J19</f>
        <v>1</v>
      </c>
      <c r="K19" s="40">
        <f>Nachfrage!K19</f>
        <v>1</v>
      </c>
      <c r="L19" s="40">
        <f>Nachfrage!L19</f>
        <v>1</v>
      </c>
      <c r="M19" s="40">
        <f>Nachfrage!M19</f>
        <v>1</v>
      </c>
      <c r="N19" s="40">
        <f>Nachfrage!N19</f>
        <v>1</v>
      </c>
      <c r="O19" s="40">
        <f>Nachfrage!O19</f>
        <v>0</v>
      </c>
      <c r="P19" s="40">
        <f>Nachfrage!P19</f>
        <v>0</v>
      </c>
      <c r="Q19" s="40">
        <f>Nachfrage!Q19</f>
        <v>1</v>
      </c>
      <c r="R19" s="40">
        <f>Nachfrage!R19</f>
        <v>1</v>
      </c>
      <c r="S19" s="40">
        <f>Nachfrage!S19</f>
        <v>1</v>
      </c>
      <c r="T19" s="40">
        <f>Nachfrage!T19</f>
        <v>1</v>
      </c>
      <c r="U19" s="40">
        <f>Nachfrage!U19</f>
        <v>1</v>
      </c>
      <c r="V19" s="40">
        <f>Nachfrage!V19</f>
        <v>0</v>
      </c>
      <c r="W19" s="40">
        <f>Nachfrage!W19</f>
        <v>0</v>
      </c>
      <c r="X19" s="40">
        <f>Nachfrage!X19</f>
        <v>1</v>
      </c>
      <c r="Y19" s="40">
        <f>Nachfrage!Y19</f>
        <v>1</v>
      </c>
      <c r="Z19" s="40">
        <f>Nachfrage!Z19</f>
        <v>1</v>
      </c>
      <c r="AA19" s="40">
        <f>Nachfrage!AA19</f>
        <v>1</v>
      </c>
      <c r="AB19" s="40">
        <f>Nachfrage!AB19</f>
        <v>1</v>
      </c>
      <c r="AC19" s="40">
        <f>Nachfrage!AC19</f>
        <v>0</v>
      </c>
      <c r="AD19" s="40">
        <f>Nachfrage!AD19</f>
        <v>0</v>
      </c>
      <c r="AE19" s="40">
        <f>Nachfrage!AE19</f>
        <v>1</v>
      </c>
      <c r="AF19" s="40">
        <f>Nachfrage!AF19</f>
        <v>1</v>
      </c>
      <c r="AG19" s="40">
        <f>Nachfrage!AG19</f>
        <v>1</v>
      </c>
      <c r="AH19" s="40">
        <f>Nachfrage!AH19</f>
        <v>1</v>
      </c>
      <c r="AI19" s="40">
        <f>Nachfrage!AI19</f>
        <v>1</v>
      </c>
      <c r="AJ19" s="40">
        <f>Nachfrage!AJ19</f>
        <v>0</v>
      </c>
      <c r="AK19" s="40">
        <f>Nachfrage!AK19</f>
        <v>0</v>
      </c>
      <c r="AL19" s="40">
        <f>Nachfrage!AL19</f>
        <v>1</v>
      </c>
      <c r="AM19" s="40">
        <f>Nachfrage!AM19</f>
        <v>1</v>
      </c>
      <c r="AN19" s="40">
        <f>Nachfrage!AN19</f>
        <v>1</v>
      </c>
      <c r="AO19" s="40">
        <f>Nachfrage!AO19</f>
        <v>1</v>
      </c>
      <c r="AP19" s="40">
        <f>Nachfrage!AP19</f>
        <v>1</v>
      </c>
      <c r="AQ19" s="40">
        <f>Nachfrage!AQ19</f>
        <v>0</v>
      </c>
      <c r="AR19" s="40">
        <f>Nachfrage!AR19</f>
        <v>0</v>
      </c>
      <c r="AS19" s="40">
        <f>Nachfrage!AS19</f>
        <v>1</v>
      </c>
      <c r="AT19" s="40">
        <f>Nachfrage!AT19</f>
        <v>1</v>
      </c>
      <c r="AU19" s="40">
        <f>Nachfrage!AU19</f>
        <v>0</v>
      </c>
      <c r="AV19" s="40">
        <f>Nachfrage!AV19</f>
        <v>0</v>
      </c>
      <c r="AW19" s="40">
        <f>Nachfrage!AW19</f>
        <v>0</v>
      </c>
      <c r="AX19" s="40">
        <f>Nachfrage!AX19</f>
        <v>0</v>
      </c>
      <c r="AY19" s="40">
        <f>Nachfrage!AY19</f>
        <v>0</v>
      </c>
      <c r="AZ19" s="40">
        <f>Nachfrage!AZ19</f>
        <v>0</v>
      </c>
      <c r="BA19" s="40">
        <f>Nachfrage!BA19</f>
        <v>0</v>
      </c>
      <c r="BB19" s="40">
        <f>Nachfrage!BB19</f>
        <v>0</v>
      </c>
      <c r="BC19" s="40">
        <f>Nachfrage!BC19</f>
        <v>0</v>
      </c>
      <c r="BD19" s="40">
        <f>Nachfrage!BD19</f>
        <v>0</v>
      </c>
      <c r="BE19" s="40">
        <f>Nachfrage!BE19</f>
        <v>0</v>
      </c>
      <c r="BF19" s="40">
        <f>Nachfrage!BF19</f>
        <v>0</v>
      </c>
      <c r="BG19" s="40">
        <f>Nachfrage!BG19</f>
        <v>0</v>
      </c>
      <c r="BH19" s="40">
        <f>Nachfrage!BH19</f>
        <v>0</v>
      </c>
      <c r="BI19" s="40">
        <f>Nachfrage!BI19</f>
        <v>0</v>
      </c>
      <c r="BJ19" s="40">
        <f>Nachfrage!BJ19</f>
        <v>0</v>
      </c>
      <c r="BK19" s="40">
        <f>Nachfrage!BK19</f>
        <v>0</v>
      </c>
      <c r="BL19" s="40">
        <f>Nachfrage!BL19</f>
        <v>0</v>
      </c>
      <c r="BM19" s="40">
        <f>Nachfrage!BM19</f>
        <v>0</v>
      </c>
      <c r="BN19" s="40">
        <f>Nachfrage!BN19</f>
        <v>0</v>
      </c>
      <c r="BO19" s="40">
        <f>Nachfrage!BO19</f>
        <v>0</v>
      </c>
      <c r="BP19" s="40">
        <f>Nachfrage!BP19</f>
        <v>0</v>
      </c>
      <c r="BQ19" s="40">
        <f>Nachfrage!BQ19</f>
        <v>0</v>
      </c>
      <c r="BR19" s="40">
        <f>Nachfrage!BR19</f>
        <v>0</v>
      </c>
      <c r="BS19" s="40">
        <f>Nachfrage!BS19</f>
        <v>0</v>
      </c>
      <c r="BT19" s="40">
        <f>Nachfrage!BT19</f>
        <v>0</v>
      </c>
      <c r="BU19" s="40">
        <f>Nachfrage!BU19</f>
        <v>0</v>
      </c>
      <c r="BV19" s="40">
        <f>Nachfrage!BV19</f>
        <v>0</v>
      </c>
      <c r="BW19" s="40">
        <f>Nachfrage!BW19</f>
        <v>0</v>
      </c>
      <c r="BX19" s="40">
        <f>Nachfrage!BX19</f>
        <v>0</v>
      </c>
      <c r="BY19" s="40">
        <f>Nachfrage!BY19</f>
        <v>0</v>
      </c>
      <c r="BZ19" s="40">
        <f>Nachfrage!BZ19</f>
        <v>0</v>
      </c>
      <c r="CA19" s="40">
        <f>Nachfrage!CA19</f>
        <v>0</v>
      </c>
      <c r="CB19" s="40">
        <f>Nachfrage!CB19</f>
        <v>0</v>
      </c>
      <c r="CC19" s="40">
        <f>Nachfrage!CC19</f>
        <v>0</v>
      </c>
      <c r="CD19" s="40">
        <f>Nachfrage!CD19</f>
        <v>0</v>
      </c>
      <c r="CE19" s="40">
        <f>Nachfrage!CE19</f>
        <v>0</v>
      </c>
      <c r="CF19" s="40">
        <f>Nachfrage!CF19</f>
        <v>0</v>
      </c>
      <c r="CG19" s="40">
        <f>Nachfrage!CG19</f>
        <v>0</v>
      </c>
      <c r="CH19" s="40">
        <f>Nachfrage!CH19</f>
        <v>0</v>
      </c>
      <c r="CI19" s="40">
        <f>Nachfrage!CI19</f>
        <v>0</v>
      </c>
      <c r="CJ19" s="40">
        <f>Nachfrage!CJ19</f>
        <v>0</v>
      </c>
      <c r="CK19" s="40">
        <f>Nachfrage!CK19</f>
        <v>0</v>
      </c>
      <c r="CL19" s="40">
        <f>Nachfrage!CL19</f>
        <v>0</v>
      </c>
      <c r="CM19" s="40">
        <f>Nachfrage!CM19</f>
        <v>0</v>
      </c>
      <c r="CN19" s="40">
        <f>Nachfrage!CN19</f>
        <v>0</v>
      </c>
      <c r="CO19" s="40">
        <f>Nachfrage!CO19</f>
        <v>0</v>
      </c>
      <c r="CP19" s="40">
        <f>Nachfrage!CP19</f>
        <v>0</v>
      </c>
      <c r="CQ19" s="40">
        <f>Nachfrage!CQ19</f>
        <v>0</v>
      </c>
      <c r="CR19" s="40">
        <f>Nachfrage!CR19</f>
        <v>0</v>
      </c>
      <c r="CS19" s="40">
        <f>Nachfrage!CS19</f>
        <v>0</v>
      </c>
      <c r="CT19" s="40">
        <f>Nachfrage!CT19</f>
        <v>0</v>
      </c>
      <c r="CU19" s="40">
        <f>Nachfrage!CU19</f>
        <v>0</v>
      </c>
      <c r="CV19" s="40">
        <f>Nachfrage!CV19</f>
        <v>0</v>
      </c>
      <c r="CW19" s="40">
        <f>Nachfrage!CW19</f>
        <v>0</v>
      </c>
      <c r="CX19" s="40">
        <f>Nachfrage!CX19</f>
        <v>0</v>
      </c>
      <c r="CY19" s="40">
        <f>Nachfrage!CY19</f>
        <v>0</v>
      </c>
      <c r="CZ19" s="40">
        <f>Nachfrage!CZ19</f>
        <v>0</v>
      </c>
      <c r="DA19" s="40">
        <f>Nachfrage!DA19</f>
        <v>0</v>
      </c>
      <c r="DB19" s="40">
        <f>Nachfrage!DB19</f>
        <v>0</v>
      </c>
      <c r="DC19" s="40">
        <f>Nachfrage!DC19</f>
        <v>0</v>
      </c>
      <c r="DD19" s="40">
        <f>Nachfrage!DD19</f>
        <v>0</v>
      </c>
      <c r="DE19" s="40">
        <f>Nachfrage!DE19</f>
        <v>0</v>
      </c>
      <c r="DF19" s="40">
        <f>Nachfrage!DF19</f>
        <v>0</v>
      </c>
      <c r="DG19" s="40">
        <f>Nachfrage!DG19</f>
        <v>0</v>
      </c>
      <c r="DH19" s="40">
        <f>Nachfrage!DH19</f>
        <v>0</v>
      </c>
      <c r="DI19" s="40">
        <f>Nachfrage!DI19</f>
        <v>0</v>
      </c>
      <c r="DJ19" s="40">
        <f>Nachfrage!DJ19</f>
        <v>0</v>
      </c>
      <c r="DK19" s="40">
        <f>Nachfrage!DK19</f>
        <v>0</v>
      </c>
      <c r="DL19" s="40">
        <f>Nachfrage!DL19</f>
        <v>0</v>
      </c>
      <c r="DM19" s="40">
        <f>Nachfrage!DM19</f>
        <v>0</v>
      </c>
      <c r="DN19" s="40">
        <f>Nachfrage!DN19</f>
        <v>0</v>
      </c>
      <c r="DO19" s="40">
        <f>Nachfrage!DO19</f>
        <v>0</v>
      </c>
      <c r="DP19" s="40">
        <f>Nachfrage!DP19</f>
        <v>0</v>
      </c>
      <c r="DQ19" s="40">
        <f>Nachfrage!DQ19</f>
        <v>0</v>
      </c>
      <c r="DR19" s="40">
        <f>Nachfrage!DR19</f>
        <v>0</v>
      </c>
      <c r="DS19" s="40">
        <f>Nachfrage!DS19</f>
        <v>0</v>
      </c>
      <c r="DT19" s="40">
        <f>Nachfrage!DT19</f>
        <v>0</v>
      </c>
      <c r="DU19" s="40">
        <f>Nachfrage!DU19</f>
        <v>0</v>
      </c>
      <c r="DV19" s="40">
        <f>Nachfrage!DV19</f>
        <v>0</v>
      </c>
      <c r="DW19" s="40">
        <f>Nachfrage!DW19</f>
        <v>0</v>
      </c>
      <c r="DX19" s="40">
        <f>Nachfrage!DX19</f>
        <v>0</v>
      </c>
      <c r="DY19" s="40">
        <f>Nachfrage!DY19</f>
        <v>0</v>
      </c>
      <c r="DZ19" s="40">
        <f>Nachfrage!DZ19</f>
        <v>0</v>
      </c>
      <c r="EA19" s="40">
        <f>Nachfrage!EA19</f>
        <v>0</v>
      </c>
      <c r="EB19" s="40">
        <f>Nachfrage!EB19</f>
        <v>0</v>
      </c>
      <c r="EC19" s="40">
        <f>Nachfrage!EC19</f>
        <v>0</v>
      </c>
      <c r="ED19" s="40">
        <f>Nachfrage!ED19</f>
        <v>0</v>
      </c>
      <c r="EE19" s="40">
        <f>Nachfrage!EE19</f>
        <v>0</v>
      </c>
      <c r="EF19" s="40">
        <f>Nachfrage!EF19</f>
        <v>0</v>
      </c>
      <c r="EG19" s="40">
        <f>Nachfrage!EG19</f>
        <v>0</v>
      </c>
      <c r="EH19" s="40">
        <f>Nachfrage!EH19</f>
        <v>0</v>
      </c>
      <c r="EI19" s="40">
        <f>Nachfrage!EI19</f>
        <v>0</v>
      </c>
      <c r="EJ19" s="40">
        <f>Nachfrage!EJ19</f>
        <v>0</v>
      </c>
      <c r="EK19" s="40">
        <f>Nachfrage!EK19</f>
        <v>0</v>
      </c>
      <c r="EL19" s="40">
        <f>Nachfrage!EL19</f>
        <v>0</v>
      </c>
      <c r="EM19" s="40">
        <f>Nachfrage!EM19</f>
        <v>0</v>
      </c>
      <c r="EN19" s="40">
        <f>Nachfrage!EN19</f>
        <v>0</v>
      </c>
      <c r="EO19" s="40">
        <f>Nachfrage!EO19</f>
        <v>0</v>
      </c>
      <c r="EP19" s="40">
        <f>Nachfrage!EP19</f>
        <v>0</v>
      </c>
      <c r="EQ19" s="40">
        <f>Nachfrage!EQ19</f>
        <v>0</v>
      </c>
      <c r="ER19" s="40">
        <f>Nachfrage!ER19</f>
        <v>0</v>
      </c>
      <c r="ES19" s="40">
        <f>Nachfrage!ES19</f>
        <v>0</v>
      </c>
      <c r="ET19" s="40">
        <f>Nachfrage!ET19</f>
        <v>0</v>
      </c>
      <c r="EU19" s="40">
        <f>Nachfrage!EU19</f>
        <v>0</v>
      </c>
      <c r="EV19" s="40">
        <f>Nachfrage!EV19</f>
        <v>0</v>
      </c>
      <c r="EW19" s="40">
        <f>Nachfrage!EW19</f>
        <v>0</v>
      </c>
      <c r="EX19" s="40">
        <f>Nachfrage!EX19</f>
        <v>0</v>
      </c>
      <c r="EY19" s="40">
        <f>Nachfrage!EY19</f>
        <v>0</v>
      </c>
      <c r="EZ19" s="40">
        <f>Nachfrage!EZ19</f>
        <v>0</v>
      </c>
      <c r="FA19" s="40">
        <f>Nachfrage!FA19</f>
        <v>0</v>
      </c>
      <c r="FB19" s="40">
        <f>Nachfrage!FB19</f>
        <v>0</v>
      </c>
      <c r="FC19" s="40">
        <f>Nachfrage!FC19</f>
        <v>0</v>
      </c>
      <c r="FD19" s="40">
        <f>Nachfrage!FD19</f>
        <v>0</v>
      </c>
      <c r="FE19" s="40">
        <f>Nachfrage!FE19</f>
        <v>0</v>
      </c>
      <c r="FF19" s="40">
        <f>Nachfrage!FF19</f>
        <v>0</v>
      </c>
      <c r="FG19" s="40">
        <f>Nachfrage!FG19</f>
        <v>0</v>
      </c>
      <c r="FH19" s="40">
        <f>Nachfrage!FH19</f>
        <v>0</v>
      </c>
      <c r="FI19" s="40">
        <f>Nachfrage!FI19</f>
        <v>0</v>
      </c>
      <c r="FJ19" s="40">
        <f>Nachfrage!FJ19</f>
        <v>0</v>
      </c>
      <c r="FK19" s="40">
        <f>Nachfrage!FK19</f>
        <v>0</v>
      </c>
      <c r="FL19" s="40">
        <f>Nachfrage!FL19</f>
        <v>0</v>
      </c>
      <c r="FM19" s="40">
        <f>Nachfrage!FM19</f>
        <v>0</v>
      </c>
      <c r="FN19" s="40">
        <f>Nachfrage!FN19</f>
        <v>0</v>
      </c>
      <c r="FO19" s="40">
        <f>Nachfrage!FO19</f>
        <v>0</v>
      </c>
      <c r="FP19" s="40">
        <f>Nachfrage!FP19</f>
        <v>0</v>
      </c>
      <c r="FQ19" s="40">
        <f>Nachfrage!FQ19</f>
        <v>0</v>
      </c>
      <c r="FR19" s="40">
        <f>Nachfrage!FR19</f>
        <v>0</v>
      </c>
      <c r="FS19" s="40">
        <f>Nachfrage!FS19</f>
        <v>0</v>
      </c>
      <c r="FT19" s="40">
        <f>Nachfrage!FT19</f>
        <v>0</v>
      </c>
      <c r="FU19" s="40">
        <f>Nachfrage!FU19</f>
        <v>0</v>
      </c>
      <c r="FV19" s="40">
        <f>Nachfrage!FV19</f>
        <v>0</v>
      </c>
      <c r="FW19" s="40">
        <f>Nachfrage!FW19</f>
        <v>0</v>
      </c>
      <c r="FX19" s="40">
        <f>Nachfrage!FX19</f>
        <v>0</v>
      </c>
      <c r="FY19" s="40">
        <f>Nachfrage!FY19</f>
        <v>0</v>
      </c>
      <c r="FZ19" s="40">
        <f>Nachfrage!FZ19</f>
        <v>0</v>
      </c>
      <c r="GA19" s="40">
        <f>Nachfrage!GA19</f>
        <v>0</v>
      </c>
      <c r="GB19" s="40">
        <f>Nachfrage!GB19</f>
        <v>0</v>
      </c>
      <c r="GC19" s="40">
        <f>Nachfrage!GC19</f>
        <v>0</v>
      </c>
      <c r="GD19" s="40">
        <f>Nachfrage!GD19</f>
        <v>0</v>
      </c>
      <c r="GE19" s="40">
        <f>Nachfrage!GE19</f>
        <v>0</v>
      </c>
      <c r="GF19" s="40">
        <f>Nachfrage!GF19</f>
        <v>0</v>
      </c>
      <c r="GG19" s="40">
        <f>Nachfrage!GG19</f>
        <v>0</v>
      </c>
      <c r="GH19" s="40">
        <f>Nachfrage!GH19</f>
        <v>0</v>
      </c>
      <c r="GI19" s="40">
        <f>Nachfrage!GI19</f>
        <v>0</v>
      </c>
      <c r="GJ19" s="40">
        <f>Nachfrage!GJ19</f>
        <v>0</v>
      </c>
      <c r="GK19" s="40">
        <f>Nachfrage!GK19</f>
        <v>0</v>
      </c>
      <c r="GL19" s="40">
        <f>Nachfrage!GL19</f>
        <v>0</v>
      </c>
      <c r="GM19" s="40">
        <f>Nachfrage!GM19</f>
        <v>0</v>
      </c>
      <c r="GN19" s="40">
        <f>Nachfrage!GN19</f>
        <v>0</v>
      </c>
      <c r="GO19" s="40">
        <f>Nachfrage!GO19</f>
        <v>0</v>
      </c>
      <c r="GP19" s="40">
        <f>Nachfrage!GP19</f>
        <v>0</v>
      </c>
      <c r="GQ19" s="40">
        <f>Nachfrage!GQ19</f>
        <v>0</v>
      </c>
      <c r="GR19" s="40">
        <f>Nachfrage!GR19</f>
        <v>0</v>
      </c>
      <c r="GS19" s="40">
        <f>Nachfrage!GS19</f>
        <v>0</v>
      </c>
      <c r="GT19" s="40">
        <f>Nachfrage!GT19</f>
        <v>0</v>
      </c>
      <c r="GU19" s="40">
        <f>Nachfrage!GU19</f>
        <v>0</v>
      </c>
      <c r="GV19" s="40">
        <f>Nachfrage!GV19</f>
        <v>0</v>
      </c>
      <c r="GW19" s="40">
        <f>Nachfrage!GW19</f>
        <v>0</v>
      </c>
      <c r="GX19" s="40">
        <f>Nachfrage!GX19</f>
        <v>0</v>
      </c>
      <c r="GY19" s="40">
        <f>Nachfrage!GY19</f>
        <v>0</v>
      </c>
      <c r="GZ19" s="40">
        <f>Nachfrage!GZ19</f>
        <v>0</v>
      </c>
      <c r="HA19" s="40">
        <f>Nachfrage!HA19</f>
        <v>0</v>
      </c>
      <c r="HB19" s="40">
        <f>Nachfrage!HB19</f>
        <v>0</v>
      </c>
      <c r="HC19" s="40">
        <f>Nachfrage!HC19</f>
        <v>0</v>
      </c>
      <c r="HD19" s="40">
        <f>Nachfrage!HD19</f>
        <v>0</v>
      </c>
      <c r="HE19" s="40">
        <f>Nachfrage!HE19</f>
        <v>0</v>
      </c>
      <c r="HF19" s="40">
        <f>Nachfrage!HF19</f>
        <v>0</v>
      </c>
      <c r="HG19" s="40">
        <f>Nachfrage!HG19</f>
        <v>0</v>
      </c>
      <c r="HH19" s="40">
        <f>Nachfrage!HH19</f>
        <v>0</v>
      </c>
      <c r="HI19" s="40">
        <f>Nachfrage!HI19</f>
        <v>0</v>
      </c>
      <c r="HJ19" s="40">
        <f>Nachfrage!HJ19</f>
        <v>0</v>
      </c>
      <c r="HK19" s="40">
        <f>Nachfrage!HK19</f>
        <v>0</v>
      </c>
      <c r="HL19" s="40">
        <f>Nachfrage!HL19</f>
        <v>0</v>
      </c>
      <c r="HM19" s="40">
        <f>Nachfrage!HM19</f>
        <v>0</v>
      </c>
      <c r="HN19" s="40">
        <f>Nachfrage!HN19</f>
        <v>0</v>
      </c>
      <c r="HO19" s="40">
        <f>Nachfrage!HO19</f>
        <v>0</v>
      </c>
      <c r="HP19" s="40">
        <f>Nachfrage!HP19</f>
        <v>0</v>
      </c>
      <c r="HQ19" s="40">
        <f>Nachfrage!HQ19</f>
        <v>0</v>
      </c>
      <c r="HR19" s="40">
        <f>Nachfrage!HR19</f>
        <v>0</v>
      </c>
      <c r="HS19" s="40">
        <f>Nachfrage!HS19</f>
        <v>0</v>
      </c>
      <c r="HT19" s="40">
        <f>Nachfrage!HT19</f>
        <v>0</v>
      </c>
      <c r="HU19" s="40">
        <f>Nachfrage!HU19</f>
        <v>0</v>
      </c>
      <c r="HV19" s="40">
        <f>Nachfrage!HV19</f>
        <v>0</v>
      </c>
      <c r="HW19" s="40">
        <f>Nachfrage!HW19</f>
        <v>0</v>
      </c>
      <c r="HX19" s="40">
        <f>Nachfrage!HX19</f>
        <v>0</v>
      </c>
      <c r="HY19" s="40">
        <f>Nachfrage!HY19</f>
        <v>0</v>
      </c>
      <c r="HZ19" s="40">
        <f>Nachfrage!HZ19</f>
        <v>0</v>
      </c>
      <c r="IA19" s="40">
        <f>Nachfrage!IA19</f>
        <v>0</v>
      </c>
      <c r="IB19" s="40">
        <f>Nachfrage!IB19</f>
        <v>0</v>
      </c>
      <c r="IC19" s="40">
        <f>Nachfrage!IC19</f>
        <v>0</v>
      </c>
      <c r="ID19" s="40">
        <f>Nachfrage!ID19</f>
        <v>0</v>
      </c>
      <c r="IE19" s="40">
        <f>Nachfrage!IE19</f>
        <v>0</v>
      </c>
      <c r="IF19" s="40">
        <f>Nachfrage!IF19</f>
        <v>0</v>
      </c>
      <c r="IG19" s="40">
        <f>Nachfrage!IG19</f>
        <v>0</v>
      </c>
      <c r="IH19" s="40">
        <f>Nachfrage!IH19</f>
        <v>0</v>
      </c>
      <c r="II19" s="40">
        <f>Nachfrage!II19</f>
        <v>0</v>
      </c>
      <c r="IJ19" s="40">
        <f>Nachfrage!IJ19</f>
        <v>0</v>
      </c>
      <c r="IK19" s="40">
        <f>Nachfrage!IK19</f>
        <v>0</v>
      </c>
      <c r="IL19" s="40">
        <f>Nachfrage!IL19</f>
        <v>0</v>
      </c>
      <c r="IM19" s="40">
        <f>Nachfrage!IM19</f>
        <v>0</v>
      </c>
      <c r="IN19" s="40">
        <f>Nachfrage!IN19</f>
        <v>0</v>
      </c>
      <c r="IO19" s="40">
        <f>Nachfrage!IO19</f>
        <v>0</v>
      </c>
      <c r="IP19" s="40">
        <f>Nachfrage!IP19</f>
        <v>0</v>
      </c>
      <c r="IQ19" s="40">
        <f>Nachfrage!IQ19</f>
        <v>0</v>
      </c>
      <c r="IR19" s="40">
        <f>Nachfrage!IR19</f>
        <v>0</v>
      </c>
      <c r="IS19" s="40">
        <f>Nachfrage!IS19</f>
        <v>0</v>
      </c>
      <c r="IT19" s="40">
        <f>Nachfrage!IT19</f>
        <v>0</v>
      </c>
      <c r="IU19" s="40">
        <f>Nachfrage!IU19</f>
        <v>0</v>
      </c>
      <c r="IV19" s="40">
        <f>Nachfrage!IV19</f>
        <v>0</v>
      </c>
      <c r="IW19" s="40">
        <f>Nachfrage!IW19</f>
        <v>0</v>
      </c>
      <c r="IX19" s="40">
        <f>Nachfrage!IX19</f>
        <v>0</v>
      </c>
      <c r="IY19" s="40">
        <f>Nachfrage!IY19</f>
        <v>0</v>
      </c>
      <c r="IZ19" s="40">
        <f>Nachfrage!IZ19</f>
        <v>0</v>
      </c>
      <c r="JA19" s="40">
        <f>Nachfrage!JA19</f>
        <v>0</v>
      </c>
      <c r="JB19" s="40">
        <f>Nachfrage!JB19</f>
        <v>0</v>
      </c>
      <c r="JC19" s="40">
        <f>Nachfrage!JC19</f>
        <v>0</v>
      </c>
      <c r="JD19" s="40">
        <f>Nachfrage!JD19</f>
        <v>0</v>
      </c>
      <c r="JE19" s="40">
        <f>Nachfrage!JE19</f>
        <v>0</v>
      </c>
      <c r="JF19" s="40">
        <f>Nachfrage!JF19</f>
        <v>0</v>
      </c>
      <c r="JG19" s="40">
        <f>Nachfrage!JG19</f>
        <v>0</v>
      </c>
      <c r="JH19" s="40">
        <f>Nachfrage!JH19</f>
        <v>0</v>
      </c>
      <c r="JI19" s="40">
        <f>Nachfrage!JI19</f>
        <v>0</v>
      </c>
      <c r="JJ19" s="40">
        <f>Nachfrage!JJ19</f>
        <v>0</v>
      </c>
      <c r="JK19" s="40">
        <f>Nachfrage!JK19</f>
        <v>0</v>
      </c>
      <c r="JL19" s="40">
        <f>Nachfrage!JL19</f>
        <v>0</v>
      </c>
      <c r="JM19" s="40">
        <f>Nachfrage!JM19</f>
        <v>0</v>
      </c>
      <c r="JN19" s="40">
        <f>Nachfrage!JN19</f>
        <v>0</v>
      </c>
      <c r="JO19" s="40">
        <f>Nachfrage!JO19</f>
        <v>0</v>
      </c>
      <c r="JP19" s="40">
        <f>Nachfrage!JP19</f>
        <v>0</v>
      </c>
      <c r="JQ19" s="40">
        <f>Nachfrage!JQ19</f>
        <v>0</v>
      </c>
      <c r="JR19" s="40">
        <f>Nachfrage!JR19</f>
        <v>0</v>
      </c>
      <c r="JS19" s="40">
        <f>Nachfrage!JS19</f>
        <v>0</v>
      </c>
      <c r="JT19" s="40">
        <f>Nachfrage!JT19</f>
        <v>0</v>
      </c>
      <c r="JU19" s="40">
        <f>Nachfrage!JU19</f>
        <v>0</v>
      </c>
      <c r="JV19" s="40">
        <f>Nachfrage!JV19</f>
        <v>0</v>
      </c>
      <c r="JW19" s="40">
        <f>Nachfrage!JW19</f>
        <v>0</v>
      </c>
      <c r="JX19" s="40">
        <f>Nachfrage!JX19</f>
        <v>0</v>
      </c>
      <c r="JY19" s="40">
        <f>Nachfrage!JY19</f>
        <v>0</v>
      </c>
      <c r="JZ19" s="40">
        <f>Nachfrage!JZ19</f>
        <v>0</v>
      </c>
      <c r="KA19" s="40">
        <f>Nachfrage!KA19</f>
        <v>0</v>
      </c>
      <c r="KB19" s="40">
        <f>Nachfrage!KB19</f>
        <v>0</v>
      </c>
      <c r="KC19" s="40">
        <f>Nachfrage!KC19</f>
        <v>0</v>
      </c>
      <c r="KD19" s="40">
        <f>Nachfrage!KD19</f>
        <v>0</v>
      </c>
      <c r="KE19" s="40">
        <f>Nachfrage!KE19</f>
        <v>0</v>
      </c>
      <c r="KF19" s="40">
        <f>Nachfrage!KF19</f>
        <v>0</v>
      </c>
      <c r="KG19" s="40">
        <f>Nachfrage!KG19</f>
        <v>0</v>
      </c>
      <c r="KH19" s="40">
        <f>Nachfrage!KH19</f>
        <v>0</v>
      </c>
      <c r="KI19" s="40">
        <f>Nachfrage!KI19</f>
        <v>0</v>
      </c>
      <c r="KJ19" s="40">
        <f>Nachfrage!KJ19</f>
        <v>0</v>
      </c>
      <c r="KK19" s="40">
        <f>Nachfrage!KK19</f>
        <v>0</v>
      </c>
      <c r="KL19" s="40">
        <f>Nachfrage!KL19</f>
        <v>0</v>
      </c>
      <c r="KM19" s="40">
        <f>Nachfrage!KM19</f>
        <v>0</v>
      </c>
      <c r="KN19" s="40">
        <f>Nachfrage!KN19</f>
        <v>0</v>
      </c>
      <c r="KO19" s="40">
        <f>Nachfrage!KO19</f>
        <v>0</v>
      </c>
      <c r="KP19" s="40">
        <f>Nachfrage!KP19</f>
        <v>0</v>
      </c>
      <c r="KQ19" s="40">
        <f>Nachfrage!KQ19</f>
        <v>0</v>
      </c>
      <c r="KR19" s="40">
        <f>Nachfrage!KR19</f>
        <v>0</v>
      </c>
      <c r="KS19" s="40">
        <f>Nachfrage!KS19</f>
        <v>0</v>
      </c>
      <c r="KT19" s="40">
        <f>Nachfrage!KT19</f>
        <v>0</v>
      </c>
      <c r="KU19" s="40">
        <f>Nachfrage!KU19</f>
        <v>0</v>
      </c>
      <c r="KV19" s="40">
        <f>Nachfrage!KV19</f>
        <v>0</v>
      </c>
      <c r="KW19" s="40">
        <f>Nachfrage!KW19</f>
        <v>0</v>
      </c>
      <c r="KX19" s="40">
        <f>Nachfrage!KX19</f>
        <v>0</v>
      </c>
      <c r="KY19" s="40">
        <f>Nachfrage!KY19</f>
        <v>0</v>
      </c>
      <c r="KZ19" s="40">
        <f>Nachfrage!KZ19</f>
        <v>0</v>
      </c>
      <c r="LA19" s="40">
        <f>Nachfrage!LA19</f>
        <v>0</v>
      </c>
      <c r="LB19" s="40">
        <f>Nachfrage!LB19</f>
        <v>0</v>
      </c>
      <c r="LC19" s="40">
        <f>Nachfrage!LC19</f>
        <v>0</v>
      </c>
      <c r="LD19" s="40">
        <f>Nachfrage!LD19</f>
        <v>0</v>
      </c>
      <c r="LE19" s="40">
        <f>Nachfrage!LE19</f>
        <v>0</v>
      </c>
      <c r="LF19" s="40">
        <f>Nachfrage!LF19</f>
        <v>0</v>
      </c>
      <c r="LG19" s="40">
        <f>Nachfrage!LG19</f>
        <v>0</v>
      </c>
      <c r="LH19" s="40">
        <f>Nachfrage!LH19</f>
        <v>0</v>
      </c>
      <c r="LI19" s="40">
        <f>Nachfrage!LI19</f>
        <v>0</v>
      </c>
      <c r="LJ19" s="40">
        <f>Nachfrage!LJ19</f>
        <v>0</v>
      </c>
      <c r="LK19" s="40">
        <f>Nachfrage!LK19</f>
        <v>0</v>
      </c>
      <c r="LL19" s="40">
        <f>Nachfrage!LL19</f>
        <v>0</v>
      </c>
      <c r="LM19" s="40">
        <f>Nachfrage!LM19</f>
        <v>0</v>
      </c>
      <c r="LN19" s="40">
        <f>Nachfrage!LN19</f>
        <v>0</v>
      </c>
      <c r="LO19" s="40">
        <f>Nachfrage!LO19</f>
        <v>0</v>
      </c>
      <c r="LP19" s="40">
        <f>Nachfrage!LP19</f>
        <v>0</v>
      </c>
      <c r="LQ19" s="40">
        <f>Nachfrage!LQ19</f>
        <v>0</v>
      </c>
      <c r="LR19" s="40">
        <f>Nachfrage!LR19</f>
        <v>0</v>
      </c>
      <c r="LS19" s="40">
        <f>Nachfrage!LS19</f>
        <v>0</v>
      </c>
      <c r="LT19" s="40">
        <f>Nachfrage!LT19</f>
        <v>0</v>
      </c>
      <c r="LU19" s="40">
        <f>Nachfrage!LU19</f>
        <v>0</v>
      </c>
      <c r="LV19" s="40">
        <f>Nachfrage!LV19</f>
        <v>0</v>
      </c>
      <c r="LW19" s="40">
        <f>Nachfrage!LW19</f>
        <v>0</v>
      </c>
      <c r="LX19" s="40">
        <f>Nachfrage!LX19</f>
        <v>0</v>
      </c>
      <c r="LY19" s="40">
        <f>Nachfrage!LY19</f>
        <v>0</v>
      </c>
      <c r="LZ19" s="40">
        <f>Nachfrage!LZ19</f>
        <v>0</v>
      </c>
      <c r="MA19" s="40">
        <f>Nachfrage!MA19</f>
        <v>0</v>
      </c>
      <c r="MB19" s="40">
        <f>Nachfrage!MB19</f>
        <v>0</v>
      </c>
      <c r="MC19" s="40">
        <f>Nachfrage!MC19</f>
        <v>0</v>
      </c>
      <c r="MD19" s="40">
        <f>Nachfrage!MD19</f>
        <v>0</v>
      </c>
      <c r="ME19" s="40">
        <f>Nachfrage!ME19</f>
        <v>0</v>
      </c>
      <c r="MF19" s="40">
        <f>Nachfrage!MF19</f>
        <v>0</v>
      </c>
      <c r="MG19" s="40">
        <f>Nachfrage!MG19</f>
        <v>0</v>
      </c>
      <c r="MH19" s="40">
        <f>Nachfrage!MH19</f>
        <v>0</v>
      </c>
      <c r="MI19" s="40">
        <f>Nachfrage!MI19</f>
        <v>0</v>
      </c>
      <c r="MJ19" s="40">
        <f>Nachfrage!MJ19</f>
        <v>0</v>
      </c>
      <c r="MK19" s="40">
        <f>Nachfrage!MK19</f>
        <v>0</v>
      </c>
      <c r="ML19" s="40">
        <f>Nachfrage!ML19</f>
        <v>0</v>
      </c>
      <c r="MM19" s="40">
        <f>Nachfrage!MM19</f>
        <v>0</v>
      </c>
      <c r="MN19" s="40">
        <f>Nachfrage!MN19</f>
        <v>0</v>
      </c>
      <c r="MO19" s="40">
        <f>Nachfrage!MO19</f>
        <v>0</v>
      </c>
      <c r="MP19" s="40">
        <f>Nachfrage!MP19</f>
        <v>0</v>
      </c>
      <c r="MQ19" s="40">
        <f>Nachfrage!MQ19</f>
        <v>0</v>
      </c>
      <c r="MR19" s="40">
        <f>Nachfrage!MR19</f>
        <v>0</v>
      </c>
      <c r="MS19" s="40">
        <f>Nachfrage!MS19</f>
        <v>0</v>
      </c>
      <c r="MT19" s="40">
        <f>Nachfrage!MT19</f>
        <v>0</v>
      </c>
      <c r="MU19" s="40">
        <f>Nachfrage!MU19</f>
        <v>0</v>
      </c>
      <c r="MV19" s="40">
        <f>Nachfrage!MV19</f>
        <v>0</v>
      </c>
      <c r="MW19" s="40">
        <f>Nachfrage!MW19</f>
        <v>0</v>
      </c>
      <c r="MX19" s="40">
        <f>Nachfrage!MX19</f>
        <v>0</v>
      </c>
      <c r="MY19" s="40">
        <f>Nachfrage!MY19</f>
        <v>0</v>
      </c>
      <c r="MZ19" s="40">
        <f>Nachfrage!MZ19</f>
        <v>0</v>
      </c>
      <c r="NA19" s="40">
        <f>Nachfrage!NA19</f>
        <v>0</v>
      </c>
      <c r="NB19" s="40">
        <f>Nachfrage!NB19</f>
        <v>0</v>
      </c>
      <c r="NC19" s="40">
        <f>Nachfrage!NC19</f>
        <v>0</v>
      </c>
      <c r="ND19" s="40">
        <f>Nachfrage!ND19</f>
        <v>0</v>
      </c>
      <c r="NE19" s="40">
        <f>Nachfrage!NE19</f>
        <v>0</v>
      </c>
      <c r="NF19" s="40">
        <f>Nachfrage!NF19</f>
        <v>0</v>
      </c>
      <c r="NG19" s="40">
        <f>Nachfrage!NG19</f>
        <v>0</v>
      </c>
      <c r="NH19" s="40">
        <f>Nachfrage!NH19</f>
        <v>0</v>
      </c>
      <c r="NI19" s="40">
        <f>Nachfrage!NI19</f>
        <v>0</v>
      </c>
      <c r="NJ19" s="40">
        <f>Nachfrage!NJ19</f>
        <v>0</v>
      </c>
    </row>
    <row r="20" spans="1:374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10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10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10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10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7"/>
      <c r="C29" s="15"/>
      <c r="D29" s="15"/>
      <c r="E29" s="15"/>
      <c r="F29" s="15"/>
      <c r="G29" s="15"/>
      <c r="H29" s="14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5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5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5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5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5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5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5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CP1242"/>
  <sheetViews>
    <sheetView topLeftCell="E1" zoomScale="85" zoomScaleNormal="85" workbookViewId="0">
      <selection activeCell="BU2" sqref="BU2:BU31"/>
    </sheetView>
  </sheetViews>
  <sheetFormatPr baseColWidth="10" defaultColWidth="11.42578125" defaultRowHeight="15" x14ac:dyDescent="0.25"/>
  <cols>
    <col min="1" max="1" width="8.5703125" bestFit="1" customWidth="1"/>
    <col min="2" max="2" width="14.28515625" bestFit="1" customWidth="1"/>
    <col min="3" max="3" width="4" customWidth="1"/>
    <col min="4" max="7" width="4.42578125" bestFit="1" customWidth="1"/>
    <col min="8" max="8" width="2.5703125" bestFit="1" customWidth="1"/>
    <col min="9" max="9" width="3" customWidth="1"/>
    <col min="10" max="10" width="3.140625" customWidth="1"/>
    <col min="11" max="11" width="3.85546875" customWidth="1"/>
    <col min="12" max="12" width="3" customWidth="1"/>
    <col min="13" max="13" width="3.28515625" customWidth="1"/>
    <col min="14" max="14" width="3.42578125" customWidth="1"/>
    <col min="15" max="15" width="3" customWidth="1"/>
    <col min="16" max="16" width="3" hidden="1" customWidth="1"/>
    <col min="17" max="17" width="3.140625" hidden="1" customWidth="1"/>
    <col min="18" max="18" width="3.85546875" hidden="1" customWidth="1"/>
    <col min="19" max="19" width="3" hidden="1" customWidth="1"/>
    <col min="20" max="20" width="3.28515625" hidden="1" customWidth="1"/>
    <col min="21" max="21" width="3.42578125" hidden="1" customWidth="1"/>
    <col min="22" max="22" width="3" hidden="1" customWidth="1"/>
    <col min="23" max="23" width="3.85546875" hidden="1" customWidth="1"/>
    <col min="24" max="24" width="3.140625" hidden="1" customWidth="1"/>
    <col min="25" max="27" width="3.85546875" hidden="1" customWidth="1"/>
    <col min="28" max="28" width="3.42578125" hidden="1" customWidth="1"/>
    <col min="29" max="35" width="3.85546875" hidden="1" customWidth="1"/>
    <col min="36" max="36" width="4.85546875" customWidth="1"/>
    <col min="37" max="57" width="3.85546875" hidden="1" customWidth="1"/>
    <col min="58" max="58" width="11" bestFit="1" customWidth="1"/>
    <col min="59" max="59" width="13.5703125" bestFit="1" customWidth="1"/>
    <col min="60" max="60" width="14.28515625" bestFit="1" customWidth="1"/>
    <col min="61" max="61" width="12.85546875" bestFit="1" customWidth="1"/>
    <col min="62" max="62" width="27.42578125" bestFit="1" customWidth="1"/>
    <col min="63" max="63" width="10" bestFit="1" customWidth="1"/>
    <col min="64" max="64" width="9.5703125" bestFit="1" customWidth="1"/>
    <col min="65" max="65" width="7.42578125" hidden="1" customWidth="1"/>
    <col min="66" max="69" width="11.42578125" customWidth="1"/>
    <col min="70" max="70" width="3" customWidth="1"/>
    <col min="71" max="71" width="6.28515625" bestFit="1" customWidth="1"/>
    <col min="72" max="72" width="4" bestFit="1" customWidth="1"/>
    <col min="73" max="73" width="11.140625" bestFit="1" customWidth="1"/>
    <col min="74" max="74" width="6.7109375" bestFit="1" customWidth="1"/>
    <col min="75" max="75" width="3" customWidth="1"/>
  </cols>
  <sheetData>
    <row r="1" spans="1:94" x14ac:dyDescent="0.25">
      <c r="A1" s="59"/>
      <c r="B1" s="71" t="s">
        <v>194</v>
      </c>
      <c r="C1" s="59">
        <f>AnfangsWoche</f>
        <v>0</v>
      </c>
      <c r="D1" s="59">
        <f t="shared" ref="D1:I1" si="0">C1+1</f>
        <v>1</v>
      </c>
      <c r="E1" s="59">
        <f t="shared" si="0"/>
        <v>2</v>
      </c>
      <c r="F1" s="59">
        <f t="shared" si="0"/>
        <v>3</v>
      </c>
      <c r="G1" s="59">
        <f t="shared" si="0"/>
        <v>4</v>
      </c>
      <c r="H1" s="59">
        <f t="shared" si="0"/>
        <v>5</v>
      </c>
      <c r="I1" s="59">
        <f t="shared" si="0"/>
        <v>6</v>
      </c>
      <c r="J1" s="25">
        <f t="shared" ref="J1:BE1" si="1">I1+1</f>
        <v>7</v>
      </c>
      <c r="K1" s="25">
        <f t="shared" si="1"/>
        <v>8</v>
      </c>
      <c r="L1" s="25">
        <f t="shared" si="1"/>
        <v>9</v>
      </c>
      <c r="M1" s="25">
        <f t="shared" si="1"/>
        <v>10</v>
      </c>
      <c r="N1" s="25">
        <f t="shared" si="1"/>
        <v>11</v>
      </c>
      <c r="O1" s="25">
        <f t="shared" si="1"/>
        <v>12</v>
      </c>
      <c r="P1" s="25">
        <f t="shared" si="1"/>
        <v>13</v>
      </c>
      <c r="Q1" s="25">
        <f t="shared" si="1"/>
        <v>14</v>
      </c>
      <c r="R1" s="25">
        <f t="shared" si="1"/>
        <v>15</v>
      </c>
      <c r="S1" s="25">
        <f t="shared" si="1"/>
        <v>16</v>
      </c>
      <c r="T1" s="25">
        <f t="shared" si="1"/>
        <v>17</v>
      </c>
      <c r="U1" s="25">
        <f t="shared" si="1"/>
        <v>18</v>
      </c>
      <c r="V1" s="25">
        <f t="shared" si="1"/>
        <v>19</v>
      </c>
      <c r="W1" s="25">
        <f t="shared" si="1"/>
        <v>20</v>
      </c>
      <c r="X1" s="25">
        <f t="shared" si="1"/>
        <v>21</v>
      </c>
      <c r="Y1" s="25">
        <f t="shared" si="1"/>
        <v>22</v>
      </c>
      <c r="Z1" s="25">
        <f t="shared" si="1"/>
        <v>23</v>
      </c>
      <c r="AA1" s="25">
        <f t="shared" si="1"/>
        <v>24</v>
      </c>
      <c r="AB1" s="25">
        <f t="shared" si="1"/>
        <v>25</v>
      </c>
      <c r="AC1" s="25">
        <f t="shared" si="1"/>
        <v>26</v>
      </c>
      <c r="AD1" s="25">
        <f t="shared" si="1"/>
        <v>27</v>
      </c>
      <c r="AE1" s="25">
        <f t="shared" si="1"/>
        <v>28</v>
      </c>
      <c r="AF1" s="25">
        <f t="shared" si="1"/>
        <v>29</v>
      </c>
      <c r="AG1" s="25">
        <f t="shared" si="1"/>
        <v>30</v>
      </c>
      <c r="AH1" s="25">
        <f t="shared" si="1"/>
        <v>31</v>
      </c>
      <c r="AI1" s="25">
        <f t="shared" si="1"/>
        <v>32</v>
      </c>
      <c r="AJ1" s="25">
        <f t="shared" si="1"/>
        <v>33</v>
      </c>
      <c r="AK1" s="25">
        <f t="shared" si="1"/>
        <v>34</v>
      </c>
      <c r="AL1" s="25">
        <f t="shared" si="1"/>
        <v>35</v>
      </c>
      <c r="AM1" s="25">
        <f t="shared" si="1"/>
        <v>36</v>
      </c>
      <c r="AN1" s="25">
        <f t="shared" si="1"/>
        <v>37</v>
      </c>
      <c r="AO1" s="25">
        <f t="shared" si="1"/>
        <v>38</v>
      </c>
      <c r="AP1" s="25">
        <f t="shared" si="1"/>
        <v>39</v>
      </c>
      <c r="AQ1" s="25">
        <f t="shared" si="1"/>
        <v>40</v>
      </c>
      <c r="AR1" s="25">
        <f t="shared" si="1"/>
        <v>41</v>
      </c>
      <c r="AS1" s="25">
        <f t="shared" si="1"/>
        <v>42</v>
      </c>
      <c r="AT1" s="25">
        <f t="shared" si="1"/>
        <v>43</v>
      </c>
      <c r="AU1" s="25">
        <f t="shared" si="1"/>
        <v>44</v>
      </c>
      <c r="AV1" s="25">
        <f t="shared" si="1"/>
        <v>45</v>
      </c>
      <c r="AW1" s="25">
        <f t="shared" si="1"/>
        <v>46</v>
      </c>
      <c r="AX1" s="25">
        <f t="shared" si="1"/>
        <v>47</v>
      </c>
      <c r="AY1" s="25">
        <f t="shared" si="1"/>
        <v>48</v>
      </c>
      <c r="AZ1" s="25">
        <f t="shared" si="1"/>
        <v>49</v>
      </c>
      <c r="BA1" s="25">
        <f t="shared" si="1"/>
        <v>50</v>
      </c>
      <c r="BB1" s="25">
        <f t="shared" si="1"/>
        <v>51</v>
      </c>
      <c r="BC1" s="25">
        <f t="shared" si="1"/>
        <v>52</v>
      </c>
      <c r="BD1" s="25">
        <f t="shared" si="1"/>
        <v>53</v>
      </c>
      <c r="BE1" s="25">
        <f t="shared" si="1"/>
        <v>54</v>
      </c>
      <c r="BF1" s="69" t="s">
        <v>120</v>
      </c>
      <c r="BG1" s="59" t="s">
        <v>114</v>
      </c>
      <c r="BH1" s="59" t="s">
        <v>109</v>
      </c>
      <c r="BI1" s="72" t="s">
        <v>171</v>
      </c>
      <c r="BJ1" s="69" t="s">
        <v>193</v>
      </c>
      <c r="BK1" s="59" t="s">
        <v>181</v>
      </c>
      <c r="BL1" s="53" t="s">
        <v>182</v>
      </c>
      <c r="BM1" s="36"/>
      <c r="BN1" s="36"/>
      <c r="BO1" s="36"/>
      <c r="BP1" s="36"/>
      <c r="BQ1" s="36"/>
      <c r="BS1" s="10" t="s">
        <v>0</v>
      </c>
      <c r="BT1" s="10" t="s">
        <v>70</v>
      </c>
      <c r="BU1" s="10" t="s">
        <v>71</v>
      </c>
      <c r="BV1" s="10" t="s">
        <v>82</v>
      </c>
      <c r="BX1" s="8" t="s">
        <v>9</v>
      </c>
      <c r="BY1" s="8">
        <f>Tage!I1</f>
        <v>30</v>
      </c>
      <c r="CA1" s="9" t="s">
        <v>222</v>
      </c>
      <c r="CB1" t="s">
        <v>0</v>
      </c>
      <c r="CC1" t="s">
        <v>1</v>
      </c>
      <c r="CD1" t="s">
        <v>214</v>
      </c>
      <c r="CE1" t="s">
        <v>215</v>
      </c>
      <c r="CF1" s="27" t="s">
        <v>216</v>
      </c>
      <c r="CG1" s="27" t="s">
        <v>217</v>
      </c>
      <c r="CH1" s="27" t="s">
        <v>218</v>
      </c>
      <c r="CI1" s="27" t="s">
        <v>219</v>
      </c>
      <c r="CJ1" s="95" t="s">
        <v>171</v>
      </c>
      <c r="CK1" s="27" t="s">
        <v>220</v>
      </c>
      <c r="CL1" s="27" t="s">
        <v>221</v>
      </c>
      <c r="CM1" s="27" t="s">
        <v>304</v>
      </c>
      <c r="CN1" s="27" t="s">
        <v>237</v>
      </c>
      <c r="CO1" s="27" t="s">
        <v>238</v>
      </c>
      <c r="CP1" s="27" t="s">
        <v>232</v>
      </c>
    </row>
    <row r="2" spans="1:94" s="13" customFormat="1" x14ac:dyDescent="0.25">
      <c r="A2" s="8">
        <v>0</v>
      </c>
      <c r="B2" s="70" t="str">
        <f>Personal!A2</f>
        <v>ZZ_AF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55">
        <v>0</v>
      </c>
      <c r="J2" s="36">
        <v>0</v>
      </c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7"/>
      <c r="BF2" s="73">
        <v>0</v>
      </c>
      <c r="BG2" s="8">
        <v>0</v>
      </c>
      <c r="BH2" s="8">
        <v>0</v>
      </c>
      <c r="BI2" s="70">
        <f>BG2-BH2</f>
        <v>0</v>
      </c>
      <c r="BJ2" s="8" t="s">
        <v>188</v>
      </c>
      <c r="BK2" s="39">
        <f t="shared" ref="BK2:BK6" si="2">INDEX($BM$49:$BM$53,BM2,1)</f>
        <v>10000</v>
      </c>
      <c r="BL2" s="51">
        <v>0</v>
      </c>
      <c r="BM2" s="55">
        <v>5</v>
      </c>
      <c r="BN2" s="36"/>
      <c r="BO2" s="36"/>
      <c r="BP2" s="36"/>
      <c r="BQ2" s="36"/>
      <c r="BS2" s="13" t="s">
        <v>334</v>
      </c>
      <c r="BT2" s="13">
        <v>1</v>
      </c>
      <c r="BU2" s="13" t="s">
        <v>75</v>
      </c>
      <c r="BV2" s="13" t="s">
        <v>83</v>
      </c>
      <c r="BX2" s="8" t="s">
        <v>92</v>
      </c>
      <c r="BY2" s="8">
        <f>Personal!AY1</f>
        <v>31</v>
      </c>
      <c r="BZ2" s="27"/>
      <c r="CA2" s="27"/>
      <c r="CB2" s="13" t="s">
        <v>334</v>
      </c>
      <c r="CC2" s="27" t="s">
        <v>230</v>
      </c>
      <c r="CD2" s="27">
        <v>32</v>
      </c>
      <c r="CE2" s="27">
        <v>0</v>
      </c>
      <c r="CF2" s="27">
        <v>20.149999999999999</v>
      </c>
      <c r="CG2" s="13">
        <v>134.4</v>
      </c>
      <c r="CH2" s="13">
        <v>128</v>
      </c>
      <c r="CI2" s="13">
        <v>13.749999999999993</v>
      </c>
      <c r="CJ2" s="58">
        <v>-6.4000000000000057</v>
      </c>
      <c r="CK2" s="13">
        <v>0</v>
      </c>
      <c r="CL2" s="13">
        <v>0</v>
      </c>
      <c r="CM2" s="13">
        <v>5</v>
      </c>
      <c r="CN2" s="13">
        <v>38.4</v>
      </c>
      <c r="CO2" s="58">
        <v>31.576923076923077</v>
      </c>
      <c r="CP2" s="13">
        <v>26</v>
      </c>
    </row>
    <row r="3" spans="1:94" x14ac:dyDescent="0.25">
      <c r="A3" s="8">
        <v>4</v>
      </c>
      <c r="B3" s="70" t="str">
        <f>Personal!A3</f>
        <v>C_GB</v>
      </c>
      <c r="C3" s="8">
        <v>0</v>
      </c>
      <c r="D3" s="8">
        <v>1</v>
      </c>
      <c r="E3" s="8">
        <v>0</v>
      </c>
      <c r="F3" s="8">
        <v>1</v>
      </c>
      <c r="G3" s="8">
        <v>1</v>
      </c>
      <c r="H3" s="8">
        <v>0</v>
      </c>
      <c r="I3" s="55">
        <v>1</v>
      </c>
      <c r="J3" s="36">
        <v>0</v>
      </c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7"/>
      <c r="BF3" s="73">
        <v>43.85</v>
      </c>
      <c r="BG3" s="8">
        <v>10</v>
      </c>
      <c r="BH3" s="8">
        <v>0</v>
      </c>
      <c r="BI3" s="70">
        <f t="shared" ref="BI3:BI32" si="3">BG3-BH3</f>
        <v>10</v>
      </c>
      <c r="BJ3" s="8" t="s">
        <v>186</v>
      </c>
      <c r="BK3" s="39">
        <f t="shared" si="2"/>
        <v>10000</v>
      </c>
      <c r="BL3" s="51">
        <v>0</v>
      </c>
      <c r="BM3" s="55">
        <v>5</v>
      </c>
      <c r="BN3" s="36"/>
      <c r="BO3" s="36"/>
      <c r="BP3" s="36"/>
      <c r="BQ3" s="36"/>
      <c r="BS3" t="s">
        <v>334</v>
      </c>
      <c r="BT3">
        <v>2</v>
      </c>
      <c r="BU3" t="s">
        <v>76</v>
      </c>
      <c r="BV3" t="s">
        <v>5</v>
      </c>
      <c r="BX3" s="27"/>
      <c r="BY3" s="27"/>
      <c r="BZ3" s="27"/>
      <c r="CA3" s="27"/>
      <c r="CB3" t="s">
        <v>122</v>
      </c>
      <c r="CC3" s="27" t="s">
        <v>230</v>
      </c>
      <c r="CD3" s="27">
        <v>16</v>
      </c>
      <c r="CE3" s="27">
        <v>1</v>
      </c>
      <c r="CF3" s="27">
        <v>-10.4</v>
      </c>
      <c r="CG3">
        <v>67.2</v>
      </c>
      <c r="CH3">
        <v>64</v>
      </c>
      <c r="CI3">
        <v>-13.600000000000003</v>
      </c>
      <c r="CJ3" s="58">
        <v>-3.2000000000000028</v>
      </c>
      <c r="CK3">
        <v>0</v>
      </c>
      <c r="CL3">
        <v>0</v>
      </c>
      <c r="CM3">
        <v>5</v>
      </c>
      <c r="CN3">
        <v>24</v>
      </c>
      <c r="CO3" s="58">
        <v>16.807692307692307</v>
      </c>
      <c r="CP3">
        <v>26</v>
      </c>
    </row>
    <row r="4" spans="1:94" x14ac:dyDescent="0.25">
      <c r="A4" s="8">
        <v>0</v>
      </c>
      <c r="B4" s="70" t="str">
        <f>Personal!A4</f>
        <v>J_JH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55">
        <v>0</v>
      </c>
      <c r="J4" s="36">
        <v>0</v>
      </c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7"/>
      <c r="BF4" s="73">
        <v>27.35</v>
      </c>
      <c r="BG4" s="8">
        <v>16</v>
      </c>
      <c r="BH4" s="8">
        <v>0</v>
      </c>
      <c r="BI4" s="70">
        <f t="shared" si="3"/>
        <v>16</v>
      </c>
      <c r="BJ4" s="8" t="s">
        <v>184</v>
      </c>
      <c r="BK4" s="55">
        <f t="shared" si="2"/>
        <v>10000</v>
      </c>
      <c r="BL4" s="8">
        <v>0</v>
      </c>
      <c r="BM4" s="55">
        <v>5</v>
      </c>
      <c r="BN4" s="36"/>
      <c r="BO4" s="36"/>
      <c r="BP4" s="36"/>
      <c r="BQ4" s="36"/>
      <c r="BS4" t="s">
        <v>334</v>
      </c>
      <c r="BT4">
        <v>3</v>
      </c>
      <c r="BU4" t="s">
        <v>77</v>
      </c>
      <c r="BV4" t="s">
        <v>31</v>
      </c>
      <c r="BX4" s="27"/>
      <c r="BY4" s="27"/>
      <c r="BZ4" s="27"/>
      <c r="CA4" s="27"/>
      <c r="CB4" t="s">
        <v>123</v>
      </c>
      <c r="CC4" s="27" t="s">
        <v>61</v>
      </c>
      <c r="CD4" s="27">
        <v>40</v>
      </c>
      <c r="CE4" s="27">
        <v>1</v>
      </c>
      <c r="CF4" s="27">
        <v>33.85</v>
      </c>
      <c r="CG4">
        <v>168</v>
      </c>
      <c r="CH4">
        <v>178</v>
      </c>
      <c r="CI4">
        <v>43.85</v>
      </c>
      <c r="CJ4" s="58">
        <v>10</v>
      </c>
      <c r="CK4">
        <v>43.75</v>
      </c>
      <c r="CL4">
        <v>4</v>
      </c>
      <c r="CM4">
        <v>2</v>
      </c>
      <c r="CN4">
        <v>60</v>
      </c>
      <c r="CO4" s="58">
        <v>44.057692307692307</v>
      </c>
      <c r="CP4">
        <v>26</v>
      </c>
    </row>
    <row r="5" spans="1:94" x14ac:dyDescent="0.25">
      <c r="A5" s="8">
        <v>4</v>
      </c>
      <c r="B5" s="70" t="str">
        <f>Personal!A5</f>
        <v>K_TH</v>
      </c>
      <c r="C5" s="8">
        <v>0</v>
      </c>
      <c r="D5" s="8">
        <v>1</v>
      </c>
      <c r="E5" s="8">
        <v>1</v>
      </c>
      <c r="F5" s="8">
        <v>0</v>
      </c>
      <c r="G5" s="8">
        <v>0</v>
      </c>
      <c r="H5" s="8">
        <v>0</v>
      </c>
      <c r="I5" s="55">
        <v>1</v>
      </c>
      <c r="J5" s="36">
        <v>0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7"/>
      <c r="BF5" s="73">
        <v>43.6</v>
      </c>
      <c r="BG5" s="8">
        <v>1</v>
      </c>
      <c r="BH5" s="8">
        <v>0</v>
      </c>
      <c r="BI5" s="70">
        <f t="shared" si="3"/>
        <v>1</v>
      </c>
      <c r="BJ5" s="8" t="s">
        <v>191</v>
      </c>
      <c r="BK5" s="55">
        <f t="shared" si="2"/>
        <v>10000</v>
      </c>
      <c r="BL5" s="8">
        <v>0</v>
      </c>
      <c r="BM5" s="55">
        <v>5</v>
      </c>
      <c r="BN5" s="36"/>
      <c r="BO5" s="36"/>
      <c r="BP5" s="36"/>
      <c r="BQ5" s="36"/>
      <c r="BS5" t="s">
        <v>334</v>
      </c>
      <c r="BT5">
        <v>4</v>
      </c>
      <c r="BU5" t="s">
        <v>78</v>
      </c>
      <c r="BV5" t="s">
        <v>83</v>
      </c>
      <c r="BX5" s="27"/>
      <c r="BY5" s="27"/>
      <c r="BZ5" s="27"/>
      <c r="CA5" s="27"/>
      <c r="CB5" t="s">
        <v>124</v>
      </c>
      <c r="CC5" s="27" t="s">
        <v>230</v>
      </c>
      <c r="CD5" s="27">
        <v>32</v>
      </c>
      <c r="CE5" s="27">
        <v>1</v>
      </c>
      <c r="CF5" s="27">
        <v>-0.6</v>
      </c>
      <c r="CG5">
        <v>134.4</v>
      </c>
      <c r="CH5">
        <v>128</v>
      </c>
      <c r="CI5">
        <v>-7.0000000000000053</v>
      </c>
      <c r="CJ5" s="58">
        <v>-6.4000000000000057</v>
      </c>
      <c r="CK5">
        <v>0</v>
      </c>
      <c r="CL5">
        <v>0</v>
      </c>
      <c r="CM5">
        <v>5</v>
      </c>
      <c r="CN5">
        <v>48</v>
      </c>
      <c r="CO5" s="58">
        <v>32.807692307692307</v>
      </c>
      <c r="CP5">
        <v>26</v>
      </c>
    </row>
    <row r="6" spans="1:94" x14ac:dyDescent="0.25">
      <c r="A6" s="8">
        <v>0</v>
      </c>
      <c r="B6" s="70" t="str">
        <f>Personal!A6</f>
        <v>R_RK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55">
        <v>0</v>
      </c>
      <c r="J6" s="36">
        <v>0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7"/>
      <c r="BF6" s="73">
        <v>31.749999999999993</v>
      </c>
      <c r="BG6" s="8">
        <v>1.5999999999999943</v>
      </c>
      <c r="BH6" s="8">
        <v>0</v>
      </c>
      <c r="BI6" s="70">
        <f t="shared" si="3"/>
        <v>1.5999999999999943</v>
      </c>
      <c r="BJ6" s="8" t="s">
        <v>305</v>
      </c>
      <c r="BK6" s="39">
        <f t="shared" si="2"/>
        <v>1000</v>
      </c>
      <c r="BL6" s="51">
        <v>3</v>
      </c>
      <c r="BM6" s="55">
        <v>4</v>
      </c>
      <c r="BN6" s="7"/>
      <c r="BO6" s="36"/>
      <c r="BP6" s="36"/>
      <c r="BQ6" s="36"/>
      <c r="BS6" t="s">
        <v>334</v>
      </c>
      <c r="BT6">
        <v>5</v>
      </c>
      <c r="BU6" t="s">
        <v>72</v>
      </c>
      <c r="BV6" t="s">
        <v>31</v>
      </c>
      <c r="BX6" s="27"/>
      <c r="BY6" s="27"/>
      <c r="BZ6" s="27"/>
      <c r="CA6" s="27"/>
      <c r="CB6" t="s">
        <v>125</v>
      </c>
      <c r="CC6" s="27" t="s">
        <v>231</v>
      </c>
      <c r="CD6" s="27">
        <v>40</v>
      </c>
      <c r="CE6" s="27">
        <v>0</v>
      </c>
      <c r="CF6" s="27">
        <v>11.6</v>
      </c>
      <c r="CG6">
        <v>168</v>
      </c>
      <c r="CH6">
        <v>173</v>
      </c>
      <c r="CI6">
        <v>16.600000000000001</v>
      </c>
      <c r="CJ6" s="58">
        <v>5</v>
      </c>
      <c r="CK6">
        <v>12</v>
      </c>
      <c r="CL6">
        <v>5</v>
      </c>
      <c r="CM6">
        <v>2</v>
      </c>
      <c r="CN6">
        <v>48</v>
      </c>
      <c r="CO6" s="58">
        <v>42.57692307692308</v>
      </c>
      <c r="CP6">
        <v>26</v>
      </c>
    </row>
    <row r="7" spans="1:94" x14ac:dyDescent="0.25">
      <c r="A7" s="8">
        <v>3</v>
      </c>
      <c r="B7" s="70" t="str">
        <f>Personal!A7</f>
        <v>U_KM</v>
      </c>
      <c r="C7" s="8">
        <v>0</v>
      </c>
      <c r="D7" s="8">
        <v>1</v>
      </c>
      <c r="E7" s="8">
        <v>0</v>
      </c>
      <c r="F7" s="8">
        <v>0</v>
      </c>
      <c r="G7" s="8">
        <v>0</v>
      </c>
      <c r="H7" s="8">
        <v>1</v>
      </c>
      <c r="I7" s="55">
        <v>0</v>
      </c>
      <c r="J7" s="36">
        <v>0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7"/>
      <c r="BF7" s="73">
        <v>33.799999999999997</v>
      </c>
      <c r="BG7" s="8">
        <v>1</v>
      </c>
      <c r="BH7" s="8">
        <v>0</v>
      </c>
      <c r="BI7" s="70">
        <f t="shared" si="3"/>
        <v>1</v>
      </c>
      <c r="BJ7" s="8" t="s">
        <v>187</v>
      </c>
      <c r="BK7" s="39">
        <f t="shared" ref="BK7:BK21" si="4">INDEX($BM$49:$BM$53,BM7,1)</f>
        <v>1000</v>
      </c>
      <c r="BL7" s="51">
        <v>0</v>
      </c>
      <c r="BM7" s="55">
        <v>4</v>
      </c>
      <c r="BN7" s="7"/>
      <c r="BO7" s="36"/>
      <c r="BP7" s="36"/>
      <c r="BQ7" s="36"/>
      <c r="BS7" t="s">
        <v>334</v>
      </c>
      <c r="BT7">
        <v>6</v>
      </c>
      <c r="BU7" t="s">
        <v>73</v>
      </c>
      <c r="BV7" t="s">
        <v>5</v>
      </c>
      <c r="BX7" s="27"/>
      <c r="BY7" s="27"/>
      <c r="BZ7" s="27"/>
      <c r="CA7" s="27"/>
      <c r="CB7" t="s">
        <v>126</v>
      </c>
      <c r="CC7" s="27" t="s">
        <v>230</v>
      </c>
      <c r="CD7" s="27">
        <v>40</v>
      </c>
      <c r="CE7" s="27">
        <v>0</v>
      </c>
      <c r="CF7" s="27">
        <v>-2.25</v>
      </c>
      <c r="CG7">
        <v>168</v>
      </c>
      <c r="CH7">
        <v>160</v>
      </c>
      <c r="CI7">
        <v>-10.25</v>
      </c>
      <c r="CJ7" s="58">
        <v>-8</v>
      </c>
      <c r="CK7">
        <v>35.25</v>
      </c>
      <c r="CL7">
        <v>4</v>
      </c>
      <c r="CM7">
        <v>4</v>
      </c>
      <c r="CN7">
        <v>48</v>
      </c>
      <c r="CO7" s="58">
        <v>42.807692307692307</v>
      </c>
      <c r="CP7">
        <v>26</v>
      </c>
    </row>
    <row r="8" spans="1:94" x14ac:dyDescent="0.25">
      <c r="A8" s="8">
        <v>5</v>
      </c>
      <c r="B8" s="70" t="str">
        <f>Personal!A8</f>
        <v>E_MG</v>
      </c>
      <c r="C8" s="8">
        <v>0</v>
      </c>
      <c r="D8" s="8">
        <v>0</v>
      </c>
      <c r="E8" s="8">
        <v>1</v>
      </c>
      <c r="F8" s="8">
        <v>1</v>
      </c>
      <c r="G8" s="8">
        <v>0</v>
      </c>
      <c r="H8" s="8">
        <v>1</v>
      </c>
      <c r="I8" s="55">
        <v>0</v>
      </c>
      <c r="J8" s="36"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7"/>
      <c r="BF8" s="73">
        <v>16.600000000000001</v>
      </c>
      <c r="BG8" s="8">
        <v>5</v>
      </c>
      <c r="BH8" s="8">
        <v>0</v>
      </c>
      <c r="BI8" s="70">
        <f t="shared" si="3"/>
        <v>5</v>
      </c>
      <c r="BJ8" s="8" t="s">
        <v>324</v>
      </c>
      <c r="BK8" s="39">
        <f t="shared" si="4"/>
        <v>1000</v>
      </c>
      <c r="BL8" s="51">
        <v>2</v>
      </c>
      <c r="BM8" s="55">
        <v>4</v>
      </c>
      <c r="BN8" s="7"/>
      <c r="BO8" s="36"/>
      <c r="BP8" s="36"/>
      <c r="BQ8" s="36"/>
      <c r="BS8" t="s">
        <v>334</v>
      </c>
      <c r="BT8">
        <v>7</v>
      </c>
      <c r="BU8" t="s">
        <v>74</v>
      </c>
      <c r="BV8" t="s">
        <v>84</v>
      </c>
      <c r="BX8" s="27"/>
      <c r="BY8" s="27"/>
      <c r="BZ8" s="27"/>
      <c r="CA8" s="27"/>
      <c r="CB8" t="s">
        <v>127</v>
      </c>
      <c r="CC8" s="27" t="s">
        <v>231</v>
      </c>
      <c r="CD8" s="27">
        <v>26.67</v>
      </c>
      <c r="CE8" s="27">
        <v>0</v>
      </c>
      <c r="CF8" s="27">
        <v>26.55</v>
      </c>
      <c r="CG8">
        <v>112.01400000000001</v>
      </c>
      <c r="CH8">
        <v>112</v>
      </c>
      <c r="CI8">
        <v>26.535999999999991</v>
      </c>
      <c r="CJ8" s="58">
        <v>-1.4000000000010004E-2</v>
      </c>
      <c r="CK8">
        <v>39.5</v>
      </c>
      <c r="CL8">
        <v>3</v>
      </c>
      <c r="CM8">
        <v>3</v>
      </c>
      <c r="CN8">
        <v>32.003999999999998</v>
      </c>
      <c r="CO8" s="58">
        <v>28.25</v>
      </c>
      <c r="CP8">
        <v>26</v>
      </c>
    </row>
    <row r="9" spans="1:94" x14ac:dyDescent="0.25">
      <c r="A9" s="8">
        <v>3</v>
      </c>
      <c r="B9" s="70" t="e">
        <f>Personal!#REF!</f>
        <v>#REF!</v>
      </c>
      <c r="C9" s="8">
        <v>1</v>
      </c>
      <c r="D9" s="8">
        <v>0</v>
      </c>
      <c r="E9" s="8">
        <v>1</v>
      </c>
      <c r="F9" s="8">
        <v>0</v>
      </c>
      <c r="G9" s="8">
        <v>1</v>
      </c>
      <c r="H9" s="8">
        <v>0</v>
      </c>
      <c r="I9" s="55">
        <v>0</v>
      </c>
      <c r="J9" s="36">
        <v>0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7"/>
      <c r="BF9" s="73">
        <v>26.535999999999991</v>
      </c>
      <c r="BG9" s="8">
        <v>0</v>
      </c>
      <c r="BH9" s="8">
        <v>1.4000000000010004E-2</v>
      </c>
      <c r="BI9" s="70">
        <f t="shared" si="3"/>
        <v>-1.4000000000010004E-2</v>
      </c>
      <c r="BJ9" s="8" t="s">
        <v>185</v>
      </c>
      <c r="BK9" s="55">
        <f t="shared" si="4"/>
        <v>1000</v>
      </c>
      <c r="BL9" s="8">
        <v>0</v>
      </c>
      <c r="BM9" s="55">
        <v>4</v>
      </c>
      <c r="BN9" s="7"/>
      <c r="BO9" s="36"/>
      <c r="BP9" s="36"/>
      <c r="BQ9" s="36"/>
      <c r="BS9" t="s">
        <v>334</v>
      </c>
      <c r="BT9">
        <v>8</v>
      </c>
      <c r="BU9" t="s">
        <v>75</v>
      </c>
      <c r="BV9" t="s">
        <v>84</v>
      </c>
      <c r="BX9" s="27"/>
      <c r="BY9" s="27"/>
      <c r="BZ9" s="27"/>
      <c r="CA9" s="27"/>
      <c r="CB9" t="s">
        <v>128</v>
      </c>
      <c r="CC9" s="27" t="s">
        <v>61</v>
      </c>
      <c r="CD9" s="27">
        <v>40</v>
      </c>
      <c r="CE9" s="27">
        <v>1</v>
      </c>
      <c r="CF9" s="27">
        <v>11.35</v>
      </c>
      <c r="CG9">
        <v>168</v>
      </c>
      <c r="CH9">
        <v>184</v>
      </c>
      <c r="CI9">
        <v>27.35</v>
      </c>
      <c r="CJ9" s="58">
        <v>16</v>
      </c>
      <c r="CK9">
        <v>0</v>
      </c>
      <c r="CL9">
        <v>0</v>
      </c>
      <c r="CM9">
        <v>5</v>
      </c>
      <c r="CN9">
        <v>60</v>
      </c>
      <c r="CO9" s="58">
        <v>42.230769230769234</v>
      </c>
      <c r="CP9">
        <v>26</v>
      </c>
    </row>
    <row r="10" spans="1:94" x14ac:dyDescent="0.25">
      <c r="A10" s="8">
        <v>3</v>
      </c>
      <c r="B10" s="70" t="str">
        <f>Personal!A9</f>
        <v>I_CG</v>
      </c>
      <c r="C10" s="8">
        <v>1</v>
      </c>
      <c r="D10" s="8">
        <v>0</v>
      </c>
      <c r="E10" s="8">
        <v>0</v>
      </c>
      <c r="F10" s="8">
        <v>0</v>
      </c>
      <c r="G10" s="8">
        <v>1</v>
      </c>
      <c r="H10" s="8">
        <v>0</v>
      </c>
      <c r="I10" s="55">
        <v>1</v>
      </c>
      <c r="J10" s="36">
        <v>0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7"/>
      <c r="BF10" s="73">
        <v>32.649999999999991</v>
      </c>
      <c r="BG10" s="8">
        <v>9.5999999999999943</v>
      </c>
      <c r="BH10" s="8">
        <v>0</v>
      </c>
      <c r="BI10" s="70">
        <f t="shared" si="3"/>
        <v>9.5999999999999943</v>
      </c>
      <c r="BJ10" s="8" t="s">
        <v>208</v>
      </c>
      <c r="BK10" s="39">
        <f t="shared" si="4"/>
        <v>1000</v>
      </c>
      <c r="BL10" s="51">
        <v>0</v>
      </c>
      <c r="BM10" s="55">
        <v>4</v>
      </c>
      <c r="BN10" s="7"/>
      <c r="BO10" s="36"/>
      <c r="BP10" s="36"/>
      <c r="BQ10" s="36"/>
      <c r="BS10" t="s">
        <v>334</v>
      </c>
      <c r="BT10">
        <v>9</v>
      </c>
      <c r="BU10" t="s">
        <v>76</v>
      </c>
      <c r="BV10" t="s">
        <v>63</v>
      </c>
      <c r="BX10" s="27"/>
      <c r="BY10" s="27"/>
      <c r="BZ10" s="27"/>
      <c r="CA10" s="27"/>
      <c r="CB10" t="s">
        <v>129</v>
      </c>
      <c r="CC10" s="27" t="s">
        <v>61</v>
      </c>
      <c r="CD10" s="27">
        <v>40</v>
      </c>
      <c r="CE10" s="27">
        <v>1</v>
      </c>
      <c r="CF10" s="27">
        <v>42.6</v>
      </c>
      <c r="CG10">
        <v>168</v>
      </c>
      <c r="CH10">
        <v>169</v>
      </c>
      <c r="CI10">
        <v>43.6</v>
      </c>
      <c r="CJ10" s="58">
        <v>1</v>
      </c>
      <c r="CK10">
        <v>28.3</v>
      </c>
      <c r="CL10">
        <v>4</v>
      </c>
      <c r="CM10">
        <v>3</v>
      </c>
      <c r="CN10">
        <v>60</v>
      </c>
      <c r="CO10" s="58">
        <v>42.898076923076921</v>
      </c>
      <c r="CP10">
        <v>26</v>
      </c>
    </row>
    <row r="11" spans="1:94" x14ac:dyDescent="0.25">
      <c r="A11" s="8">
        <v>5</v>
      </c>
      <c r="B11" s="70" t="str">
        <f>Personal!A10</f>
        <v>M_BJ</v>
      </c>
      <c r="C11" s="8">
        <v>0</v>
      </c>
      <c r="D11" s="8">
        <v>1</v>
      </c>
      <c r="E11" s="8">
        <v>0</v>
      </c>
      <c r="F11" s="8">
        <v>1</v>
      </c>
      <c r="G11" s="8">
        <v>0</v>
      </c>
      <c r="H11" s="8">
        <v>1</v>
      </c>
      <c r="I11" s="55">
        <v>0</v>
      </c>
      <c r="J11" s="36">
        <v>0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7"/>
      <c r="BF11" s="73">
        <v>8.6999999999999993</v>
      </c>
      <c r="BG11" s="8">
        <v>1</v>
      </c>
      <c r="BH11" s="8">
        <v>0</v>
      </c>
      <c r="BI11" s="70">
        <f t="shared" si="3"/>
        <v>1</v>
      </c>
      <c r="BJ11" s="8" t="s">
        <v>190</v>
      </c>
      <c r="BK11" s="39">
        <f t="shared" si="4"/>
        <v>100</v>
      </c>
      <c r="BL11" s="51">
        <v>0</v>
      </c>
      <c r="BM11" s="55">
        <v>3</v>
      </c>
      <c r="BN11" s="7"/>
      <c r="BO11" s="36"/>
      <c r="BP11" s="36"/>
      <c r="BQ11" s="36"/>
      <c r="BS11" t="s">
        <v>334</v>
      </c>
      <c r="BT11">
        <v>10</v>
      </c>
      <c r="BU11" t="s">
        <v>77</v>
      </c>
      <c r="BV11" t="s">
        <v>63</v>
      </c>
      <c r="BX11" s="27"/>
      <c r="BY11" s="27"/>
      <c r="BZ11" s="27"/>
      <c r="CA11" s="27"/>
      <c r="CB11" t="s">
        <v>130</v>
      </c>
      <c r="CC11" s="27" t="s">
        <v>231</v>
      </c>
      <c r="CD11" s="27">
        <v>32</v>
      </c>
      <c r="CE11" s="27">
        <v>0</v>
      </c>
      <c r="CF11" s="27">
        <v>23.05</v>
      </c>
      <c r="CG11">
        <v>134.4</v>
      </c>
      <c r="CH11">
        <v>144</v>
      </c>
      <c r="CI11">
        <v>32.649999999999991</v>
      </c>
      <c r="CJ11" s="58">
        <v>9.5999999999999943</v>
      </c>
      <c r="CK11">
        <v>11.25</v>
      </c>
      <c r="CL11">
        <v>3</v>
      </c>
      <c r="CM11">
        <v>4</v>
      </c>
      <c r="CN11">
        <v>38.4</v>
      </c>
      <c r="CO11" s="58">
        <v>33.692307692307693</v>
      </c>
      <c r="CP11">
        <v>26</v>
      </c>
    </row>
    <row r="12" spans="1:94" x14ac:dyDescent="0.25">
      <c r="A12" s="8">
        <v>5</v>
      </c>
      <c r="B12" s="70" t="str">
        <f>Personal!A11</f>
        <v>O_CK</v>
      </c>
      <c r="C12" s="8">
        <v>0</v>
      </c>
      <c r="D12" s="8">
        <v>0</v>
      </c>
      <c r="E12" s="8">
        <v>1</v>
      </c>
      <c r="F12" s="8">
        <v>0</v>
      </c>
      <c r="G12" s="8">
        <v>1</v>
      </c>
      <c r="H12" s="8">
        <v>0</v>
      </c>
      <c r="I12" s="55">
        <v>0</v>
      </c>
      <c r="J12" s="36">
        <v>0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7"/>
      <c r="BF12" s="73">
        <v>22.45</v>
      </c>
      <c r="BG12" s="8">
        <v>5</v>
      </c>
      <c r="BH12" s="8">
        <v>0</v>
      </c>
      <c r="BI12" s="70">
        <f t="shared" si="3"/>
        <v>5</v>
      </c>
      <c r="BJ12" s="8" t="s">
        <v>306</v>
      </c>
      <c r="BK12" s="39">
        <f t="shared" si="4"/>
        <v>100</v>
      </c>
      <c r="BL12" s="51">
        <v>0</v>
      </c>
      <c r="BM12" s="55">
        <v>3</v>
      </c>
      <c r="BN12" s="7"/>
      <c r="BO12" s="36"/>
      <c r="BP12" s="36"/>
      <c r="BQ12" s="36"/>
      <c r="BS12" t="s">
        <v>334</v>
      </c>
      <c r="BT12">
        <v>11</v>
      </c>
      <c r="BU12" t="s">
        <v>78</v>
      </c>
      <c r="BV12" t="s">
        <v>63</v>
      </c>
      <c r="BX12" s="27"/>
      <c r="BY12" s="27"/>
      <c r="BZ12" s="27"/>
      <c r="CA12" s="27"/>
      <c r="CB12" t="s">
        <v>341</v>
      </c>
      <c r="CC12" s="27" t="s">
        <v>230</v>
      </c>
      <c r="CD12" s="27">
        <v>40</v>
      </c>
      <c r="CE12" s="27">
        <v>0</v>
      </c>
      <c r="CF12" s="27">
        <v>0</v>
      </c>
      <c r="CG12">
        <v>168</v>
      </c>
      <c r="CH12">
        <v>168</v>
      </c>
      <c r="CI12">
        <v>0</v>
      </c>
      <c r="CJ12" s="58">
        <v>0</v>
      </c>
      <c r="CK12">
        <v>0</v>
      </c>
      <c r="CL12">
        <v>0</v>
      </c>
      <c r="CM12">
        <v>5</v>
      </c>
      <c r="CN12">
        <v>48</v>
      </c>
      <c r="CO12" s="58">
        <v>41.305555555555557</v>
      </c>
      <c r="CP12">
        <v>9</v>
      </c>
    </row>
    <row r="13" spans="1:94" x14ac:dyDescent="0.25">
      <c r="A13" s="8">
        <v>2</v>
      </c>
      <c r="B13" s="70" t="str">
        <f>Personal!A12</f>
        <v>S_DL</v>
      </c>
      <c r="C13" s="8">
        <v>0</v>
      </c>
      <c r="D13" s="8">
        <v>1</v>
      </c>
      <c r="E13" s="8">
        <v>0</v>
      </c>
      <c r="F13" s="8">
        <v>1</v>
      </c>
      <c r="G13" s="8">
        <v>0</v>
      </c>
      <c r="H13" s="8">
        <v>1</v>
      </c>
      <c r="I13" s="55">
        <v>0</v>
      </c>
      <c r="J13" s="36">
        <v>0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7"/>
      <c r="BF13" s="73">
        <v>9</v>
      </c>
      <c r="BG13" s="8">
        <v>0</v>
      </c>
      <c r="BH13" s="8">
        <v>2</v>
      </c>
      <c r="BI13" s="70">
        <f t="shared" si="3"/>
        <v>-2</v>
      </c>
      <c r="BJ13" s="8" t="s">
        <v>307</v>
      </c>
      <c r="BK13" s="39">
        <f t="shared" si="4"/>
        <v>10</v>
      </c>
      <c r="BL13" s="51">
        <v>5</v>
      </c>
      <c r="BM13" s="55">
        <v>2</v>
      </c>
      <c r="BN13" s="7"/>
      <c r="BO13" s="36"/>
      <c r="BP13" s="36"/>
      <c r="BQ13" s="36"/>
      <c r="BS13" t="s">
        <v>334</v>
      </c>
      <c r="BT13">
        <v>12</v>
      </c>
      <c r="BU13" t="s">
        <v>72</v>
      </c>
      <c r="BV13" t="s">
        <v>63</v>
      </c>
      <c r="BX13" s="27"/>
      <c r="BY13" s="27"/>
      <c r="BZ13" s="27"/>
      <c r="CA13" s="27"/>
      <c r="CB13" t="s">
        <v>131</v>
      </c>
      <c r="CC13" s="27" t="s">
        <v>231</v>
      </c>
      <c r="CD13" s="27">
        <v>40</v>
      </c>
      <c r="CE13" s="27">
        <v>0</v>
      </c>
      <c r="CF13" s="27">
        <v>7.7</v>
      </c>
      <c r="CG13">
        <v>168</v>
      </c>
      <c r="CH13">
        <v>169</v>
      </c>
      <c r="CI13">
        <v>8.6999999999999993</v>
      </c>
      <c r="CJ13" s="58">
        <v>1</v>
      </c>
      <c r="CK13">
        <v>32.049999999999997</v>
      </c>
      <c r="CL13">
        <v>5</v>
      </c>
      <c r="CM13">
        <v>2</v>
      </c>
      <c r="CN13">
        <v>48</v>
      </c>
      <c r="CO13" s="58">
        <v>43.338461538461537</v>
      </c>
      <c r="CP13">
        <v>26</v>
      </c>
    </row>
    <row r="14" spans="1:94" x14ac:dyDescent="0.25">
      <c r="A14" s="8">
        <v>2</v>
      </c>
      <c r="B14" s="70" t="str">
        <f>Personal!A13</f>
        <v>V_UP</v>
      </c>
      <c r="C14" s="8">
        <v>0</v>
      </c>
      <c r="D14" s="8">
        <v>1</v>
      </c>
      <c r="E14" s="8">
        <v>0</v>
      </c>
      <c r="F14" s="8">
        <v>0</v>
      </c>
      <c r="G14" s="8">
        <v>0</v>
      </c>
      <c r="H14" s="8">
        <v>1</v>
      </c>
      <c r="I14" s="55">
        <v>0</v>
      </c>
      <c r="J14" s="36">
        <v>0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7"/>
      <c r="BF14" s="73">
        <v>8.1</v>
      </c>
      <c r="BG14" s="8">
        <v>0</v>
      </c>
      <c r="BH14" s="8">
        <v>7</v>
      </c>
      <c r="BI14" s="70">
        <f t="shared" si="3"/>
        <v>-7</v>
      </c>
      <c r="BJ14" s="8" t="s">
        <v>157</v>
      </c>
      <c r="BK14" s="39">
        <f t="shared" si="4"/>
        <v>10</v>
      </c>
      <c r="BL14" s="51">
        <v>11.199999999999989</v>
      </c>
      <c r="BM14" s="55">
        <v>2</v>
      </c>
      <c r="BN14" s="7"/>
      <c r="BO14" s="36"/>
      <c r="BP14" s="36"/>
      <c r="BQ14" s="36"/>
      <c r="BS14" t="s">
        <v>334</v>
      </c>
      <c r="BT14">
        <v>13</v>
      </c>
      <c r="BU14" t="s">
        <v>73</v>
      </c>
      <c r="BV14" t="s">
        <v>63</v>
      </c>
      <c r="BX14" s="27"/>
      <c r="BY14" s="27"/>
      <c r="BZ14" s="27"/>
      <c r="CA14" s="27"/>
      <c r="CB14" t="s">
        <v>132</v>
      </c>
      <c r="CC14" s="27" t="s">
        <v>230</v>
      </c>
      <c r="CD14" s="27">
        <v>40</v>
      </c>
      <c r="CE14" s="27">
        <v>1</v>
      </c>
      <c r="CF14" s="27">
        <v>1.7</v>
      </c>
      <c r="CG14">
        <v>168</v>
      </c>
      <c r="CH14">
        <v>170</v>
      </c>
      <c r="CI14">
        <v>3.7</v>
      </c>
      <c r="CJ14" s="58">
        <v>2</v>
      </c>
      <c r="CK14">
        <v>33.599999999999994</v>
      </c>
      <c r="CL14">
        <v>5</v>
      </c>
      <c r="CM14">
        <v>3</v>
      </c>
      <c r="CN14">
        <v>60</v>
      </c>
      <c r="CO14" s="58">
        <v>43.361538461538466</v>
      </c>
      <c r="CP14">
        <v>26</v>
      </c>
    </row>
    <row r="15" spans="1:94" x14ac:dyDescent="0.25">
      <c r="A15" s="8">
        <v>4</v>
      </c>
      <c r="B15" s="70" t="str">
        <f>Personal!A14</f>
        <v>W_BP</v>
      </c>
      <c r="C15" s="8">
        <v>0</v>
      </c>
      <c r="D15" s="8">
        <v>0</v>
      </c>
      <c r="E15" s="8">
        <v>1</v>
      </c>
      <c r="F15" s="8">
        <v>0</v>
      </c>
      <c r="G15" s="8">
        <v>0</v>
      </c>
      <c r="H15" s="8">
        <v>1</v>
      </c>
      <c r="I15" s="55">
        <v>0</v>
      </c>
      <c r="J15" s="36">
        <v>0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7"/>
      <c r="BF15" s="73">
        <v>25.7</v>
      </c>
      <c r="BG15" s="8">
        <v>18</v>
      </c>
      <c r="BH15" s="8">
        <v>0</v>
      </c>
      <c r="BI15" s="70">
        <f t="shared" si="3"/>
        <v>18</v>
      </c>
      <c r="BJ15" s="8" t="s">
        <v>192</v>
      </c>
      <c r="BK15" s="39">
        <f t="shared" si="4"/>
        <v>10</v>
      </c>
      <c r="BL15" s="51">
        <v>3</v>
      </c>
      <c r="BM15" s="55">
        <v>2</v>
      </c>
      <c r="BN15" s="7"/>
      <c r="BO15" s="36"/>
      <c r="BP15" s="36"/>
      <c r="BQ15" s="36"/>
      <c r="BS15" t="s">
        <v>334</v>
      </c>
      <c r="BT15">
        <v>14</v>
      </c>
      <c r="BU15" t="s">
        <v>74</v>
      </c>
      <c r="BV15" t="s">
        <v>84</v>
      </c>
      <c r="BX15" s="27"/>
      <c r="BY15" s="27"/>
      <c r="BZ15" s="27"/>
      <c r="CA15" s="27"/>
      <c r="CB15" t="s">
        <v>133</v>
      </c>
      <c r="CC15" s="27" t="s">
        <v>230</v>
      </c>
      <c r="CD15" s="27">
        <v>40</v>
      </c>
      <c r="CE15" s="27">
        <v>1</v>
      </c>
      <c r="CF15" s="27">
        <v>2</v>
      </c>
      <c r="CG15">
        <v>168</v>
      </c>
      <c r="CH15">
        <v>168</v>
      </c>
      <c r="CI15">
        <v>2</v>
      </c>
      <c r="CJ15" s="58">
        <v>0</v>
      </c>
      <c r="CK15">
        <v>31.5</v>
      </c>
      <c r="CL15">
        <v>3</v>
      </c>
      <c r="CM15">
        <v>3</v>
      </c>
      <c r="CN15">
        <v>60</v>
      </c>
      <c r="CO15" s="58">
        <v>42.82692307692308</v>
      </c>
      <c r="CP15">
        <v>26</v>
      </c>
    </row>
    <row r="16" spans="1:94" x14ac:dyDescent="0.25">
      <c r="A16" s="8">
        <v>5</v>
      </c>
      <c r="B16" s="70" t="str">
        <f>Personal!A15</f>
        <v>X_AP</v>
      </c>
      <c r="C16" s="8">
        <v>0</v>
      </c>
      <c r="D16" s="8">
        <v>0</v>
      </c>
      <c r="E16" s="8">
        <v>0</v>
      </c>
      <c r="F16" s="8">
        <v>1</v>
      </c>
      <c r="G16" s="8">
        <v>0</v>
      </c>
      <c r="H16" s="8">
        <v>0</v>
      </c>
      <c r="I16" s="55">
        <v>1</v>
      </c>
      <c r="J16" s="36">
        <v>0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7"/>
      <c r="BF16" s="73">
        <v>11.4</v>
      </c>
      <c r="BG16" s="8">
        <v>3</v>
      </c>
      <c r="BH16" s="8">
        <v>0</v>
      </c>
      <c r="BI16" s="70">
        <f t="shared" si="3"/>
        <v>3</v>
      </c>
      <c r="BJ16" s="8" t="s">
        <v>183</v>
      </c>
      <c r="BK16" s="39">
        <f t="shared" si="4"/>
        <v>10</v>
      </c>
      <c r="BL16" s="51">
        <v>1</v>
      </c>
      <c r="BM16" s="55">
        <v>2</v>
      </c>
      <c r="BN16" s="7"/>
      <c r="BO16" s="36"/>
      <c r="BP16" s="36"/>
      <c r="BQ16" s="36"/>
      <c r="BS16" t="s">
        <v>334</v>
      </c>
      <c r="BT16">
        <v>15</v>
      </c>
      <c r="BU16" t="s">
        <v>75</v>
      </c>
      <c r="BV16" t="s">
        <v>84</v>
      </c>
      <c r="BX16" s="27"/>
      <c r="BY16" s="27"/>
      <c r="BZ16" s="27"/>
      <c r="CA16" s="27"/>
      <c r="CB16" t="s">
        <v>134</v>
      </c>
      <c r="CC16" s="27" t="s">
        <v>61</v>
      </c>
      <c r="CD16" s="27">
        <v>32</v>
      </c>
      <c r="CE16" s="27">
        <v>1</v>
      </c>
      <c r="CF16" s="27">
        <v>30.15</v>
      </c>
      <c r="CG16">
        <v>134.4</v>
      </c>
      <c r="CH16">
        <v>136</v>
      </c>
      <c r="CI16">
        <v>31.749999999999993</v>
      </c>
      <c r="CJ16" s="58">
        <v>1.5999999999999943</v>
      </c>
      <c r="CK16">
        <v>0</v>
      </c>
      <c r="CL16">
        <v>0</v>
      </c>
      <c r="CM16">
        <v>5</v>
      </c>
      <c r="CN16">
        <v>48</v>
      </c>
      <c r="CO16" s="58">
        <v>32.807692307692307</v>
      </c>
      <c r="CP16">
        <v>26</v>
      </c>
    </row>
    <row r="17" spans="1:94" x14ac:dyDescent="0.25">
      <c r="A17" s="8">
        <v>4</v>
      </c>
      <c r="B17" s="70" t="str">
        <f>Personal!A16</f>
        <v>Y_DS</v>
      </c>
      <c r="C17" s="8">
        <v>0</v>
      </c>
      <c r="D17" s="8">
        <v>1</v>
      </c>
      <c r="E17" s="8">
        <v>0</v>
      </c>
      <c r="F17" s="8">
        <v>1</v>
      </c>
      <c r="G17" s="8">
        <v>1</v>
      </c>
      <c r="H17" s="8">
        <v>0</v>
      </c>
      <c r="I17" s="55">
        <v>1</v>
      </c>
      <c r="J17" s="36">
        <v>0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7"/>
      <c r="BF17" s="73">
        <v>35</v>
      </c>
      <c r="BG17" s="8">
        <v>1</v>
      </c>
      <c r="BH17" s="8">
        <v>0</v>
      </c>
      <c r="BI17" s="70">
        <f t="shared" si="3"/>
        <v>1</v>
      </c>
      <c r="BJ17" s="8" t="s">
        <v>189</v>
      </c>
      <c r="BK17" s="39">
        <f t="shared" si="4"/>
        <v>10</v>
      </c>
      <c r="BL17" s="51">
        <v>8</v>
      </c>
      <c r="BM17" s="55">
        <v>2</v>
      </c>
      <c r="BN17" s="7"/>
      <c r="BO17" s="36"/>
      <c r="BP17" s="36"/>
      <c r="BQ17" s="36"/>
      <c r="BS17" t="s">
        <v>334</v>
      </c>
      <c r="BT17">
        <v>16</v>
      </c>
      <c r="BU17" t="s">
        <v>76</v>
      </c>
      <c r="BV17" t="s">
        <v>31</v>
      </c>
      <c r="BX17" s="27"/>
      <c r="BY17" s="27"/>
      <c r="BZ17" s="27"/>
      <c r="CA17" s="27"/>
      <c r="CB17" t="s">
        <v>135</v>
      </c>
      <c r="CC17" s="27" t="s">
        <v>231</v>
      </c>
      <c r="CD17" s="27">
        <v>40</v>
      </c>
      <c r="CE17" s="27">
        <v>0</v>
      </c>
      <c r="CF17" s="27">
        <v>17.45</v>
      </c>
      <c r="CG17">
        <v>168</v>
      </c>
      <c r="CH17">
        <v>173</v>
      </c>
      <c r="CI17">
        <v>22.45</v>
      </c>
      <c r="CJ17" s="58">
        <v>5</v>
      </c>
      <c r="CK17">
        <v>12</v>
      </c>
      <c r="CL17">
        <v>5</v>
      </c>
      <c r="CM17">
        <v>3</v>
      </c>
      <c r="CN17">
        <v>48</v>
      </c>
      <c r="CO17" s="58">
        <v>42.269230769230766</v>
      </c>
      <c r="CP17">
        <v>26</v>
      </c>
    </row>
    <row r="18" spans="1:94" x14ac:dyDescent="0.25">
      <c r="A18" s="8">
        <v>3</v>
      </c>
      <c r="B18" s="70" t="str">
        <f>Personal!A17</f>
        <v>Z_HS</v>
      </c>
      <c r="C18" s="8">
        <v>1</v>
      </c>
      <c r="D18" s="8">
        <v>0</v>
      </c>
      <c r="E18" s="8">
        <v>1</v>
      </c>
      <c r="F18" s="8">
        <v>0</v>
      </c>
      <c r="G18" s="8">
        <v>1</v>
      </c>
      <c r="H18" s="8">
        <v>0</v>
      </c>
      <c r="I18" s="55">
        <v>1</v>
      </c>
      <c r="J18" s="36">
        <v>0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7"/>
      <c r="BF18" s="73">
        <v>6.199999999999994</v>
      </c>
      <c r="BG18" s="8">
        <v>0</v>
      </c>
      <c r="BH18" s="8">
        <v>3.4000000000000057</v>
      </c>
      <c r="BI18" s="70">
        <f t="shared" si="3"/>
        <v>-3.4000000000000057</v>
      </c>
      <c r="BJ18" s="8" t="s">
        <v>159</v>
      </c>
      <c r="BK18" s="39">
        <f t="shared" si="4"/>
        <v>10</v>
      </c>
      <c r="BL18" s="51">
        <v>0</v>
      </c>
      <c r="BM18" s="55">
        <v>2</v>
      </c>
      <c r="BN18" s="7"/>
      <c r="BO18" s="36"/>
      <c r="BP18" s="36"/>
      <c r="BQ18" s="36"/>
      <c r="BS18" t="s">
        <v>334</v>
      </c>
      <c r="BT18">
        <v>17</v>
      </c>
      <c r="BU18" t="s">
        <v>77</v>
      </c>
      <c r="BV18" t="s">
        <v>5</v>
      </c>
      <c r="BX18" s="27"/>
      <c r="BY18" s="27"/>
      <c r="BZ18" s="27"/>
      <c r="CA18" s="27"/>
      <c r="CB18" t="s">
        <v>136</v>
      </c>
      <c r="CC18" s="27" t="s">
        <v>230</v>
      </c>
      <c r="CD18" s="27">
        <v>40</v>
      </c>
      <c r="CE18" s="27">
        <v>1</v>
      </c>
      <c r="CF18" s="27">
        <v>14</v>
      </c>
      <c r="CG18">
        <v>168</v>
      </c>
      <c r="CH18">
        <v>163</v>
      </c>
      <c r="CI18">
        <v>9</v>
      </c>
      <c r="CJ18" s="58">
        <v>-5</v>
      </c>
      <c r="CK18">
        <v>38.149999999999991</v>
      </c>
      <c r="CL18">
        <v>5</v>
      </c>
      <c r="CM18">
        <v>3</v>
      </c>
      <c r="CN18">
        <v>60</v>
      </c>
      <c r="CO18" s="58">
        <v>42.513461538461534</v>
      </c>
      <c r="CP18">
        <v>26</v>
      </c>
    </row>
    <row r="19" spans="1:94" x14ac:dyDescent="0.25">
      <c r="A19" s="8">
        <v>0</v>
      </c>
      <c r="B19" s="70" t="str">
        <f>Personal!A18</f>
        <v>ZB_TW</v>
      </c>
      <c r="C19" s="8">
        <v>1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55">
        <v>0</v>
      </c>
      <c r="J19" s="36">
        <v>0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7"/>
      <c r="BF19" s="73">
        <v>13.749999999999993</v>
      </c>
      <c r="BG19" s="8">
        <v>0</v>
      </c>
      <c r="BH19" s="8">
        <v>6.4000000000000057</v>
      </c>
      <c r="BI19" s="70">
        <f t="shared" si="3"/>
        <v>-6.4000000000000057</v>
      </c>
      <c r="BJ19" s="8" t="s">
        <v>308</v>
      </c>
      <c r="BK19" s="39">
        <f t="shared" si="4"/>
        <v>10</v>
      </c>
      <c r="BL19" s="51">
        <v>8</v>
      </c>
      <c r="BM19" s="55">
        <v>2</v>
      </c>
      <c r="BN19" s="7"/>
      <c r="BO19" s="36"/>
      <c r="BP19" s="36"/>
      <c r="BQ19" s="36"/>
      <c r="BS19" t="s">
        <v>334</v>
      </c>
      <c r="BT19">
        <v>18</v>
      </c>
      <c r="BU19" t="s">
        <v>78</v>
      </c>
      <c r="BV19" t="s">
        <v>31</v>
      </c>
      <c r="BX19" s="27"/>
      <c r="BY19" s="27"/>
      <c r="BZ19" s="27"/>
      <c r="CA19" s="27"/>
      <c r="CB19" t="s">
        <v>342</v>
      </c>
      <c r="CC19" s="27" t="s">
        <v>230</v>
      </c>
      <c r="CD19" s="27">
        <v>40</v>
      </c>
      <c r="CE19" s="27">
        <v>0</v>
      </c>
      <c r="CF19" s="27">
        <v>0</v>
      </c>
      <c r="CG19">
        <v>168</v>
      </c>
      <c r="CH19">
        <v>168</v>
      </c>
      <c r="CI19">
        <v>0</v>
      </c>
      <c r="CJ19" s="58">
        <v>0</v>
      </c>
      <c r="CK19">
        <v>0</v>
      </c>
      <c r="CL19">
        <v>0</v>
      </c>
      <c r="CM19">
        <v>5</v>
      </c>
      <c r="CN19">
        <v>48</v>
      </c>
      <c r="CO19" s="58">
        <v>36.444444444444443</v>
      </c>
      <c r="CP19">
        <v>9</v>
      </c>
    </row>
    <row r="20" spans="1:94" x14ac:dyDescent="0.25">
      <c r="A20" s="8">
        <v>0</v>
      </c>
      <c r="B20" s="70" t="str">
        <f>Personal!A19</f>
        <v>A_1JA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55">
        <v>0</v>
      </c>
      <c r="J20" s="36">
        <v>0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7"/>
      <c r="BF20" s="73">
        <v>-13.600000000000003</v>
      </c>
      <c r="BG20" s="8">
        <v>0</v>
      </c>
      <c r="BH20" s="8">
        <v>3.2000000000000028</v>
      </c>
      <c r="BI20" s="70">
        <f t="shared" si="3"/>
        <v>-3.2000000000000028</v>
      </c>
      <c r="BJ20" s="8" t="s">
        <v>158</v>
      </c>
      <c r="BK20" s="39">
        <v>0.1</v>
      </c>
      <c r="BL20" s="51">
        <v>71</v>
      </c>
      <c r="BM20" s="55">
        <v>1</v>
      </c>
      <c r="BN20" s="7"/>
      <c r="BO20" s="36"/>
      <c r="BP20" s="36"/>
      <c r="BQ20" s="36"/>
      <c r="BS20" t="s">
        <v>334</v>
      </c>
      <c r="BT20">
        <v>19</v>
      </c>
      <c r="BU20" t="s">
        <v>72</v>
      </c>
      <c r="BV20" t="s">
        <v>43</v>
      </c>
      <c r="BX20" s="27"/>
      <c r="BY20" s="27"/>
      <c r="BZ20" s="27"/>
      <c r="CA20" s="27"/>
      <c r="CB20" t="s">
        <v>337</v>
      </c>
      <c r="CC20" s="27" t="s">
        <v>230</v>
      </c>
      <c r="CD20" s="27">
        <v>40</v>
      </c>
      <c r="CE20" s="27">
        <v>1</v>
      </c>
      <c r="CF20" s="27">
        <v>27</v>
      </c>
      <c r="CG20">
        <v>168</v>
      </c>
      <c r="CH20">
        <v>176</v>
      </c>
      <c r="CI20">
        <v>35</v>
      </c>
      <c r="CJ20" s="58">
        <v>8</v>
      </c>
      <c r="CK20">
        <v>0</v>
      </c>
      <c r="CL20">
        <v>0</v>
      </c>
      <c r="CM20">
        <v>5</v>
      </c>
      <c r="CN20">
        <v>60</v>
      </c>
      <c r="CO20" s="58">
        <v>41.92307692307692</v>
      </c>
      <c r="CP20">
        <v>26</v>
      </c>
    </row>
    <row r="21" spans="1:94" x14ac:dyDescent="0.25">
      <c r="A21" s="8">
        <v>0</v>
      </c>
      <c r="B21" s="70" t="str">
        <f>Personal!A20</f>
        <v>A_CA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55">
        <v>0</v>
      </c>
      <c r="J21" s="36">
        <v>0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7"/>
      <c r="BF21" s="73">
        <v>-7.0000000000000053</v>
      </c>
      <c r="BG21" s="8">
        <v>0</v>
      </c>
      <c r="BH21" s="8">
        <v>6.4000000000000057</v>
      </c>
      <c r="BI21" s="70">
        <f t="shared" si="3"/>
        <v>-6.4000000000000057</v>
      </c>
      <c r="BJ21" s="8" t="s">
        <v>155</v>
      </c>
      <c r="BK21" s="39">
        <f t="shared" si="4"/>
        <v>1</v>
      </c>
      <c r="BL21" s="51">
        <v>278</v>
      </c>
      <c r="BM21" s="55">
        <v>1</v>
      </c>
      <c r="BN21" s="7"/>
      <c r="BO21" s="36"/>
      <c r="BP21" s="36"/>
      <c r="BQ21" s="36"/>
      <c r="BS21" t="s">
        <v>334</v>
      </c>
      <c r="BT21">
        <v>20</v>
      </c>
      <c r="BU21" t="s">
        <v>73</v>
      </c>
      <c r="BV21" t="s">
        <v>31</v>
      </c>
      <c r="BX21" s="27"/>
      <c r="BY21" s="27"/>
      <c r="BZ21" s="27"/>
      <c r="CA21" s="27"/>
      <c r="CB21" t="s">
        <v>137</v>
      </c>
      <c r="CC21" s="27" t="s">
        <v>61</v>
      </c>
      <c r="CD21" s="27">
        <v>40</v>
      </c>
      <c r="CE21" s="27">
        <v>1</v>
      </c>
      <c r="CF21" s="27">
        <v>32.799999999999997</v>
      </c>
      <c r="CG21">
        <v>168</v>
      </c>
      <c r="CH21">
        <v>169</v>
      </c>
      <c r="CI21">
        <v>33.799999999999997</v>
      </c>
      <c r="CJ21" s="58">
        <v>1</v>
      </c>
      <c r="CK21">
        <v>28.799999999999997</v>
      </c>
      <c r="CL21">
        <v>3</v>
      </c>
      <c r="CM21">
        <v>3</v>
      </c>
      <c r="CN21">
        <v>60</v>
      </c>
      <c r="CO21" s="58">
        <v>42.838461538461537</v>
      </c>
      <c r="CP21">
        <v>26</v>
      </c>
    </row>
    <row r="22" spans="1:94" x14ac:dyDescent="0.25">
      <c r="A22" s="8">
        <v>4</v>
      </c>
      <c r="B22" s="70" t="str">
        <f>Personal!A21</f>
        <v>D_VB</v>
      </c>
      <c r="C22" s="8">
        <v>1</v>
      </c>
      <c r="D22" s="8">
        <v>0</v>
      </c>
      <c r="E22" s="8">
        <v>0</v>
      </c>
      <c r="F22" s="8">
        <v>0</v>
      </c>
      <c r="G22" s="8">
        <v>1</v>
      </c>
      <c r="H22" s="8">
        <v>0</v>
      </c>
      <c r="I22" s="55">
        <v>1</v>
      </c>
      <c r="J22" s="36">
        <v>0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7"/>
      <c r="BF22" s="73">
        <v>-10.25</v>
      </c>
      <c r="BG22" s="8">
        <v>0</v>
      </c>
      <c r="BH22" s="8">
        <v>8</v>
      </c>
      <c r="BI22" s="70">
        <f t="shared" si="3"/>
        <v>-8</v>
      </c>
      <c r="BJ22" s="55" t="s">
        <v>154</v>
      </c>
      <c r="BK22" s="39">
        <v>0</v>
      </c>
      <c r="BL22" s="51">
        <v>750</v>
      </c>
      <c r="BN22" s="7"/>
      <c r="BO22" s="36"/>
      <c r="BP22" s="36"/>
      <c r="BQ22" s="36"/>
      <c r="BS22" t="s">
        <v>334</v>
      </c>
      <c r="BT22">
        <v>21</v>
      </c>
      <c r="BU22" t="s">
        <v>74</v>
      </c>
      <c r="BV22" t="s">
        <v>83</v>
      </c>
      <c r="BX22" s="27"/>
      <c r="BY22" s="27"/>
      <c r="BZ22" s="27"/>
      <c r="CA22" s="27"/>
      <c r="CB22" t="s">
        <v>146</v>
      </c>
      <c r="CC22" s="27" t="s">
        <v>231</v>
      </c>
      <c r="CD22" s="27">
        <v>20</v>
      </c>
      <c r="CE22" s="27">
        <v>1</v>
      </c>
      <c r="CF22" s="27">
        <v>11</v>
      </c>
      <c r="CG22">
        <v>84</v>
      </c>
      <c r="CH22">
        <v>82</v>
      </c>
      <c r="CI22">
        <v>9</v>
      </c>
      <c r="CJ22" s="58">
        <v>-2</v>
      </c>
      <c r="CK22">
        <v>17.600000000000001</v>
      </c>
      <c r="CL22">
        <v>2</v>
      </c>
      <c r="CM22">
        <v>2</v>
      </c>
      <c r="CN22">
        <v>30</v>
      </c>
      <c r="CO22" s="58">
        <v>22.4</v>
      </c>
      <c r="CP22">
        <v>26</v>
      </c>
    </row>
    <row r="23" spans="1:94" x14ac:dyDescent="0.25">
      <c r="A23" s="8">
        <v>5</v>
      </c>
      <c r="B23" s="70" t="str">
        <f>Personal!A22</f>
        <v>F_AG</v>
      </c>
      <c r="C23" s="8">
        <v>0</v>
      </c>
      <c r="D23" s="8">
        <v>0</v>
      </c>
      <c r="E23" s="8">
        <v>0</v>
      </c>
      <c r="F23" s="8">
        <v>1</v>
      </c>
      <c r="G23" s="8">
        <v>0</v>
      </c>
      <c r="H23" s="8">
        <v>1</v>
      </c>
      <c r="I23" s="55">
        <v>0</v>
      </c>
      <c r="J23" s="36">
        <v>0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7"/>
      <c r="BF23" s="73">
        <v>3.7</v>
      </c>
      <c r="BG23" s="8">
        <v>2</v>
      </c>
      <c r="BH23" s="8">
        <v>0</v>
      </c>
      <c r="BI23" s="70">
        <f t="shared" si="3"/>
        <v>2</v>
      </c>
      <c r="BJ23" s="8" t="s">
        <v>180</v>
      </c>
      <c r="BK23" s="39">
        <v>0</v>
      </c>
      <c r="BL23" s="51">
        <v>367</v>
      </c>
      <c r="BN23" s="36"/>
      <c r="BO23" s="36"/>
      <c r="BP23" s="36"/>
      <c r="BQ23" s="36"/>
      <c r="BS23" t="s">
        <v>334</v>
      </c>
      <c r="BT23">
        <v>22</v>
      </c>
      <c r="BU23" t="s">
        <v>75</v>
      </c>
      <c r="BV23" t="s">
        <v>83</v>
      </c>
      <c r="BX23" s="27"/>
      <c r="BY23" s="27"/>
      <c r="BZ23" s="27"/>
      <c r="CA23" s="27"/>
      <c r="CB23" t="s">
        <v>138</v>
      </c>
      <c r="CC23" s="27" t="s">
        <v>231</v>
      </c>
      <c r="CD23" s="27">
        <v>40</v>
      </c>
      <c r="CE23" s="27">
        <v>1</v>
      </c>
      <c r="CF23" s="27">
        <v>15.1</v>
      </c>
      <c r="CG23">
        <v>168</v>
      </c>
      <c r="CH23">
        <v>161</v>
      </c>
      <c r="CI23">
        <v>8.1</v>
      </c>
      <c r="CJ23" s="58">
        <v>-7</v>
      </c>
      <c r="CK23">
        <v>12.8</v>
      </c>
      <c r="CL23">
        <v>2</v>
      </c>
      <c r="CM23">
        <v>3</v>
      </c>
      <c r="CN23">
        <v>60</v>
      </c>
      <c r="CO23" s="58">
        <v>42.146153846153844</v>
      </c>
      <c r="CP23">
        <v>26</v>
      </c>
    </row>
    <row r="24" spans="1:94" x14ac:dyDescent="0.25">
      <c r="A24" s="8">
        <v>3</v>
      </c>
      <c r="B24" s="70" t="e">
        <f>Personal!#REF!</f>
        <v>#REF!</v>
      </c>
      <c r="C24" s="8">
        <v>0</v>
      </c>
      <c r="D24" s="8">
        <v>0</v>
      </c>
      <c r="E24" s="8">
        <v>1</v>
      </c>
      <c r="F24" s="8">
        <v>0</v>
      </c>
      <c r="G24" s="8">
        <v>1</v>
      </c>
      <c r="H24" s="8">
        <v>0</v>
      </c>
      <c r="I24" s="55">
        <v>0</v>
      </c>
      <c r="J24" s="36">
        <v>0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7"/>
      <c r="BF24" s="73">
        <v>2</v>
      </c>
      <c r="BG24" s="8">
        <v>0</v>
      </c>
      <c r="BH24" s="8">
        <v>0</v>
      </c>
      <c r="BI24" s="70">
        <f t="shared" si="3"/>
        <v>0</v>
      </c>
      <c r="BJ24" s="8" t="s">
        <v>156</v>
      </c>
      <c r="BK24" s="39">
        <v>0</v>
      </c>
      <c r="BL24" s="51">
        <v>41.41400000000003</v>
      </c>
      <c r="BM24" s="36"/>
      <c r="BN24" s="144" t="s">
        <v>333</v>
      </c>
      <c r="BO24" s="144">
        <f>SUMPRODUCT(BK2:BK24,BL2:BL24)</f>
        <v>5647.1</v>
      </c>
      <c r="BP24" s="36"/>
      <c r="BQ24" s="36"/>
      <c r="BS24" t="s">
        <v>334</v>
      </c>
      <c r="BT24">
        <v>23</v>
      </c>
      <c r="BU24" t="s">
        <v>76</v>
      </c>
      <c r="BV24" t="s">
        <v>31</v>
      </c>
      <c r="BX24" s="27"/>
      <c r="BY24" s="27"/>
      <c r="BZ24" s="27"/>
      <c r="CA24" s="27"/>
      <c r="CB24" t="s">
        <v>139</v>
      </c>
      <c r="CC24" s="27" t="s">
        <v>231</v>
      </c>
      <c r="CD24" s="27">
        <v>40</v>
      </c>
      <c r="CE24" s="27">
        <v>1</v>
      </c>
      <c r="CF24" s="27">
        <v>7.7</v>
      </c>
      <c r="CG24">
        <v>168</v>
      </c>
      <c r="CH24">
        <v>186</v>
      </c>
      <c r="CI24">
        <v>25.7</v>
      </c>
      <c r="CJ24" s="58">
        <v>18</v>
      </c>
      <c r="CK24">
        <v>9.1000000000000014</v>
      </c>
      <c r="CL24">
        <v>4</v>
      </c>
      <c r="CM24">
        <v>3</v>
      </c>
      <c r="CN24">
        <v>60</v>
      </c>
      <c r="CO24" s="58">
        <v>42.657692307692301</v>
      </c>
      <c r="CP24">
        <v>26</v>
      </c>
    </row>
    <row r="25" spans="1:94" x14ac:dyDescent="0.25">
      <c r="A25" s="8">
        <v>5</v>
      </c>
      <c r="B25" s="70" t="e">
        <f>Personal!#REF!</f>
        <v>#REF!</v>
      </c>
      <c r="C25" s="8">
        <v>0</v>
      </c>
      <c r="D25" s="8">
        <v>0</v>
      </c>
      <c r="E25" s="8">
        <v>1</v>
      </c>
      <c r="F25" s="8">
        <v>0</v>
      </c>
      <c r="G25" s="8">
        <v>1</v>
      </c>
      <c r="H25" s="8">
        <v>0</v>
      </c>
      <c r="I25" s="55">
        <v>0</v>
      </c>
      <c r="J25" s="36">
        <v>0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7"/>
      <c r="BF25" s="73">
        <v>9</v>
      </c>
      <c r="BG25" s="8">
        <v>0</v>
      </c>
      <c r="BH25" s="8">
        <v>5</v>
      </c>
      <c r="BI25" s="70">
        <f t="shared" si="3"/>
        <v>-5</v>
      </c>
      <c r="BM25" s="36"/>
      <c r="BN25" s="144" t="s">
        <v>340</v>
      </c>
      <c r="BO25" s="144">
        <v>191.66</v>
      </c>
      <c r="BP25" s="36"/>
      <c r="BQ25" s="36"/>
      <c r="BS25" t="s">
        <v>334</v>
      </c>
      <c r="BT25">
        <v>24</v>
      </c>
      <c r="BU25" t="s">
        <v>77</v>
      </c>
      <c r="BV25" t="s">
        <v>31</v>
      </c>
      <c r="BX25" s="27"/>
      <c r="BY25" s="27"/>
      <c r="BZ25" s="27"/>
      <c r="CA25" s="27"/>
      <c r="CB25" t="s">
        <v>140</v>
      </c>
      <c r="CC25" s="27" t="s">
        <v>231</v>
      </c>
      <c r="CD25" s="27">
        <v>40</v>
      </c>
      <c r="CE25" s="27">
        <v>1</v>
      </c>
      <c r="CF25" s="27">
        <v>8.4</v>
      </c>
      <c r="CG25">
        <v>168</v>
      </c>
      <c r="CH25">
        <v>171</v>
      </c>
      <c r="CI25">
        <v>11.4</v>
      </c>
      <c r="CJ25" s="58">
        <v>3</v>
      </c>
      <c r="CK25">
        <v>17.900000000000006</v>
      </c>
      <c r="CL25">
        <v>5</v>
      </c>
      <c r="CM25">
        <v>4</v>
      </c>
      <c r="CN25">
        <v>60</v>
      </c>
      <c r="CO25" s="58">
        <v>42.105769230769234</v>
      </c>
      <c r="CP25">
        <v>26</v>
      </c>
    </row>
    <row r="26" spans="1:94" x14ac:dyDescent="0.25">
      <c r="A26" s="8">
        <v>0</v>
      </c>
      <c r="B26" s="70" t="str">
        <f>Personal!A23</f>
        <v>P_AK</v>
      </c>
      <c r="C26" s="8">
        <v>1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55">
        <v>0</v>
      </c>
      <c r="J26" s="36">
        <v>0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7"/>
      <c r="BF26" s="73">
        <v>35</v>
      </c>
      <c r="BG26" s="8">
        <v>8</v>
      </c>
      <c r="BH26" s="8">
        <v>0</v>
      </c>
      <c r="BI26" s="70">
        <f t="shared" si="3"/>
        <v>8</v>
      </c>
      <c r="BM26" s="36"/>
      <c r="BP26" s="36"/>
      <c r="BQ26" s="36"/>
      <c r="BS26" t="s">
        <v>334</v>
      </c>
      <c r="BT26">
        <v>25</v>
      </c>
      <c r="BU26" t="s">
        <v>78</v>
      </c>
      <c r="BV26" t="s">
        <v>5</v>
      </c>
      <c r="BX26" s="27"/>
      <c r="BY26" s="27"/>
      <c r="BZ26" s="27"/>
      <c r="CA26" s="27"/>
      <c r="CB26" t="s">
        <v>141</v>
      </c>
      <c r="CC26" s="27" t="s">
        <v>231</v>
      </c>
      <c r="CD26" s="27">
        <v>40</v>
      </c>
      <c r="CE26" s="27">
        <v>1</v>
      </c>
      <c r="CF26" s="27">
        <v>34</v>
      </c>
      <c r="CG26">
        <v>168</v>
      </c>
      <c r="CH26">
        <v>169</v>
      </c>
      <c r="CI26">
        <v>35</v>
      </c>
      <c r="CJ26" s="58">
        <v>1</v>
      </c>
      <c r="CK26">
        <v>12.55</v>
      </c>
      <c r="CL26">
        <v>4</v>
      </c>
      <c r="CM26">
        <v>2</v>
      </c>
      <c r="CN26">
        <v>60</v>
      </c>
      <c r="CO26" s="58">
        <v>42.896153846153844</v>
      </c>
      <c r="CP26">
        <v>26</v>
      </c>
    </row>
    <row r="27" spans="1:94" x14ac:dyDescent="0.25">
      <c r="A27" s="8">
        <v>5</v>
      </c>
      <c r="B27" s="70" t="str">
        <f>Personal!A24</f>
        <v>Q_CK</v>
      </c>
      <c r="C27" s="8">
        <v>0</v>
      </c>
      <c r="D27" s="8">
        <v>1</v>
      </c>
      <c r="E27" s="8">
        <v>0</v>
      </c>
      <c r="F27" s="8">
        <v>1</v>
      </c>
      <c r="G27" s="8">
        <v>0</v>
      </c>
      <c r="H27" s="8">
        <v>1</v>
      </c>
      <c r="I27" s="55">
        <v>0</v>
      </c>
      <c r="J27" s="36">
        <v>0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7"/>
      <c r="BF27" s="73">
        <v>-0.5</v>
      </c>
      <c r="BG27" s="8">
        <v>0</v>
      </c>
      <c r="BH27" s="8">
        <v>0</v>
      </c>
      <c r="BI27" s="70">
        <f t="shared" si="3"/>
        <v>0</v>
      </c>
      <c r="BP27" s="36"/>
      <c r="BQ27" s="36"/>
      <c r="BS27" t="s">
        <v>334</v>
      </c>
      <c r="BT27">
        <v>26</v>
      </c>
      <c r="BU27" t="s">
        <v>72</v>
      </c>
      <c r="BV27" t="s">
        <v>31</v>
      </c>
      <c r="BX27" s="27"/>
      <c r="BY27" s="27"/>
      <c r="BZ27" s="27"/>
      <c r="CA27" s="27"/>
      <c r="CB27" t="s">
        <v>335</v>
      </c>
      <c r="CC27" s="27" t="s">
        <v>230</v>
      </c>
      <c r="CD27" s="27">
        <v>40</v>
      </c>
      <c r="CE27" s="27">
        <v>1</v>
      </c>
      <c r="CF27" s="27">
        <v>-0.5</v>
      </c>
      <c r="CG27">
        <v>168</v>
      </c>
      <c r="CH27">
        <v>168</v>
      </c>
      <c r="CI27">
        <v>-0.5</v>
      </c>
      <c r="CJ27" s="58">
        <v>0</v>
      </c>
      <c r="CK27">
        <v>59.25</v>
      </c>
      <c r="CL27">
        <v>5</v>
      </c>
      <c r="CM27">
        <v>2</v>
      </c>
      <c r="CN27">
        <v>60</v>
      </c>
      <c r="CO27" s="58">
        <v>43.894230769230766</v>
      </c>
      <c r="CP27">
        <v>26</v>
      </c>
    </row>
    <row r="28" spans="1:94" x14ac:dyDescent="0.25">
      <c r="A28" s="8">
        <v>3</v>
      </c>
      <c r="B28" s="70" t="str">
        <f>Personal!A25</f>
        <v>T_TM</v>
      </c>
      <c r="C28" s="8">
        <v>0</v>
      </c>
      <c r="D28" s="8">
        <v>1</v>
      </c>
      <c r="E28" s="8">
        <v>0</v>
      </c>
      <c r="F28" s="8">
        <v>1</v>
      </c>
      <c r="G28" s="8">
        <v>0</v>
      </c>
      <c r="H28" s="8">
        <v>1</v>
      </c>
      <c r="I28" s="55">
        <v>0</v>
      </c>
      <c r="J28" s="36">
        <v>0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7"/>
      <c r="BF28" s="73">
        <v>2.25</v>
      </c>
      <c r="BG28" s="8">
        <v>0</v>
      </c>
      <c r="BH28" s="8">
        <v>0</v>
      </c>
      <c r="BI28" s="70">
        <f t="shared" si="3"/>
        <v>0</v>
      </c>
      <c r="BP28" s="36"/>
      <c r="BQ28" s="36"/>
      <c r="BS28" t="s">
        <v>334</v>
      </c>
      <c r="BT28">
        <v>27</v>
      </c>
      <c r="BU28" t="s">
        <v>73</v>
      </c>
      <c r="BV28" t="s">
        <v>6</v>
      </c>
      <c r="BX28" s="27"/>
      <c r="BY28" s="27"/>
      <c r="BZ28" s="27"/>
      <c r="CA28" s="27"/>
      <c r="CB28" t="s">
        <v>142</v>
      </c>
      <c r="CC28" s="27" t="s">
        <v>231</v>
      </c>
      <c r="CD28" s="27">
        <v>32</v>
      </c>
      <c r="CE28" s="27">
        <v>0</v>
      </c>
      <c r="CF28" s="27">
        <v>9.6</v>
      </c>
      <c r="CG28">
        <v>134.4</v>
      </c>
      <c r="CH28">
        <v>131</v>
      </c>
      <c r="CI28">
        <v>6.199999999999994</v>
      </c>
      <c r="CJ28" s="58">
        <v>-3.4000000000000057</v>
      </c>
      <c r="CK28">
        <v>10.400000000000002</v>
      </c>
      <c r="CL28">
        <v>3</v>
      </c>
      <c r="CM28">
        <v>3</v>
      </c>
      <c r="CN28">
        <v>38.4</v>
      </c>
      <c r="CO28" s="58">
        <v>32.4</v>
      </c>
      <c r="CP28">
        <v>26</v>
      </c>
    </row>
    <row r="29" spans="1:94" x14ac:dyDescent="0.25">
      <c r="A29" s="8">
        <v>5</v>
      </c>
      <c r="B29" s="70" t="str">
        <f>Personal!A26</f>
        <v>T1_JS</v>
      </c>
      <c r="C29" s="8">
        <v>0</v>
      </c>
      <c r="D29" s="8">
        <v>0</v>
      </c>
      <c r="E29" s="8">
        <v>0</v>
      </c>
      <c r="F29" s="8">
        <v>0</v>
      </c>
      <c r="G29" s="8">
        <v>1</v>
      </c>
      <c r="H29" s="8">
        <v>0</v>
      </c>
      <c r="I29" s="55">
        <v>0</v>
      </c>
      <c r="J29" s="36">
        <v>0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7"/>
      <c r="BF29" s="73">
        <v>20.399999999999999</v>
      </c>
      <c r="BG29" s="8">
        <v>0</v>
      </c>
      <c r="BH29" s="8">
        <v>0</v>
      </c>
      <c r="BI29" s="70">
        <f t="shared" si="3"/>
        <v>0</v>
      </c>
      <c r="BP29" s="36"/>
      <c r="BQ29" s="36"/>
      <c r="BS29" t="s">
        <v>334</v>
      </c>
      <c r="BT29">
        <v>28</v>
      </c>
      <c r="BU29" t="s">
        <v>74</v>
      </c>
      <c r="BV29" t="s">
        <v>83</v>
      </c>
      <c r="BX29" s="27"/>
      <c r="BY29" s="27"/>
      <c r="BZ29" s="27"/>
      <c r="CA29" s="27"/>
      <c r="CB29" t="s">
        <v>336</v>
      </c>
      <c r="CC29" s="27" t="s">
        <v>230</v>
      </c>
      <c r="CD29" s="27">
        <v>40</v>
      </c>
      <c r="CE29" s="27">
        <v>1</v>
      </c>
      <c r="CF29" s="27">
        <v>2.25</v>
      </c>
      <c r="CG29">
        <v>168</v>
      </c>
      <c r="CH29">
        <v>168</v>
      </c>
      <c r="CI29">
        <v>2.25</v>
      </c>
      <c r="CJ29" s="58">
        <v>0</v>
      </c>
      <c r="CK29">
        <v>43.75</v>
      </c>
      <c r="CL29">
        <v>3</v>
      </c>
      <c r="CM29">
        <v>2</v>
      </c>
      <c r="CN29">
        <v>60</v>
      </c>
      <c r="CO29" s="58">
        <v>44.528846153846153</v>
      </c>
      <c r="CP29">
        <v>26</v>
      </c>
    </row>
    <row r="30" spans="1:94" x14ac:dyDescent="0.25">
      <c r="A30" s="8">
        <v>0</v>
      </c>
      <c r="B30" s="70" t="str">
        <f>Personal!A27</f>
        <v>Z1_TT</v>
      </c>
      <c r="C30" s="8">
        <v>1</v>
      </c>
      <c r="D30" s="8">
        <v>1</v>
      </c>
      <c r="E30" s="8">
        <v>0</v>
      </c>
      <c r="F30" s="8">
        <v>1</v>
      </c>
      <c r="G30" s="8">
        <v>0</v>
      </c>
      <c r="H30" s="8">
        <v>0</v>
      </c>
      <c r="I30" s="55">
        <v>1</v>
      </c>
      <c r="J30" s="36">
        <v>0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7"/>
      <c r="BF30" s="73">
        <v>11.1</v>
      </c>
      <c r="BG30" s="8">
        <v>0</v>
      </c>
      <c r="BH30" s="8">
        <v>0</v>
      </c>
      <c r="BI30" s="70">
        <f t="shared" si="3"/>
        <v>0</v>
      </c>
      <c r="BP30" s="36"/>
      <c r="BQ30" s="36"/>
      <c r="BS30" t="s">
        <v>334</v>
      </c>
      <c r="BT30">
        <v>29</v>
      </c>
      <c r="BU30" t="s">
        <v>75</v>
      </c>
      <c r="BV30" t="s">
        <v>83</v>
      </c>
      <c r="BX30" s="27"/>
      <c r="BY30" s="27"/>
      <c r="BZ30" s="27"/>
      <c r="CA30" s="27"/>
      <c r="CB30" t="s">
        <v>143</v>
      </c>
      <c r="CC30" s="27" t="s">
        <v>230</v>
      </c>
      <c r="CD30" s="27">
        <v>40</v>
      </c>
      <c r="CE30" s="27">
        <v>1</v>
      </c>
      <c r="CF30" s="27">
        <v>20.399999999999999</v>
      </c>
      <c r="CG30">
        <v>168</v>
      </c>
      <c r="CH30">
        <v>168</v>
      </c>
      <c r="CI30">
        <v>20.399999999999999</v>
      </c>
      <c r="CJ30" s="58">
        <v>0</v>
      </c>
      <c r="CK30">
        <v>19.25</v>
      </c>
      <c r="CL30">
        <v>5</v>
      </c>
      <c r="CM30">
        <v>4</v>
      </c>
      <c r="CN30">
        <v>60</v>
      </c>
      <c r="CO30" s="58">
        <v>42.424999999999997</v>
      </c>
      <c r="CP30">
        <v>26</v>
      </c>
    </row>
    <row r="31" spans="1:94" x14ac:dyDescent="0.25">
      <c r="A31" s="8">
        <v>0</v>
      </c>
      <c r="B31" s="70" t="e">
        <f>Personal!#REF!</f>
        <v>#REF!</v>
      </c>
      <c r="C31" s="55">
        <v>0</v>
      </c>
      <c r="D31" s="55">
        <v>0</v>
      </c>
      <c r="E31" s="55">
        <v>0</v>
      </c>
      <c r="F31" s="55">
        <v>0</v>
      </c>
      <c r="G31" s="8">
        <v>0</v>
      </c>
      <c r="H31" s="8">
        <v>0</v>
      </c>
      <c r="I31" s="55">
        <v>0</v>
      </c>
      <c r="J31" s="7">
        <v>0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36"/>
      <c r="AW31" s="36"/>
      <c r="AX31" s="36"/>
      <c r="AY31" s="36"/>
      <c r="AZ31" s="36"/>
      <c r="BA31" s="36"/>
      <c r="BB31" s="36"/>
      <c r="BC31" s="36"/>
      <c r="BD31" s="36"/>
      <c r="BE31" s="7"/>
      <c r="BF31" s="73">
        <v>0</v>
      </c>
      <c r="BG31" s="8">
        <v>0</v>
      </c>
      <c r="BH31" s="8">
        <v>0</v>
      </c>
      <c r="BI31" s="70">
        <f t="shared" si="3"/>
        <v>0</v>
      </c>
      <c r="BP31" s="36"/>
      <c r="BQ31" s="36"/>
      <c r="BS31" t="s">
        <v>334</v>
      </c>
      <c r="BT31">
        <v>30</v>
      </c>
      <c r="BU31" t="s">
        <v>76</v>
      </c>
      <c r="BV31" t="s">
        <v>31</v>
      </c>
      <c r="CB31" t="s">
        <v>144</v>
      </c>
      <c r="CC31" t="s">
        <v>230</v>
      </c>
      <c r="CD31">
        <v>40</v>
      </c>
      <c r="CE31">
        <v>1</v>
      </c>
      <c r="CF31">
        <v>11.1</v>
      </c>
      <c r="CG31">
        <v>168</v>
      </c>
      <c r="CH31">
        <v>168</v>
      </c>
      <c r="CI31">
        <v>11.1</v>
      </c>
      <c r="CJ31" s="58">
        <v>0</v>
      </c>
      <c r="CK31">
        <v>0</v>
      </c>
      <c r="CL31">
        <v>0</v>
      </c>
      <c r="CM31">
        <v>3</v>
      </c>
      <c r="CN31">
        <v>60</v>
      </c>
      <c r="CO31" s="58">
        <v>41.307692307692307</v>
      </c>
      <c r="CP31">
        <v>26</v>
      </c>
    </row>
    <row r="32" spans="1:94" x14ac:dyDescent="0.25">
      <c r="A32" s="8">
        <v>0</v>
      </c>
      <c r="B32" s="70" t="str">
        <f>Personal!A28</f>
        <v>ZB1_LW</v>
      </c>
      <c r="C32" s="55">
        <v>0</v>
      </c>
      <c r="D32" s="55">
        <v>0</v>
      </c>
      <c r="E32" s="8">
        <v>0</v>
      </c>
      <c r="F32" s="8">
        <v>0</v>
      </c>
      <c r="G32" s="8">
        <v>0</v>
      </c>
      <c r="H32" s="8">
        <v>0</v>
      </c>
      <c r="I32" s="55">
        <v>0</v>
      </c>
      <c r="J32" s="47">
        <v>0</v>
      </c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73">
        <v>0</v>
      </c>
      <c r="BG32" s="8">
        <v>0</v>
      </c>
      <c r="BH32" s="8">
        <v>0</v>
      </c>
      <c r="BI32" s="70">
        <f t="shared" si="3"/>
        <v>0</v>
      </c>
      <c r="BP32" s="36"/>
      <c r="BQ32" s="36"/>
      <c r="BS32" t="s">
        <v>122</v>
      </c>
      <c r="BT32">
        <v>1</v>
      </c>
      <c r="BU32" t="s">
        <v>75</v>
      </c>
      <c r="BV32" t="s">
        <v>83</v>
      </c>
      <c r="CB32" t="s">
        <v>145</v>
      </c>
      <c r="CC32" t="s">
        <v>59</v>
      </c>
      <c r="CD32">
        <v>40</v>
      </c>
      <c r="CE32">
        <v>0</v>
      </c>
      <c r="CF32">
        <v>0</v>
      </c>
      <c r="CG32">
        <v>168</v>
      </c>
      <c r="CH32">
        <v>168</v>
      </c>
      <c r="CI32">
        <v>0</v>
      </c>
      <c r="CJ32" s="58">
        <v>0</v>
      </c>
      <c r="CK32">
        <v>0</v>
      </c>
      <c r="CL32">
        <v>0</v>
      </c>
      <c r="CM32">
        <v>5</v>
      </c>
      <c r="CN32">
        <v>48</v>
      </c>
      <c r="CO32" s="58">
        <v>41.615384615384613</v>
      </c>
      <c r="CP32">
        <v>26</v>
      </c>
    </row>
    <row r="33" spans="1:94" x14ac:dyDescent="0.25">
      <c r="A33" s="8">
        <v>3</v>
      </c>
      <c r="B33" s="70" t="str">
        <f>Personal!A29</f>
        <v>ZC_CZ</v>
      </c>
      <c r="C33" s="55">
        <v>0</v>
      </c>
      <c r="D33" s="55">
        <v>1</v>
      </c>
      <c r="E33" s="55">
        <v>0</v>
      </c>
      <c r="F33" s="55">
        <v>1</v>
      </c>
      <c r="G33" s="8">
        <v>0</v>
      </c>
      <c r="H33" s="55">
        <v>0</v>
      </c>
      <c r="I33" s="55">
        <v>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73">
        <v>20.149999999999999</v>
      </c>
      <c r="BG33" s="8">
        <v>0</v>
      </c>
      <c r="BH33" s="8">
        <v>0</v>
      </c>
      <c r="BI33" s="70"/>
      <c r="BL33" t="s">
        <v>359</v>
      </c>
      <c r="BN33" t="s">
        <v>360</v>
      </c>
      <c r="BP33" s="36"/>
      <c r="BQ33" s="36"/>
      <c r="BS33" t="s">
        <v>122</v>
      </c>
      <c r="BT33">
        <v>2</v>
      </c>
      <c r="BU33" t="s">
        <v>76</v>
      </c>
      <c r="BV33" t="s">
        <v>5</v>
      </c>
      <c r="CB33" t="s">
        <v>143</v>
      </c>
      <c r="CC33" t="s">
        <v>230</v>
      </c>
      <c r="CD33">
        <v>40</v>
      </c>
      <c r="CE33">
        <v>1</v>
      </c>
      <c r="CF33">
        <v>20.149999999999999</v>
      </c>
      <c r="CG33">
        <v>176</v>
      </c>
      <c r="CH33">
        <v>176</v>
      </c>
      <c r="CI33">
        <v>20.149999999999999</v>
      </c>
      <c r="CJ33">
        <v>0</v>
      </c>
      <c r="CK33">
        <v>32</v>
      </c>
      <c r="CL33">
        <v>3</v>
      </c>
      <c r="CM33">
        <v>2</v>
      </c>
      <c r="CN33">
        <v>60</v>
      </c>
      <c r="CO33" s="58">
        <v>41.607692307692304</v>
      </c>
      <c r="CP33">
        <v>26</v>
      </c>
    </row>
    <row r="34" spans="1:94" x14ac:dyDescent="0.25">
      <c r="A34" s="8">
        <v>0</v>
      </c>
      <c r="B34" s="70" t="str">
        <f>Personal!A30</f>
        <v>ZD_JZ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1</v>
      </c>
      <c r="I34" s="55">
        <v>0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BF34" s="73">
        <v>1.55</v>
      </c>
      <c r="BG34" s="8">
        <v>0</v>
      </c>
      <c r="BH34" s="8">
        <v>0</v>
      </c>
      <c r="BI34" s="70"/>
      <c r="BL34" t="s">
        <v>361</v>
      </c>
      <c r="BN34" t="s">
        <v>362</v>
      </c>
      <c r="BS34" t="s">
        <v>122</v>
      </c>
      <c r="BT34">
        <v>3</v>
      </c>
      <c r="BU34" t="s">
        <v>77</v>
      </c>
      <c r="BV34" t="s">
        <v>32</v>
      </c>
      <c r="CB34" t="s">
        <v>144</v>
      </c>
      <c r="CC34" t="s">
        <v>230</v>
      </c>
      <c r="CD34">
        <v>40</v>
      </c>
      <c r="CE34">
        <v>1</v>
      </c>
      <c r="CF34">
        <v>1.55</v>
      </c>
      <c r="CG34">
        <v>176</v>
      </c>
      <c r="CH34">
        <v>176</v>
      </c>
      <c r="CI34">
        <v>1.55</v>
      </c>
      <c r="CJ34">
        <v>0</v>
      </c>
      <c r="CK34">
        <v>0</v>
      </c>
      <c r="CL34">
        <v>0</v>
      </c>
      <c r="CM34">
        <v>4</v>
      </c>
      <c r="CN34">
        <v>60</v>
      </c>
      <c r="CO34" s="58">
        <v>39.692307692307693</v>
      </c>
      <c r="CP34">
        <v>26</v>
      </c>
    </row>
    <row r="35" spans="1:94" x14ac:dyDescent="0.25">
      <c r="A35" s="8">
        <f t="shared" ref="A35:A57" si="5">SUM(C35:BE35)</f>
        <v>0</v>
      </c>
      <c r="B35" s="70" t="str">
        <f>Personal!A31</f>
        <v>MA_SJ</v>
      </c>
      <c r="C35" s="55"/>
      <c r="D35" s="55"/>
      <c r="E35" s="55"/>
      <c r="F35" s="55"/>
      <c r="G35" s="55"/>
      <c r="H35" s="55"/>
      <c r="I35" s="5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BF35" s="73"/>
      <c r="BG35" s="8"/>
      <c r="BH35" s="8"/>
      <c r="BI35" s="70"/>
      <c r="BS35" t="s">
        <v>122</v>
      </c>
      <c r="BT35">
        <v>4</v>
      </c>
      <c r="BU35" t="s">
        <v>78</v>
      </c>
      <c r="BV35" t="s">
        <v>32</v>
      </c>
      <c r="CO35" s="58"/>
    </row>
    <row r="36" spans="1:94" x14ac:dyDescent="0.25">
      <c r="A36" s="8">
        <f t="shared" si="5"/>
        <v>0</v>
      </c>
      <c r="B36" s="70" t="str">
        <f>Personal!A32</f>
        <v>T0_PS</v>
      </c>
      <c r="C36" s="55"/>
      <c r="D36" s="55"/>
      <c r="E36" s="55"/>
      <c r="F36" s="55"/>
      <c r="G36" s="55"/>
      <c r="H36" s="55"/>
      <c r="I36" s="5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BF36" s="73"/>
      <c r="BG36" s="8"/>
      <c r="BH36" s="8"/>
      <c r="BI36" s="70"/>
      <c r="BS36" t="s">
        <v>122</v>
      </c>
      <c r="BT36">
        <v>5</v>
      </c>
      <c r="BU36" t="s">
        <v>72</v>
      </c>
      <c r="BV36" t="s">
        <v>5</v>
      </c>
      <c r="CO36" s="58"/>
    </row>
    <row r="37" spans="1:94" x14ac:dyDescent="0.25">
      <c r="A37" s="8">
        <f t="shared" si="5"/>
        <v>0</v>
      </c>
      <c r="B37" s="70">
        <f>Personal!A37</f>
        <v>0</v>
      </c>
      <c r="C37" s="55"/>
      <c r="D37" s="55"/>
      <c r="E37" s="55"/>
      <c r="F37" s="55"/>
      <c r="G37" s="55"/>
      <c r="H37" s="55"/>
      <c r="I37" s="5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BF37" s="73"/>
      <c r="BG37" s="8"/>
      <c r="BH37" s="8"/>
      <c r="BI37" s="70"/>
      <c r="BS37" t="s">
        <v>122</v>
      </c>
      <c r="BT37">
        <v>6</v>
      </c>
      <c r="BU37" t="s">
        <v>73</v>
      </c>
      <c r="BV37" t="s">
        <v>5</v>
      </c>
      <c r="CC37" t="s">
        <v>258</v>
      </c>
      <c r="CO37" s="58"/>
    </row>
    <row r="38" spans="1:94" x14ac:dyDescent="0.25">
      <c r="A38" s="8">
        <f t="shared" si="5"/>
        <v>0</v>
      </c>
      <c r="B38" s="70">
        <f>Personal!A38</f>
        <v>0</v>
      </c>
      <c r="C38" s="55"/>
      <c r="D38" s="55"/>
      <c r="E38" s="55"/>
      <c r="F38" s="55"/>
      <c r="G38" s="55"/>
      <c r="H38" s="55"/>
      <c r="I38" s="5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BF38" s="73"/>
      <c r="BG38" s="8"/>
      <c r="BH38" s="8"/>
      <c r="BI38" s="70"/>
      <c r="BS38" t="s">
        <v>122</v>
      </c>
      <c r="BT38">
        <v>7</v>
      </c>
      <c r="BU38" t="s">
        <v>74</v>
      </c>
      <c r="BV38" t="s">
        <v>83</v>
      </c>
      <c r="CA38" s="134"/>
      <c r="CB38" s="36"/>
      <c r="CC38" s="36"/>
      <c r="CD38" s="36"/>
      <c r="CE38" s="36"/>
      <c r="CO38" s="58"/>
    </row>
    <row r="39" spans="1:94" x14ac:dyDescent="0.25">
      <c r="A39" s="8">
        <f t="shared" si="5"/>
        <v>0</v>
      </c>
      <c r="B39" s="70">
        <f>Personal!A39</f>
        <v>0</v>
      </c>
      <c r="C39" s="55"/>
      <c r="D39" s="55"/>
      <c r="E39" s="55"/>
      <c r="F39" s="55"/>
      <c r="G39" s="55"/>
      <c r="H39" s="55"/>
      <c r="I39" s="5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BF39" s="73"/>
      <c r="BG39" s="8"/>
      <c r="BH39" s="8"/>
      <c r="BI39" s="70"/>
      <c r="BS39" t="s">
        <v>122</v>
      </c>
      <c r="BT39">
        <v>8</v>
      </c>
      <c r="BU39" t="s">
        <v>75</v>
      </c>
      <c r="BV39" t="s">
        <v>83</v>
      </c>
      <c r="CA39" s="36"/>
      <c r="CB39" s="7"/>
      <c r="CC39" s="7"/>
      <c r="CD39" s="7"/>
      <c r="CE39" s="7"/>
      <c r="CO39" s="58"/>
    </row>
    <row r="40" spans="1:94" x14ac:dyDescent="0.25">
      <c r="A40" s="8">
        <f t="shared" si="5"/>
        <v>0</v>
      </c>
      <c r="B40" s="70">
        <f>Personal!A40</f>
        <v>0</v>
      </c>
      <c r="C40" s="55"/>
      <c r="D40" s="55"/>
      <c r="E40" s="55"/>
      <c r="F40" s="55"/>
      <c r="G40" s="55"/>
      <c r="H40" s="55"/>
      <c r="I40" s="5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BF40" s="73"/>
      <c r="BG40" s="8"/>
      <c r="BH40" s="8"/>
      <c r="BI40" s="70"/>
      <c r="BS40" t="s">
        <v>122</v>
      </c>
      <c r="BT40">
        <v>9</v>
      </c>
      <c r="BU40" t="s">
        <v>76</v>
      </c>
      <c r="BV40" t="s">
        <v>5</v>
      </c>
      <c r="CA40" s="36"/>
      <c r="CB40" s="7"/>
      <c r="CC40" s="7"/>
      <c r="CD40" s="7"/>
      <c r="CE40" s="7"/>
      <c r="CO40" s="58"/>
    </row>
    <row r="41" spans="1:94" x14ac:dyDescent="0.25">
      <c r="A41" s="8">
        <f t="shared" si="5"/>
        <v>0</v>
      </c>
      <c r="B41" s="70">
        <f>Personal!A41</f>
        <v>0</v>
      </c>
      <c r="C41" s="55"/>
      <c r="D41" s="55"/>
      <c r="E41" s="55"/>
      <c r="F41" s="55"/>
      <c r="G41" s="55"/>
      <c r="H41" s="55"/>
      <c r="I41" s="5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BF41" s="73"/>
      <c r="BG41" s="8"/>
      <c r="BH41" s="8"/>
      <c r="BI41" s="70"/>
      <c r="BS41" t="s">
        <v>122</v>
      </c>
      <c r="BT41">
        <v>10</v>
      </c>
      <c r="BU41" t="s">
        <v>77</v>
      </c>
      <c r="BV41" t="s">
        <v>31</v>
      </c>
      <c r="CA41" s="36"/>
      <c r="CB41" s="7"/>
      <c r="CC41" s="7"/>
      <c r="CD41" s="7"/>
      <c r="CE41" s="7"/>
      <c r="CO41" s="58"/>
    </row>
    <row r="42" spans="1:94" x14ac:dyDescent="0.25">
      <c r="A42" s="8">
        <f t="shared" si="5"/>
        <v>0</v>
      </c>
      <c r="B42" s="70">
        <f>Personal!A42</f>
        <v>0</v>
      </c>
      <c r="C42" s="55"/>
      <c r="D42" s="55"/>
      <c r="E42" s="55"/>
      <c r="F42" s="55"/>
      <c r="G42" s="55"/>
      <c r="H42" s="55"/>
      <c r="I42" s="5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BF42" s="73"/>
      <c r="BG42" s="8"/>
      <c r="BH42" s="8"/>
      <c r="BI42" s="70"/>
      <c r="BS42" t="s">
        <v>122</v>
      </c>
      <c r="BT42">
        <v>11</v>
      </c>
      <c r="BU42" t="s">
        <v>78</v>
      </c>
      <c r="BV42" t="s">
        <v>32</v>
      </c>
      <c r="CA42" s="36"/>
      <c r="CB42" s="7"/>
      <c r="CC42" s="7"/>
      <c r="CD42" s="36"/>
      <c r="CE42" s="36"/>
      <c r="CO42" s="58"/>
    </row>
    <row r="43" spans="1:94" x14ac:dyDescent="0.25">
      <c r="A43" s="8">
        <f t="shared" si="5"/>
        <v>0</v>
      </c>
      <c r="B43" s="70">
        <f>Personal!A43</f>
        <v>0</v>
      </c>
      <c r="C43" s="55"/>
      <c r="D43" s="55"/>
      <c r="E43" s="55"/>
      <c r="F43" s="55"/>
      <c r="G43" s="55"/>
      <c r="H43" s="55"/>
      <c r="I43" s="5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BF43" s="73"/>
      <c r="BG43" s="8"/>
      <c r="BH43" s="8"/>
      <c r="BI43" s="70"/>
      <c r="BS43" t="s">
        <v>122</v>
      </c>
      <c r="BT43">
        <v>12</v>
      </c>
      <c r="BU43" t="s">
        <v>72</v>
      </c>
      <c r="BV43" t="s">
        <v>5</v>
      </c>
      <c r="CA43" s="36"/>
      <c r="CB43" s="7"/>
      <c r="CC43" s="7"/>
      <c r="CD43" s="7"/>
      <c r="CE43" s="7"/>
      <c r="CO43" s="58"/>
    </row>
    <row r="44" spans="1:94" x14ac:dyDescent="0.25">
      <c r="A44" s="8">
        <f t="shared" si="5"/>
        <v>0</v>
      </c>
      <c r="B44" s="70">
        <f>Personal!A44</f>
        <v>0</v>
      </c>
      <c r="C44" s="8"/>
      <c r="D44" s="8"/>
      <c r="E44" s="8"/>
      <c r="F44" s="8"/>
      <c r="G44" s="8"/>
      <c r="H44" s="8"/>
      <c r="I44" s="55"/>
      <c r="BF44" s="73"/>
      <c r="BG44" s="8"/>
      <c r="BH44" s="8"/>
      <c r="BI44" s="70"/>
      <c r="BS44" t="s">
        <v>122</v>
      </c>
      <c r="BT44">
        <v>13</v>
      </c>
      <c r="BU44" t="s">
        <v>73</v>
      </c>
      <c r="BV44" t="s">
        <v>5</v>
      </c>
      <c r="CA44" s="36"/>
      <c r="CB44" s="7"/>
      <c r="CC44" s="7"/>
      <c r="CD44" s="36"/>
      <c r="CE44" s="36"/>
      <c r="CO44" s="58"/>
    </row>
    <row r="45" spans="1:94" x14ac:dyDescent="0.25">
      <c r="A45" s="8">
        <f t="shared" si="5"/>
        <v>0</v>
      </c>
      <c r="B45" s="70">
        <f>Personal!A45</f>
        <v>0</v>
      </c>
      <c r="C45" s="8"/>
      <c r="D45" s="8"/>
      <c r="E45" s="8"/>
      <c r="F45" s="8"/>
      <c r="G45" s="8"/>
      <c r="H45" s="8"/>
      <c r="I45" s="55"/>
      <c r="BF45" s="73"/>
      <c r="BG45" s="8"/>
      <c r="BH45" s="8"/>
      <c r="BI45" s="70"/>
      <c r="BS45" t="s">
        <v>122</v>
      </c>
      <c r="BT45">
        <v>14</v>
      </c>
      <c r="BU45" t="s">
        <v>74</v>
      </c>
      <c r="BV45" t="s">
        <v>83</v>
      </c>
      <c r="CA45" s="36"/>
      <c r="CB45" s="7"/>
      <c r="CC45" s="7"/>
      <c r="CD45" s="7"/>
      <c r="CE45" s="7"/>
      <c r="CO45" s="58"/>
    </row>
    <row r="46" spans="1:94" x14ac:dyDescent="0.25">
      <c r="A46" s="8">
        <f t="shared" si="5"/>
        <v>0</v>
      </c>
      <c r="B46" s="70">
        <f>Personal!A46</f>
        <v>0</v>
      </c>
      <c r="C46" s="8"/>
      <c r="D46" s="8"/>
      <c r="E46" s="8"/>
      <c r="F46" s="8"/>
      <c r="G46" s="8"/>
      <c r="H46" s="8"/>
      <c r="I46" s="55"/>
      <c r="BF46" s="73"/>
      <c r="BG46" s="8"/>
      <c r="BH46" s="8"/>
      <c r="BI46" s="70"/>
      <c r="BS46" t="s">
        <v>122</v>
      </c>
      <c r="BT46">
        <v>15</v>
      </c>
      <c r="BU46" t="s">
        <v>75</v>
      </c>
      <c r="BV46" t="s">
        <v>83</v>
      </c>
      <c r="CA46" s="36"/>
      <c r="CB46" s="7"/>
      <c r="CC46" s="7"/>
      <c r="CD46" s="7"/>
      <c r="CE46" s="7"/>
      <c r="CO46" s="58"/>
    </row>
    <row r="47" spans="1:94" ht="15.75" thickBot="1" x14ac:dyDescent="0.3">
      <c r="A47" s="8">
        <f t="shared" si="5"/>
        <v>0</v>
      </c>
      <c r="B47" s="70">
        <f>Personal!A47</f>
        <v>0</v>
      </c>
      <c r="C47" s="8"/>
      <c r="D47" s="8"/>
      <c r="E47" s="8"/>
      <c r="F47" s="8"/>
      <c r="G47" s="8"/>
      <c r="H47" s="8"/>
      <c r="I47" s="55"/>
      <c r="BF47" s="73"/>
      <c r="BG47" s="8"/>
      <c r="BH47" s="8"/>
      <c r="BI47" s="70"/>
      <c r="BS47" t="s">
        <v>122</v>
      </c>
      <c r="BT47">
        <v>16</v>
      </c>
      <c r="BU47" t="s">
        <v>76</v>
      </c>
      <c r="BV47" t="s">
        <v>5</v>
      </c>
      <c r="CA47" s="36"/>
      <c r="CB47" s="7"/>
      <c r="CC47" s="7"/>
      <c r="CD47" s="7"/>
      <c r="CE47" s="7"/>
    </row>
    <row r="48" spans="1:94" x14ac:dyDescent="0.25">
      <c r="A48" s="8">
        <f t="shared" si="5"/>
        <v>0</v>
      </c>
      <c r="B48" s="70">
        <f>Personal!A48</f>
        <v>0</v>
      </c>
      <c r="C48" s="8"/>
      <c r="D48" s="8"/>
      <c r="E48" s="8"/>
      <c r="F48" s="8"/>
      <c r="G48" s="8"/>
      <c r="H48" s="8"/>
      <c r="I48" s="55"/>
      <c r="BF48" s="73"/>
      <c r="BG48" s="8"/>
      <c r="BH48" s="8"/>
      <c r="BI48" s="70"/>
      <c r="BK48" s="128" t="s">
        <v>245</v>
      </c>
      <c r="BL48" s="129"/>
      <c r="BM48" s="129" t="s">
        <v>256</v>
      </c>
      <c r="BN48" s="130" t="s">
        <v>257</v>
      </c>
      <c r="BS48" t="s">
        <v>122</v>
      </c>
      <c r="BT48">
        <v>17</v>
      </c>
      <c r="BU48" t="s">
        <v>77</v>
      </c>
      <c r="BV48" t="s">
        <v>31</v>
      </c>
      <c r="CA48" s="36"/>
      <c r="CB48" s="7"/>
      <c r="CC48" s="7"/>
      <c r="CD48" s="7"/>
      <c r="CE48" s="7"/>
    </row>
    <row r="49" spans="1:83" x14ac:dyDescent="0.25">
      <c r="A49" s="8">
        <f t="shared" si="5"/>
        <v>0</v>
      </c>
      <c r="B49" s="70">
        <f>Personal!A49</f>
        <v>0</v>
      </c>
      <c r="C49" s="8"/>
      <c r="D49" s="8"/>
      <c r="E49" s="8"/>
      <c r="F49" s="8"/>
      <c r="G49" s="8"/>
      <c r="H49" s="8"/>
      <c r="I49" s="55"/>
      <c r="BF49" s="73"/>
      <c r="BG49" s="8"/>
      <c r="BH49" s="8"/>
      <c r="BI49" s="70"/>
      <c r="BK49" s="92">
        <v>1</v>
      </c>
      <c r="BL49" s="15" t="s">
        <v>246</v>
      </c>
      <c r="BM49" s="39">
        <v>1</v>
      </c>
      <c r="BN49" s="98" t="s">
        <v>254</v>
      </c>
      <c r="BS49" t="s">
        <v>122</v>
      </c>
      <c r="BT49">
        <v>18</v>
      </c>
      <c r="BU49" t="s">
        <v>78</v>
      </c>
      <c r="BV49" t="s">
        <v>32</v>
      </c>
      <c r="CA49" s="36"/>
      <c r="CB49" s="7"/>
      <c r="CC49" s="7"/>
      <c r="CD49" s="7"/>
      <c r="CE49" s="7"/>
    </row>
    <row r="50" spans="1:83" x14ac:dyDescent="0.25">
      <c r="A50" s="8">
        <f t="shared" si="5"/>
        <v>0</v>
      </c>
      <c r="B50" s="70">
        <f>Personal!A50</f>
        <v>0</v>
      </c>
      <c r="C50" s="8"/>
      <c r="D50" s="8"/>
      <c r="E50" s="8"/>
      <c r="F50" s="8"/>
      <c r="G50" s="8"/>
      <c r="H50" s="8"/>
      <c r="I50" s="55"/>
      <c r="BF50" s="73"/>
      <c r="BG50" s="8"/>
      <c r="BH50" s="8"/>
      <c r="BI50" s="70"/>
      <c r="BK50" s="92">
        <v>2</v>
      </c>
      <c r="BL50" s="15" t="s">
        <v>247</v>
      </c>
      <c r="BM50" s="39">
        <v>10</v>
      </c>
      <c r="BN50" s="98" t="s">
        <v>251</v>
      </c>
      <c r="BS50" t="s">
        <v>122</v>
      </c>
      <c r="BT50">
        <v>19</v>
      </c>
      <c r="BU50" t="s">
        <v>72</v>
      </c>
      <c r="BV50" t="s">
        <v>5</v>
      </c>
      <c r="CA50" s="36"/>
      <c r="CB50" s="7"/>
      <c r="CC50" s="7"/>
      <c r="CD50" s="7"/>
      <c r="CE50" s="7"/>
    </row>
    <row r="51" spans="1:83" x14ac:dyDescent="0.25">
      <c r="A51" s="8">
        <f t="shared" si="5"/>
        <v>0</v>
      </c>
      <c r="B51" s="70">
        <f>Personal!A51</f>
        <v>0</v>
      </c>
      <c r="C51" s="8"/>
      <c r="D51" s="8"/>
      <c r="E51" s="8"/>
      <c r="F51" s="8"/>
      <c r="G51" s="8"/>
      <c r="H51" s="8"/>
      <c r="I51" s="55"/>
      <c r="BF51" s="73"/>
      <c r="BG51" s="8"/>
      <c r="BH51" s="8"/>
      <c r="BI51" s="70"/>
      <c r="BK51" s="92">
        <v>3</v>
      </c>
      <c r="BL51" s="15" t="s">
        <v>248</v>
      </c>
      <c r="BM51" s="39">
        <v>100</v>
      </c>
      <c r="BN51" s="98" t="s">
        <v>255</v>
      </c>
      <c r="BS51" t="s">
        <v>122</v>
      </c>
      <c r="BT51">
        <v>20</v>
      </c>
      <c r="BU51" t="s">
        <v>73</v>
      </c>
      <c r="BV51" t="s">
        <v>5</v>
      </c>
      <c r="CA51" s="36"/>
      <c r="CB51" s="7"/>
      <c r="CC51" s="7"/>
      <c r="CD51" s="7"/>
      <c r="CE51" s="7"/>
    </row>
    <row r="52" spans="1:83" x14ac:dyDescent="0.25">
      <c r="A52" s="8">
        <f t="shared" si="5"/>
        <v>0</v>
      </c>
      <c r="B52" s="70">
        <f>Personal!A52</f>
        <v>0</v>
      </c>
      <c r="C52" s="8"/>
      <c r="D52" s="8"/>
      <c r="E52" s="8"/>
      <c r="F52" s="8"/>
      <c r="G52" s="8"/>
      <c r="H52" s="8"/>
      <c r="I52" s="55"/>
      <c r="BF52" s="73"/>
      <c r="BG52" s="8"/>
      <c r="BH52" s="8"/>
      <c r="BI52" s="70"/>
      <c r="BK52" s="92">
        <v>4</v>
      </c>
      <c r="BL52" s="15" t="s">
        <v>249</v>
      </c>
      <c r="BM52" s="39">
        <v>1000</v>
      </c>
      <c r="BN52" s="98" t="s">
        <v>253</v>
      </c>
      <c r="BS52" t="s">
        <v>122</v>
      </c>
      <c r="BT52">
        <v>21</v>
      </c>
      <c r="BU52" t="s">
        <v>74</v>
      </c>
      <c r="BV52" t="s">
        <v>83</v>
      </c>
      <c r="CA52" s="36"/>
      <c r="CB52" s="7"/>
      <c r="CC52" s="7"/>
      <c r="CD52" s="7"/>
      <c r="CE52" s="7"/>
    </row>
    <row r="53" spans="1:83" ht="15.75" thickBot="1" x14ac:dyDescent="0.3">
      <c r="A53" s="8">
        <f t="shared" si="5"/>
        <v>0</v>
      </c>
      <c r="B53" s="70">
        <f>Personal!A53</f>
        <v>0</v>
      </c>
      <c r="C53" s="8"/>
      <c r="D53" s="8"/>
      <c r="E53" s="8"/>
      <c r="F53" s="8"/>
      <c r="G53" s="8"/>
      <c r="H53" s="8"/>
      <c r="I53" s="55"/>
      <c r="BF53" s="73"/>
      <c r="BG53" s="8"/>
      <c r="BH53" s="8"/>
      <c r="BI53" s="70"/>
      <c r="BK53" s="65">
        <v>5</v>
      </c>
      <c r="BL53" s="99" t="s">
        <v>250</v>
      </c>
      <c r="BM53" s="131">
        <v>10000</v>
      </c>
      <c r="BN53" s="100" t="s">
        <v>252</v>
      </c>
      <c r="BS53" t="s">
        <v>122</v>
      </c>
      <c r="BT53">
        <v>22</v>
      </c>
      <c r="BU53" t="s">
        <v>75</v>
      </c>
      <c r="BV53" t="s">
        <v>83</v>
      </c>
      <c r="CA53" s="36"/>
      <c r="CB53" s="7"/>
      <c r="CC53" s="7"/>
      <c r="CD53" s="7"/>
      <c r="CE53" s="7"/>
    </row>
    <row r="54" spans="1:83" x14ac:dyDescent="0.25">
      <c r="A54" s="8">
        <f t="shared" si="5"/>
        <v>0</v>
      </c>
      <c r="B54" s="70">
        <f>Personal!A54</f>
        <v>0</v>
      </c>
      <c r="C54" s="8"/>
      <c r="D54" s="8"/>
      <c r="E54" s="8"/>
      <c r="F54" s="8"/>
      <c r="G54" s="8"/>
      <c r="H54" s="8"/>
      <c r="I54" s="55"/>
      <c r="BF54" s="73"/>
      <c r="BG54" s="8"/>
      <c r="BH54" s="8"/>
      <c r="BI54" s="70"/>
      <c r="BS54" t="s">
        <v>122</v>
      </c>
      <c r="BT54">
        <v>23</v>
      </c>
      <c r="BU54" t="s">
        <v>76</v>
      </c>
      <c r="BV54" t="s">
        <v>5</v>
      </c>
      <c r="CA54" s="36"/>
      <c r="CB54" s="7"/>
      <c r="CC54" s="7"/>
      <c r="CD54" s="7"/>
      <c r="CE54" s="7"/>
    </row>
    <row r="55" spans="1:83" x14ac:dyDescent="0.25">
      <c r="A55" s="8">
        <f t="shared" si="5"/>
        <v>0</v>
      </c>
      <c r="B55" s="70">
        <f>Personal!A55</f>
        <v>0</v>
      </c>
      <c r="C55" s="8"/>
      <c r="D55" s="8"/>
      <c r="E55" s="8"/>
      <c r="F55" s="8"/>
      <c r="G55" s="8"/>
      <c r="H55" s="8"/>
      <c r="I55" s="55"/>
      <c r="BF55" s="73"/>
      <c r="BG55" s="8"/>
      <c r="BH55" s="8"/>
      <c r="BI55" s="70"/>
      <c r="BK55" s="134"/>
      <c r="BL55" s="36"/>
      <c r="BM55" s="36"/>
      <c r="BN55" s="36"/>
      <c r="BO55" s="36"/>
      <c r="BP55" s="36"/>
      <c r="BQ55" s="36"/>
      <c r="BS55" t="s">
        <v>122</v>
      </c>
      <c r="BT55">
        <v>24</v>
      </c>
      <c r="BU55" t="s">
        <v>77</v>
      </c>
      <c r="BV55" t="s">
        <v>32</v>
      </c>
      <c r="CA55" s="36"/>
      <c r="CB55" s="7"/>
      <c r="CC55" s="7"/>
      <c r="CD55" s="7"/>
      <c r="CE55" s="7"/>
    </row>
    <row r="56" spans="1:83" x14ac:dyDescent="0.25">
      <c r="A56" s="8">
        <f t="shared" si="5"/>
        <v>0</v>
      </c>
      <c r="B56" s="70">
        <f>Personal!A56</f>
        <v>0</v>
      </c>
      <c r="C56" s="8"/>
      <c r="D56" s="8"/>
      <c r="E56" s="8"/>
      <c r="F56" s="8"/>
      <c r="G56" s="8"/>
      <c r="H56" s="8"/>
      <c r="I56" s="55"/>
      <c r="BF56" s="73"/>
      <c r="BG56" s="8"/>
      <c r="BH56" s="8"/>
      <c r="BI56" s="70"/>
      <c r="BK56" s="7"/>
      <c r="BL56" s="36"/>
      <c r="BM56" s="7"/>
      <c r="BN56" s="36"/>
      <c r="BO56" s="7"/>
      <c r="BP56" s="36"/>
      <c r="BQ56" s="36"/>
      <c r="BS56" t="s">
        <v>122</v>
      </c>
      <c r="BT56">
        <v>25</v>
      </c>
      <c r="BU56" t="s">
        <v>78</v>
      </c>
      <c r="BV56" t="s">
        <v>31</v>
      </c>
    </row>
    <row r="57" spans="1:83" x14ac:dyDescent="0.25">
      <c r="A57" s="59">
        <f t="shared" si="5"/>
        <v>0</v>
      </c>
      <c r="B57" s="71">
        <f>Personal!A57</f>
        <v>0</v>
      </c>
      <c r="C57" s="69"/>
      <c r="D57" s="59"/>
      <c r="E57" s="59"/>
      <c r="F57" s="59"/>
      <c r="G57" s="59"/>
      <c r="H57" s="59"/>
      <c r="I57" s="59"/>
      <c r="BF57" s="69"/>
      <c r="BG57" s="8"/>
      <c r="BH57" s="8"/>
      <c r="BI57" s="71"/>
      <c r="BK57" s="7"/>
      <c r="BL57" s="36"/>
      <c r="BM57" s="7"/>
      <c r="BN57" s="36"/>
      <c r="BO57" s="7"/>
      <c r="BP57" s="36"/>
      <c r="BQ57" s="7"/>
      <c r="BS57" t="s">
        <v>122</v>
      </c>
      <c r="BT57">
        <v>26</v>
      </c>
      <c r="BU57" t="s">
        <v>72</v>
      </c>
      <c r="BV57" t="s">
        <v>5</v>
      </c>
    </row>
    <row r="58" spans="1:83" ht="15.75" thickBot="1" x14ac:dyDescent="0.3">
      <c r="C58">
        <f>SUM(C2:C57)</f>
        <v>8</v>
      </c>
      <c r="D58" s="27">
        <f t="shared" ref="D58:I58" si="6">SUM(D2:D57)</f>
        <v>11</v>
      </c>
      <c r="E58" s="27">
        <f t="shared" si="6"/>
        <v>8</v>
      </c>
      <c r="F58" s="27">
        <f t="shared" si="6"/>
        <v>11</v>
      </c>
      <c r="G58" s="27">
        <f t="shared" si="6"/>
        <v>10</v>
      </c>
      <c r="H58" s="27">
        <f t="shared" si="6"/>
        <v>10</v>
      </c>
      <c r="I58" s="27">
        <f t="shared" si="6"/>
        <v>8</v>
      </c>
      <c r="BF58" s="74">
        <f>SUM(BF2:BF57)</f>
        <v>470.23599999999993</v>
      </c>
      <c r="BG58" s="57">
        <f t="shared" ref="BG58:BI58" si="7">SUM(BG2:BG57)</f>
        <v>82.199999999999989</v>
      </c>
      <c r="BH58" s="57">
        <f t="shared" si="7"/>
        <v>41.41400000000003</v>
      </c>
      <c r="BI58" s="57">
        <f t="shared" si="7"/>
        <v>40.785999999999959</v>
      </c>
      <c r="BJ58" s="36" t="s">
        <v>113</v>
      </c>
      <c r="BK58" s="7"/>
      <c r="BL58" s="36"/>
      <c r="BM58" s="7"/>
      <c r="BN58" s="36"/>
      <c r="BO58" s="7"/>
      <c r="BP58" s="36"/>
      <c r="BQ58" s="36"/>
      <c r="BS58" t="s">
        <v>122</v>
      </c>
      <c r="BT58">
        <v>27</v>
      </c>
      <c r="BU58" t="s">
        <v>73</v>
      </c>
      <c r="BV58" t="s">
        <v>5</v>
      </c>
    </row>
    <row r="59" spans="1:83" ht="15.75" thickTop="1" x14ac:dyDescent="0.25">
      <c r="BF59" s="75">
        <f>_xlfn.STDEV.P(BF2:BF57)</f>
        <v>15.228025190876124</v>
      </c>
      <c r="BG59" s="58">
        <f t="shared" ref="BG59:BI59" si="8">_xlfn.STDEV.P(BG2:BG57)</f>
        <v>4.6088428598604931</v>
      </c>
      <c r="BH59" s="58">
        <f t="shared" si="8"/>
        <v>2.4230389194444104</v>
      </c>
      <c r="BI59" s="58">
        <f t="shared" si="8"/>
        <v>5.9508171755845476</v>
      </c>
      <c r="BJ59" t="s">
        <v>172</v>
      </c>
      <c r="BK59" s="7"/>
      <c r="BL59" s="36"/>
      <c r="BM59" s="7"/>
      <c r="BN59" s="36"/>
      <c r="BO59" s="7"/>
      <c r="BP59" s="36"/>
      <c r="BQ59" s="36"/>
      <c r="BS59" t="s">
        <v>122</v>
      </c>
      <c r="BT59">
        <v>28</v>
      </c>
      <c r="BU59" t="s">
        <v>74</v>
      </c>
      <c r="BV59" t="s">
        <v>83</v>
      </c>
    </row>
    <row r="60" spans="1:83" x14ac:dyDescent="0.25">
      <c r="BK60" s="7"/>
      <c r="BL60" s="36"/>
      <c r="BM60" s="7"/>
      <c r="BN60" s="36"/>
      <c r="BO60" s="7"/>
      <c r="BP60" s="36"/>
      <c r="BQ60" s="36"/>
      <c r="BS60" t="s">
        <v>122</v>
      </c>
      <c r="BT60">
        <v>29</v>
      </c>
      <c r="BU60" t="s">
        <v>75</v>
      </c>
      <c r="BV60" t="s">
        <v>83</v>
      </c>
    </row>
    <row r="61" spans="1:83" x14ac:dyDescent="0.25">
      <c r="BK61" s="7"/>
      <c r="BL61" s="36"/>
      <c r="BM61" s="7"/>
      <c r="BN61" s="36"/>
      <c r="BO61" s="7"/>
      <c r="BP61" s="36"/>
      <c r="BQ61" s="36"/>
      <c r="BS61" t="s">
        <v>122</v>
      </c>
      <c r="BT61">
        <v>30</v>
      </c>
      <c r="BU61" t="s">
        <v>76</v>
      </c>
      <c r="BV61" t="s">
        <v>5</v>
      </c>
    </row>
    <row r="62" spans="1:83" x14ac:dyDescent="0.25">
      <c r="BK62" s="7"/>
      <c r="BL62" s="36"/>
      <c r="BM62" s="7"/>
      <c r="BN62" s="36"/>
      <c r="BO62" s="7"/>
      <c r="BP62" s="36"/>
      <c r="BQ62" s="36"/>
      <c r="BS62" t="s">
        <v>123</v>
      </c>
      <c r="BT62">
        <v>1</v>
      </c>
      <c r="BU62" t="s">
        <v>75</v>
      </c>
      <c r="BV62" t="s">
        <v>83</v>
      </c>
    </row>
    <row r="63" spans="1:83" x14ac:dyDescent="0.25">
      <c r="BK63" s="7"/>
      <c r="BL63" s="36"/>
      <c r="BM63" s="7"/>
      <c r="BN63" s="36"/>
      <c r="BO63" s="7"/>
      <c r="BP63" s="36"/>
      <c r="BQ63" s="36"/>
      <c r="BS63" t="s">
        <v>123</v>
      </c>
      <c r="BT63">
        <v>2</v>
      </c>
      <c r="BU63" t="s">
        <v>76</v>
      </c>
      <c r="BV63" t="s">
        <v>60</v>
      </c>
    </row>
    <row r="64" spans="1:83" x14ac:dyDescent="0.25">
      <c r="BK64" s="7"/>
      <c r="BL64" s="36"/>
      <c r="BM64" s="7"/>
      <c r="BN64" s="36"/>
      <c r="BO64" s="7"/>
      <c r="BP64" s="36"/>
      <c r="BQ64" s="36"/>
      <c r="BS64" t="s">
        <v>123</v>
      </c>
      <c r="BT64">
        <v>3</v>
      </c>
      <c r="BU64" t="s">
        <v>77</v>
      </c>
      <c r="BV64" t="s">
        <v>60</v>
      </c>
    </row>
    <row r="65" spans="63:74" x14ac:dyDescent="0.25">
      <c r="BK65" s="7"/>
      <c r="BL65" s="36"/>
      <c r="BM65" s="7"/>
      <c r="BN65" s="36"/>
      <c r="BO65" s="7"/>
      <c r="BP65" s="36"/>
      <c r="BQ65" s="36"/>
      <c r="BS65" t="s">
        <v>123</v>
      </c>
      <c r="BT65">
        <v>4</v>
      </c>
      <c r="BU65" t="s">
        <v>78</v>
      </c>
      <c r="BV65" t="s">
        <v>60</v>
      </c>
    </row>
    <row r="66" spans="63:74" x14ac:dyDescent="0.25">
      <c r="BK66" s="7"/>
      <c r="BL66" s="36"/>
      <c r="BM66" s="7"/>
      <c r="BN66" s="36"/>
      <c r="BO66" s="7"/>
      <c r="BP66" s="36"/>
      <c r="BQ66" s="36"/>
      <c r="BS66" t="s">
        <v>123</v>
      </c>
      <c r="BT66">
        <v>5</v>
      </c>
      <c r="BU66" t="s">
        <v>72</v>
      </c>
      <c r="BV66" t="s">
        <v>60</v>
      </c>
    </row>
    <row r="67" spans="63:74" x14ac:dyDescent="0.25">
      <c r="BK67" s="7"/>
      <c r="BL67" s="36"/>
      <c r="BM67" s="7"/>
      <c r="BN67" s="36"/>
      <c r="BO67" s="7"/>
      <c r="BP67" s="36"/>
      <c r="BQ67" s="36"/>
      <c r="BS67" t="s">
        <v>123</v>
      </c>
      <c r="BT67">
        <v>6</v>
      </c>
      <c r="BU67" t="s">
        <v>73</v>
      </c>
      <c r="BV67" t="s">
        <v>32</v>
      </c>
    </row>
    <row r="68" spans="63:74" x14ac:dyDescent="0.25">
      <c r="BK68" s="7"/>
      <c r="BL68" s="36"/>
      <c r="BM68" s="7"/>
      <c r="BN68" s="36"/>
      <c r="BO68" s="7"/>
      <c r="BP68" s="36"/>
      <c r="BQ68" s="36"/>
      <c r="BS68" t="s">
        <v>123</v>
      </c>
      <c r="BT68">
        <v>7</v>
      </c>
      <c r="BU68" t="s">
        <v>74</v>
      </c>
      <c r="BV68" t="s">
        <v>83</v>
      </c>
    </row>
    <row r="69" spans="63:74" x14ac:dyDescent="0.25">
      <c r="BK69" s="7"/>
      <c r="BL69" s="36"/>
      <c r="BM69" s="7"/>
      <c r="BN69" s="36"/>
      <c r="BO69" s="7"/>
      <c r="BP69" s="36"/>
      <c r="BQ69" s="36"/>
      <c r="BS69" t="s">
        <v>123</v>
      </c>
      <c r="BT69">
        <v>8</v>
      </c>
      <c r="BU69" t="s">
        <v>75</v>
      </c>
      <c r="BV69" t="s">
        <v>83</v>
      </c>
    </row>
    <row r="70" spans="63:74" x14ac:dyDescent="0.25">
      <c r="BK70" s="7"/>
      <c r="BL70" s="36"/>
      <c r="BM70" s="7"/>
      <c r="BN70" s="36"/>
      <c r="BO70" s="7"/>
      <c r="BP70" s="36"/>
      <c r="BQ70" s="36"/>
      <c r="BS70" t="s">
        <v>123</v>
      </c>
      <c r="BT70">
        <v>9</v>
      </c>
      <c r="BU70" t="s">
        <v>76</v>
      </c>
      <c r="BV70" t="s">
        <v>365</v>
      </c>
    </row>
    <row r="71" spans="63:74" x14ac:dyDescent="0.25">
      <c r="BK71" s="7"/>
      <c r="BL71" s="36"/>
      <c r="BM71" s="7"/>
      <c r="BN71" s="36"/>
      <c r="BO71" s="7"/>
      <c r="BP71" s="36"/>
      <c r="BQ71" s="36"/>
      <c r="BS71" t="s">
        <v>123</v>
      </c>
      <c r="BT71">
        <v>10</v>
      </c>
      <c r="BU71" t="s">
        <v>77</v>
      </c>
      <c r="BV71" t="s">
        <v>6</v>
      </c>
    </row>
    <row r="72" spans="63:74" x14ac:dyDescent="0.25">
      <c r="BK72" s="7"/>
      <c r="BL72" s="36"/>
      <c r="BM72" s="7"/>
      <c r="BN72" s="36"/>
      <c r="BO72" s="7"/>
      <c r="BP72" s="36"/>
      <c r="BQ72" s="36"/>
      <c r="BS72" t="s">
        <v>123</v>
      </c>
      <c r="BT72">
        <v>11</v>
      </c>
      <c r="BU72" t="s">
        <v>78</v>
      </c>
      <c r="BV72" t="s">
        <v>83</v>
      </c>
    </row>
    <row r="73" spans="63:74" x14ac:dyDescent="0.25">
      <c r="BK73" s="36"/>
      <c r="BL73" s="36"/>
      <c r="BM73" s="7"/>
      <c r="BN73" s="36"/>
      <c r="BO73" s="7"/>
      <c r="BP73" s="36"/>
      <c r="BQ73" s="36"/>
      <c r="BS73" t="s">
        <v>123</v>
      </c>
      <c r="BT73">
        <v>12</v>
      </c>
      <c r="BU73" t="s">
        <v>72</v>
      </c>
      <c r="BV73" t="s">
        <v>58</v>
      </c>
    </row>
    <row r="74" spans="63:74" x14ac:dyDescent="0.25">
      <c r="BK74" s="36"/>
      <c r="BL74" s="36"/>
      <c r="BM74" s="7"/>
      <c r="BN74" s="36"/>
      <c r="BO74" s="7"/>
      <c r="BP74" s="36"/>
      <c r="BQ74" s="36"/>
      <c r="BS74" t="s">
        <v>123</v>
      </c>
      <c r="BT74">
        <v>13</v>
      </c>
      <c r="BU74" t="s">
        <v>73</v>
      </c>
      <c r="BV74" t="s">
        <v>31</v>
      </c>
    </row>
    <row r="75" spans="63:74" x14ac:dyDescent="0.25">
      <c r="BK75" s="36"/>
      <c r="BL75" s="36"/>
      <c r="BM75" s="7"/>
      <c r="BN75" s="36"/>
      <c r="BO75" s="7"/>
      <c r="BP75" s="36"/>
      <c r="BQ75" s="36"/>
      <c r="BS75" t="s">
        <v>123</v>
      </c>
      <c r="BT75">
        <v>14</v>
      </c>
      <c r="BU75" t="s">
        <v>74</v>
      </c>
      <c r="BV75" t="s">
        <v>19</v>
      </c>
    </row>
    <row r="76" spans="63:74" x14ac:dyDescent="0.25">
      <c r="BS76" t="s">
        <v>123</v>
      </c>
      <c r="BT76">
        <v>15</v>
      </c>
      <c r="BU76" t="s">
        <v>75</v>
      </c>
      <c r="BV76" t="s">
        <v>83</v>
      </c>
    </row>
    <row r="77" spans="63:74" x14ac:dyDescent="0.25">
      <c r="BS77" t="s">
        <v>123</v>
      </c>
      <c r="BT77">
        <v>16</v>
      </c>
      <c r="BU77" t="s">
        <v>76</v>
      </c>
      <c r="BV77" t="s">
        <v>31</v>
      </c>
    </row>
    <row r="78" spans="63:74" x14ac:dyDescent="0.25">
      <c r="BS78" t="s">
        <v>123</v>
      </c>
      <c r="BT78">
        <v>17</v>
      </c>
      <c r="BU78" t="s">
        <v>77</v>
      </c>
      <c r="BV78" t="s">
        <v>58</v>
      </c>
    </row>
    <row r="79" spans="63:74" x14ac:dyDescent="0.25">
      <c r="BS79" t="s">
        <v>123</v>
      </c>
      <c r="BT79">
        <v>18</v>
      </c>
      <c r="BU79" t="s">
        <v>78</v>
      </c>
      <c r="BV79" t="s">
        <v>60</v>
      </c>
    </row>
    <row r="80" spans="63:74" x14ac:dyDescent="0.25">
      <c r="BS80" t="s">
        <v>123</v>
      </c>
      <c r="BT80">
        <v>19</v>
      </c>
      <c r="BU80" t="s">
        <v>72</v>
      </c>
      <c r="BV80" t="s">
        <v>60</v>
      </c>
    </row>
    <row r="81" spans="71:74" x14ac:dyDescent="0.25">
      <c r="BS81" t="s">
        <v>123</v>
      </c>
      <c r="BT81">
        <v>20</v>
      </c>
      <c r="BU81" t="s">
        <v>73</v>
      </c>
      <c r="BV81" t="s">
        <v>60</v>
      </c>
    </row>
    <row r="82" spans="71:74" x14ac:dyDescent="0.25">
      <c r="BS82" t="s">
        <v>123</v>
      </c>
      <c r="BT82">
        <v>21</v>
      </c>
      <c r="BU82" t="s">
        <v>74</v>
      </c>
      <c r="BV82" t="s">
        <v>371</v>
      </c>
    </row>
    <row r="83" spans="71:74" x14ac:dyDescent="0.25">
      <c r="BS83" t="s">
        <v>123</v>
      </c>
      <c r="BT83">
        <v>22</v>
      </c>
      <c r="BU83" t="s">
        <v>75</v>
      </c>
      <c r="BV83" t="s">
        <v>83</v>
      </c>
    </row>
    <row r="84" spans="71:74" x14ac:dyDescent="0.25">
      <c r="BS84" t="s">
        <v>123</v>
      </c>
      <c r="BT84">
        <v>23</v>
      </c>
      <c r="BU84" t="s">
        <v>76</v>
      </c>
      <c r="BV84" t="s">
        <v>31</v>
      </c>
    </row>
    <row r="85" spans="71:74" x14ac:dyDescent="0.25">
      <c r="BS85" t="s">
        <v>123</v>
      </c>
      <c r="BT85">
        <v>24</v>
      </c>
      <c r="BU85" t="s">
        <v>77</v>
      </c>
      <c r="BV85" t="s">
        <v>31</v>
      </c>
    </row>
    <row r="86" spans="71:74" x14ac:dyDescent="0.25">
      <c r="BS86" t="s">
        <v>123</v>
      </c>
      <c r="BT86">
        <v>25</v>
      </c>
      <c r="BU86" t="s">
        <v>78</v>
      </c>
      <c r="BV86" t="s">
        <v>364</v>
      </c>
    </row>
    <row r="87" spans="71:74" x14ac:dyDescent="0.25">
      <c r="BS87" t="s">
        <v>123</v>
      </c>
      <c r="BT87">
        <v>26</v>
      </c>
      <c r="BU87" t="s">
        <v>72</v>
      </c>
      <c r="BV87" t="s">
        <v>65</v>
      </c>
    </row>
    <row r="88" spans="71:74" x14ac:dyDescent="0.25">
      <c r="BS88" t="s">
        <v>123</v>
      </c>
      <c r="BT88">
        <v>27</v>
      </c>
      <c r="BU88" t="s">
        <v>73</v>
      </c>
      <c r="BV88" t="s">
        <v>60</v>
      </c>
    </row>
    <row r="89" spans="71:74" x14ac:dyDescent="0.25">
      <c r="BS89" t="s">
        <v>123</v>
      </c>
      <c r="BT89">
        <v>28</v>
      </c>
      <c r="BU89" t="s">
        <v>74</v>
      </c>
      <c r="BV89" t="s">
        <v>83</v>
      </c>
    </row>
    <row r="90" spans="71:74" x14ac:dyDescent="0.25">
      <c r="BS90" t="s">
        <v>123</v>
      </c>
      <c r="BT90">
        <v>29</v>
      </c>
      <c r="BU90" t="s">
        <v>75</v>
      </c>
      <c r="BV90" t="s">
        <v>83</v>
      </c>
    </row>
    <row r="91" spans="71:74" x14ac:dyDescent="0.25">
      <c r="BS91" t="s">
        <v>123</v>
      </c>
      <c r="BT91">
        <v>30</v>
      </c>
      <c r="BU91" t="s">
        <v>76</v>
      </c>
      <c r="BV91" t="s">
        <v>60</v>
      </c>
    </row>
    <row r="92" spans="71:74" x14ac:dyDescent="0.25">
      <c r="BS92" t="s">
        <v>124</v>
      </c>
      <c r="BT92">
        <v>1</v>
      </c>
      <c r="BU92" t="s">
        <v>75</v>
      </c>
      <c r="BV92" t="s">
        <v>83</v>
      </c>
    </row>
    <row r="93" spans="71:74" x14ac:dyDescent="0.25">
      <c r="BS93" t="s">
        <v>124</v>
      </c>
      <c r="BT93">
        <v>2</v>
      </c>
      <c r="BU93" t="s">
        <v>76</v>
      </c>
      <c r="BV93" t="s">
        <v>32</v>
      </c>
    </row>
    <row r="94" spans="71:74" x14ac:dyDescent="0.25">
      <c r="BS94" t="s">
        <v>124</v>
      </c>
      <c r="BT94">
        <v>3</v>
      </c>
      <c r="BU94" t="s">
        <v>77</v>
      </c>
      <c r="BV94" t="s">
        <v>31</v>
      </c>
    </row>
    <row r="95" spans="71:74" x14ac:dyDescent="0.25">
      <c r="BS95" t="s">
        <v>124</v>
      </c>
      <c r="BT95">
        <v>4</v>
      </c>
      <c r="BU95" t="s">
        <v>78</v>
      </c>
      <c r="BV95" t="s">
        <v>31</v>
      </c>
    </row>
    <row r="96" spans="71:74" x14ac:dyDescent="0.25">
      <c r="BS96" t="s">
        <v>124</v>
      </c>
      <c r="BT96">
        <v>5</v>
      </c>
      <c r="BU96" t="s">
        <v>72</v>
      </c>
      <c r="BV96" t="s">
        <v>31</v>
      </c>
    </row>
    <row r="97" spans="71:74" x14ac:dyDescent="0.25">
      <c r="BS97" t="s">
        <v>124</v>
      </c>
      <c r="BT97">
        <v>6</v>
      </c>
      <c r="BU97" t="s">
        <v>73</v>
      </c>
      <c r="BV97" t="s">
        <v>5</v>
      </c>
    </row>
    <row r="98" spans="71:74" x14ac:dyDescent="0.25">
      <c r="BS98" t="s">
        <v>124</v>
      </c>
      <c r="BT98">
        <v>7</v>
      </c>
      <c r="BU98" t="s">
        <v>74</v>
      </c>
      <c r="BV98" t="s">
        <v>83</v>
      </c>
    </row>
    <row r="99" spans="71:74" x14ac:dyDescent="0.25">
      <c r="BS99" t="s">
        <v>124</v>
      </c>
      <c r="BT99">
        <v>8</v>
      </c>
      <c r="BU99" t="s">
        <v>75</v>
      </c>
      <c r="BV99" t="s">
        <v>83</v>
      </c>
    </row>
    <row r="100" spans="71:74" x14ac:dyDescent="0.25">
      <c r="BS100" t="s">
        <v>124</v>
      </c>
      <c r="BT100">
        <v>9</v>
      </c>
      <c r="BU100" t="s">
        <v>76</v>
      </c>
      <c r="BV100" t="s">
        <v>5</v>
      </c>
    </row>
    <row r="101" spans="71:74" x14ac:dyDescent="0.25">
      <c r="BS101" t="s">
        <v>124</v>
      </c>
      <c r="BT101">
        <v>10</v>
      </c>
      <c r="BU101" t="s">
        <v>77</v>
      </c>
      <c r="BV101" t="s">
        <v>31</v>
      </c>
    </row>
    <row r="102" spans="71:74" x14ac:dyDescent="0.25">
      <c r="BS102" t="s">
        <v>124</v>
      </c>
      <c r="BT102">
        <v>11</v>
      </c>
      <c r="BU102" t="s">
        <v>78</v>
      </c>
      <c r="BV102" t="s">
        <v>31</v>
      </c>
    </row>
    <row r="103" spans="71:74" x14ac:dyDescent="0.25">
      <c r="BS103" t="s">
        <v>124</v>
      </c>
      <c r="BT103">
        <v>12</v>
      </c>
      <c r="BU103" t="s">
        <v>72</v>
      </c>
      <c r="BV103" t="s">
        <v>31</v>
      </c>
    </row>
    <row r="104" spans="71:74" x14ac:dyDescent="0.25">
      <c r="BS104" t="s">
        <v>124</v>
      </c>
      <c r="BT104">
        <v>13</v>
      </c>
      <c r="BU104" t="s">
        <v>73</v>
      </c>
      <c r="BV104" t="s">
        <v>31</v>
      </c>
    </row>
    <row r="105" spans="71:74" x14ac:dyDescent="0.25">
      <c r="BS105" t="s">
        <v>124</v>
      </c>
      <c r="BT105">
        <v>14</v>
      </c>
      <c r="BU105" t="s">
        <v>74</v>
      </c>
      <c r="BV105" t="s">
        <v>83</v>
      </c>
    </row>
    <row r="106" spans="71:74" x14ac:dyDescent="0.25">
      <c r="BS106" t="s">
        <v>124</v>
      </c>
      <c r="BT106">
        <v>15</v>
      </c>
      <c r="BU106" t="s">
        <v>75</v>
      </c>
      <c r="BV106" t="s">
        <v>83</v>
      </c>
    </row>
    <row r="107" spans="71:74" x14ac:dyDescent="0.25">
      <c r="BS107" t="s">
        <v>124</v>
      </c>
      <c r="BT107">
        <v>16</v>
      </c>
      <c r="BU107" t="s">
        <v>76</v>
      </c>
      <c r="BV107" t="s">
        <v>5</v>
      </c>
    </row>
    <row r="108" spans="71:74" x14ac:dyDescent="0.25">
      <c r="BS108" t="s">
        <v>124</v>
      </c>
      <c r="BT108">
        <v>17</v>
      </c>
      <c r="BU108" t="s">
        <v>77</v>
      </c>
      <c r="BV108" t="s">
        <v>31</v>
      </c>
    </row>
    <row r="109" spans="71:74" x14ac:dyDescent="0.25">
      <c r="BS109" t="s">
        <v>124</v>
      </c>
      <c r="BT109">
        <v>18</v>
      </c>
      <c r="BU109" t="s">
        <v>78</v>
      </c>
      <c r="BV109" t="s">
        <v>31</v>
      </c>
    </row>
    <row r="110" spans="71:74" x14ac:dyDescent="0.25">
      <c r="BS110" t="s">
        <v>124</v>
      </c>
      <c r="BT110">
        <v>19</v>
      </c>
      <c r="BU110" t="s">
        <v>72</v>
      </c>
      <c r="BV110" t="s">
        <v>31</v>
      </c>
    </row>
    <row r="111" spans="71:74" x14ac:dyDescent="0.25">
      <c r="BS111" t="s">
        <v>124</v>
      </c>
      <c r="BT111">
        <v>20</v>
      </c>
      <c r="BU111" t="s">
        <v>73</v>
      </c>
      <c r="BV111" t="s">
        <v>31</v>
      </c>
    </row>
    <row r="112" spans="71:74" x14ac:dyDescent="0.25">
      <c r="BS112" t="s">
        <v>124</v>
      </c>
      <c r="BT112">
        <v>21</v>
      </c>
      <c r="BU112" t="s">
        <v>74</v>
      </c>
      <c r="BV112" t="s">
        <v>83</v>
      </c>
    </row>
    <row r="113" spans="71:74" x14ac:dyDescent="0.25">
      <c r="BS113" t="s">
        <v>124</v>
      </c>
      <c r="BT113">
        <v>22</v>
      </c>
      <c r="BU113" t="s">
        <v>75</v>
      </c>
      <c r="BV113" t="s">
        <v>83</v>
      </c>
    </row>
    <row r="114" spans="71:74" x14ac:dyDescent="0.25">
      <c r="BS114" t="s">
        <v>124</v>
      </c>
      <c r="BT114">
        <v>23</v>
      </c>
      <c r="BU114" t="s">
        <v>76</v>
      </c>
      <c r="BV114" t="s">
        <v>5</v>
      </c>
    </row>
    <row r="115" spans="71:74" x14ac:dyDescent="0.25">
      <c r="BS115" t="s">
        <v>124</v>
      </c>
      <c r="BT115">
        <v>24</v>
      </c>
      <c r="BU115" t="s">
        <v>77</v>
      </c>
      <c r="BV115" t="s">
        <v>31</v>
      </c>
    </row>
    <row r="116" spans="71:74" x14ac:dyDescent="0.25">
      <c r="BS116" t="s">
        <v>124</v>
      </c>
      <c r="BT116">
        <v>25</v>
      </c>
      <c r="BU116" t="s">
        <v>78</v>
      </c>
      <c r="BV116" t="s">
        <v>31</v>
      </c>
    </row>
    <row r="117" spans="71:74" x14ac:dyDescent="0.25">
      <c r="BS117" t="s">
        <v>124</v>
      </c>
      <c r="BT117">
        <v>26</v>
      </c>
      <c r="BU117" t="s">
        <v>72</v>
      </c>
      <c r="BV117" t="s">
        <v>31</v>
      </c>
    </row>
    <row r="118" spans="71:74" x14ac:dyDescent="0.25">
      <c r="BS118" t="s">
        <v>124</v>
      </c>
      <c r="BT118">
        <v>27</v>
      </c>
      <c r="BU118" t="s">
        <v>73</v>
      </c>
      <c r="BV118" t="s">
        <v>31</v>
      </c>
    </row>
    <row r="119" spans="71:74" x14ac:dyDescent="0.25">
      <c r="BS119" t="s">
        <v>124</v>
      </c>
      <c r="BT119">
        <v>28</v>
      </c>
      <c r="BU119" t="s">
        <v>74</v>
      </c>
      <c r="BV119" t="s">
        <v>83</v>
      </c>
    </row>
    <row r="120" spans="71:74" x14ac:dyDescent="0.25">
      <c r="BS120" t="s">
        <v>124</v>
      </c>
      <c r="BT120">
        <v>29</v>
      </c>
      <c r="BU120" t="s">
        <v>75</v>
      </c>
      <c r="BV120" t="s">
        <v>83</v>
      </c>
    </row>
    <row r="121" spans="71:74" x14ac:dyDescent="0.25">
      <c r="BS121" t="s">
        <v>124</v>
      </c>
      <c r="BT121">
        <v>30</v>
      </c>
      <c r="BU121" t="s">
        <v>76</v>
      </c>
      <c r="BV121" t="s">
        <v>5</v>
      </c>
    </row>
    <row r="122" spans="71:74" x14ac:dyDescent="0.25">
      <c r="BS122" t="s">
        <v>125</v>
      </c>
      <c r="BT122">
        <v>1</v>
      </c>
      <c r="BU122" t="s">
        <v>75</v>
      </c>
      <c r="BV122" t="s">
        <v>83</v>
      </c>
    </row>
    <row r="123" spans="71:74" x14ac:dyDescent="0.25">
      <c r="BS123" s="27" t="s">
        <v>125</v>
      </c>
      <c r="BT123">
        <v>2</v>
      </c>
      <c r="BU123" t="s">
        <v>76</v>
      </c>
      <c r="BV123" t="s">
        <v>31</v>
      </c>
    </row>
    <row r="124" spans="71:74" x14ac:dyDescent="0.25">
      <c r="BS124" s="27" t="s">
        <v>125</v>
      </c>
      <c r="BT124">
        <v>3</v>
      </c>
      <c r="BU124" t="s">
        <v>77</v>
      </c>
      <c r="BV124" t="s">
        <v>31</v>
      </c>
    </row>
    <row r="125" spans="71:74" x14ac:dyDescent="0.25">
      <c r="BS125" s="27" t="s">
        <v>125</v>
      </c>
      <c r="BT125">
        <v>4</v>
      </c>
      <c r="BU125" t="s">
        <v>78</v>
      </c>
      <c r="BV125" t="s">
        <v>83</v>
      </c>
    </row>
    <row r="126" spans="71:74" x14ac:dyDescent="0.25">
      <c r="BS126" s="27" t="s">
        <v>125</v>
      </c>
      <c r="BT126">
        <v>5</v>
      </c>
      <c r="BU126" t="s">
        <v>72</v>
      </c>
      <c r="BV126" t="s">
        <v>32</v>
      </c>
    </row>
    <row r="127" spans="71:74" x14ac:dyDescent="0.25">
      <c r="BS127" s="27" t="s">
        <v>125</v>
      </c>
      <c r="BT127">
        <v>6</v>
      </c>
      <c r="BU127" t="s">
        <v>73</v>
      </c>
      <c r="BV127" t="s">
        <v>31</v>
      </c>
    </row>
    <row r="128" spans="71:74" x14ac:dyDescent="0.25">
      <c r="BS128" s="27" t="s">
        <v>125</v>
      </c>
      <c r="BT128">
        <v>7</v>
      </c>
      <c r="BU128" t="s">
        <v>74</v>
      </c>
      <c r="BV128" t="s">
        <v>53</v>
      </c>
    </row>
    <row r="129" spans="71:74" x14ac:dyDescent="0.25">
      <c r="BS129" s="27" t="s">
        <v>125</v>
      </c>
      <c r="BT129">
        <v>8</v>
      </c>
      <c r="BU129" t="s">
        <v>75</v>
      </c>
      <c r="BV129" t="s">
        <v>83</v>
      </c>
    </row>
    <row r="130" spans="71:74" x14ac:dyDescent="0.25">
      <c r="BS130" s="27" t="s">
        <v>125</v>
      </c>
      <c r="BT130">
        <v>9</v>
      </c>
      <c r="BU130" t="s">
        <v>76</v>
      </c>
      <c r="BV130" t="s">
        <v>83</v>
      </c>
    </row>
    <row r="131" spans="71:74" x14ac:dyDescent="0.25">
      <c r="BS131" s="27" t="s">
        <v>125</v>
      </c>
      <c r="BT131">
        <v>10</v>
      </c>
      <c r="BU131" t="s">
        <v>77</v>
      </c>
      <c r="BV131" t="s">
        <v>31</v>
      </c>
    </row>
    <row r="132" spans="71:74" x14ac:dyDescent="0.25">
      <c r="BS132" s="27" t="s">
        <v>125</v>
      </c>
      <c r="BT132">
        <v>11</v>
      </c>
      <c r="BU132" t="s">
        <v>78</v>
      </c>
      <c r="BV132" t="s">
        <v>53</v>
      </c>
    </row>
    <row r="133" spans="71:74" x14ac:dyDescent="0.25">
      <c r="BS133" s="27" t="s">
        <v>125</v>
      </c>
      <c r="BT133">
        <v>12</v>
      </c>
      <c r="BU133" t="s">
        <v>72</v>
      </c>
      <c r="BV133" t="s">
        <v>65</v>
      </c>
    </row>
    <row r="134" spans="71:74" x14ac:dyDescent="0.25">
      <c r="BS134" s="27" t="s">
        <v>125</v>
      </c>
      <c r="BT134">
        <v>13</v>
      </c>
      <c r="BU134" t="s">
        <v>73</v>
      </c>
      <c r="BV134" t="s">
        <v>69</v>
      </c>
    </row>
    <row r="135" spans="71:74" x14ac:dyDescent="0.25">
      <c r="BS135" s="27" t="s">
        <v>125</v>
      </c>
      <c r="BT135">
        <v>14</v>
      </c>
      <c r="BU135" t="s">
        <v>74</v>
      </c>
      <c r="BV135" t="s">
        <v>83</v>
      </c>
    </row>
    <row r="136" spans="71:74" x14ac:dyDescent="0.25">
      <c r="BS136" s="27" t="s">
        <v>125</v>
      </c>
      <c r="BT136">
        <v>15</v>
      </c>
      <c r="BU136" t="s">
        <v>75</v>
      </c>
      <c r="BV136" t="s">
        <v>53</v>
      </c>
    </row>
    <row r="137" spans="71:74" x14ac:dyDescent="0.25">
      <c r="BS137" s="27" t="s">
        <v>125</v>
      </c>
      <c r="BT137">
        <v>16</v>
      </c>
      <c r="BU137" t="s">
        <v>76</v>
      </c>
      <c r="BV137" t="s">
        <v>65</v>
      </c>
    </row>
    <row r="138" spans="71:74" x14ac:dyDescent="0.25">
      <c r="BS138" s="27" t="s">
        <v>125</v>
      </c>
      <c r="BT138">
        <v>17</v>
      </c>
      <c r="BU138" t="s">
        <v>77</v>
      </c>
      <c r="BV138" t="s">
        <v>83</v>
      </c>
    </row>
    <row r="139" spans="71:74" x14ac:dyDescent="0.25">
      <c r="BS139" s="27" t="s">
        <v>125</v>
      </c>
      <c r="BT139">
        <v>18</v>
      </c>
      <c r="BU139" t="s">
        <v>78</v>
      </c>
      <c r="BV139" t="s">
        <v>31</v>
      </c>
    </row>
    <row r="140" spans="71:74" x14ac:dyDescent="0.25">
      <c r="BS140" s="27" t="s">
        <v>125</v>
      </c>
      <c r="BT140">
        <v>19</v>
      </c>
      <c r="BU140" t="s">
        <v>72</v>
      </c>
      <c r="BV140" t="s">
        <v>31</v>
      </c>
    </row>
    <row r="141" spans="71:74" x14ac:dyDescent="0.25">
      <c r="BS141" s="27" t="s">
        <v>125</v>
      </c>
      <c r="BT141">
        <v>20</v>
      </c>
      <c r="BU141" t="s">
        <v>73</v>
      </c>
      <c r="BV141" t="s">
        <v>31</v>
      </c>
    </row>
    <row r="142" spans="71:74" x14ac:dyDescent="0.25">
      <c r="BS142" s="27" t="s">
        <v>125</v>
      </c>
      <c r="BT142">
        <v>21</v>
      </c>
      <c r="BU142" t="s">
        <v>74</v>
      </c>
      <c r="BV142" t="s">
        <v>83</v>
      </c>
    </row>
    <row r="143" spans="71:74" x14ac:dyDescent="0.25">
      <c r="BS143" s="27" t="s">
        <v>125</v>
      </c>
      <c r="BT143">
        <v>22</v>
      </c>
      <c r="BU143" t="s">
        <v>75</v>
      </c>
      <c r="BV143" t="s">
        <v>83</v>
      </c>
    </row>
    <row r="144" spans="71:74" x14ac:dyDescent="0.25">
      <c r="BS144" s="27" t="s">
        <v>125</v>
      </c>
      <c r="BT144">
        <v>23</v>
      </c>
      <c r="BU144" t="s">
        <v>76</v>
      </c>
      <c r="BV144" t="s">
        <v>31</v>
      </c>
    </row>
    <row r="145" spans="71:74" x14ac:dyDescent="0.25">
      <c r="BS145" s="27" t="s">
        <v>125</v>
      </c>
      <c r="BT145">
        <v>24</v>
      </c>
      <c r="BU145" t="s">
        <v>77</v>
      </c>
      <c r="BV145" t="s">
        <v>31</v>
      </c>
    </row>
    <row r="146" spans="71:74" x14ac:dyDescent="0.25">
      <c r="BS146" s="27" t="s">
        <v>125</v>
      </c>
      <c r="BT146">
        <v>25</v>
      </c>
      <c r="BU146" t="s">
        <v>78</v>
      </c>
      <c r="BV146" t="s">
        <v>53</v>
      </c>
    </row>
    <row r="147" spans="71:74" x14ac:dyDescent="0.25">
      <c r="BS147" s="27" t="s">
        <v>125</v>
      </c>
      <c r="BT147">
        <v>26</v>
      </c>
      <c r="BU147" t="s">
        <v>72</v>
      </c>
      <c r="BV147" t="s">
        <v>65</v>
      </c>
    </row>
    <row r="148" spans="71:74" x14ac:dyDescent="0.25">
      <c r="BS148" s="27" t="s">
        <v>125</v>
      </c>
      <c r="BT148">
        <v>27</v>
      </c>
      <c r="BU148" t="s">
        <v>73</v>
      </c>
      <c r="BV148" t="s">
        <v>31</v>
      </c>
    </row>
    <row r="149" spans="71:74" x14ac:dyDescent="0.25">
      <c r="BS149" s="27" t="s">
        <v>125</v>
      </c>
      <c r="BT149">
        <v>28</v>
      </c>
      <c r="BU149" t="s">
        <v>74</v>
      </c>
      <c r="BV149" t="s">
        <v>35</v>
      </c>
    </row>
    <row r="150" spans="71:74" x14ac:dyDescent="0.25">
      <c r="BS150" s="27" t="s">
        <v>125</v>
      </c>
      <c r="BT150">
        <v>29</v>
      </c>
      <c r="BU150" t="s">
        <v>75</v>
      </c>
      <c r="BV150" t="s">
        <v>53</v>
      </c>
    </row>
    <row r="151" spans="71:74" x14ac:dyDescent="0.25">
      <c r="BS151" s="27" t="s">
        <v>125</v>
      </c>
      <c r="BT151">
        <v>30</v>
      </c>
      <c r="BU151" t="s">
        <v>76</v>
      </c>
      <c r="BV151" t="s">
        <v>65</v>
      </c>
    </row>
    <row r="152" spans="71:74" x14ac:dyDescent="0.25">
      <c r="BS152" t="s">
        <v>126</v>
      </c>
      <c r="BT152">
        <v>1</v>
      </c>
      <c r="BU152" t="s">
        <v>75</v>
      </c>
      <c r="BV152" t="s">
        <v>83</v>
      </c>
    </row>
    <row r="153" spans="71:74" x14ac:dyDescent="0.25">
      <c r="BS153" t="s">
        <v>126</v>
      </c>
      <c r="BT153">
        <v>2</v>
      </c>
      <c r="BU153" t="s">
        <v>76</v>
      </c>
      <c r="BV153" t="s">
        <v>63</v>
      </c>
    </row>
    <row r="154" spans="71:74" x14ac:dyDescent="0.25">
      <c r="BS154" t="s">
        <v>126</v>
      </c>
      <c r="BT154">
        <v>3</v>
      </c>
      <c r="BU154" t="s">
        <v>77</v>
      </c>
      <c r="BV154" t="s">
        <v>63</v>
      </c>
    </row>
    <row r="155" spans="71:74" x14ac:dyDescent="0.25">
      <c r="BS155" t="s">
        <v>126</v>
      </c>
      <c r="BT155">
        <v>4</v>
      </c>
      <c r="BU155" t="s">
        <v>78</v>
      </c>
      <c r="BV155" t="s">
        <v>31</v>
      </c>
    </row>
    <row r="156" spans="71:74" x14ac:dyDescent="0.25">
      <c r="BS156" t="s">
        <v>126</v>
      </c>
      <c r="BT156">
        <v>5</v>
      </c>
      <c r="BU156" t="s">
        <v>72</v>
      </c>
      <c r="BV156" t="s">
        <v>17</v>
      </c>
    </row>
    <row r="157" spans="71:74" x14ac:dyDescent="0.25">
      <c r="BS157" t="s">
        <v>126</v>
      </c>
      <c r="BT157">
        <v>6</v>
      </c>
      <c r="BU157" t="s">
        <v>73</v>
      </c>
      <c r="BV157" t="s">
        <v>65</v>
      </c>
    </row>
    <row r="158" spans="71:74" x14ac:dyDescent="0.25">
      <c r="BS158" t="s">
        <v>126</v>
      </c>
      <c r="BT158">
        <v>7</v>
      </c>
      <c r="BU158" t="s">
        <v>74</v>
      </c>
      <c r="BV158" t="s">
        <v>83</v>
      </c>
    </row>
    <row r="159" spans="71:74" x14ac:dyDescent="0.25">
      <c r="BS159" t="s">
        <v>126</v>
      </c>
      <c r="BT159">
        <v>8</v>
      </c>
      <c r="BU159" t="s">
        <v>75</v>
      </c>
      <c r="BV159" t="s">
        <v>83</v>
      </c>
    </row>
    <row r="160" spans="71:74" x14ac:dyDescent="0.25">
      <c r="BS160" t="s">
        <v>126</v>
      </c>
      <c r="BT160">
        <v>9</v>
      </c>
      <c r="BU160" t="s">
        <v>76</v>
      </c>
      <c r="BV160" t="s">
        <v>43</v>
      </c>
    </row>
    <row r="161" spans="71:74" x14ac:dyDescent="0.25">
      <c r="BS161" t="s">
        <v>126</v>
      </c>
      <c r="BT161">
        <v>10</v>
      </c>
      <c r="BU161" t="s">
        <v>77</v>
      </c>
      <c r="BV161" t="s">
        <v>31</v>
      </c>
    </row>
    <row r="162" spans="71:74" x14ac:dyDescent="0.25">
      <c r="BS162" t="s">
        <v>126</v>
      </c>
      <c r="BT162">
        <v>11</v>
      </c>
      <c r="BU162" t="s">
        <v>78</v>
      </c>
      <c r="BV162" t="s">
        <v>43</v>
      </c>
    </row>
    <row r="163" spans="71:74" x14ac:dyDescent="0.25">
      <c r="BS163" t="s">
        <v>126</v>
      </c>
      <c r="BT163">
        <v>12</v>
      </c>
      <c r="BU163" t="s">
        <v>72</v>
      </c>
      <c r="BV163" t="s">
        <v>17</v>
      </c>
    </row>
    <row r="164" spans="71:74" x14ac:dyDescent="0.25">
      <c r="BS164" t="s">
        <v>126</v>
      </c>
      <c r="BT164">
        <v>13</v>
      </c>
      <c r="BU164" t="s">
        <v>73</v>
      </c>
      <c r="BV164" t="s">
        <v>65</v>
      </c>
    </row>
    <row r="165" spans="71:74" x14ac:dyDescent="0.25">
      <c r="BS165" t="s">
        <v>126</v>
      </c>
      <c r="BT165">
        <v>14</v>
      </c>
      <c r="BU165" t="s">
        <v>74</v>
      </c>
      <c r="BV165" t="s">
        <v>83</v>
      </c>
    </row>
    <row r="166" spans="71:74" x14ac:dyDescent="0.25">
      <c r="BS166" t="s">
        <v>126</v>
      </c>
      <c r="BT166">
        <v>15</v>
      </c>
      <c r="BU166" t="s">
        <v>75</v>
      </c>
      <c r="BV166" t="s">
        <v>83</v>
      </c>
    </row>
    <row r="167" spans="71:74" x14ac:dyDescent="0.25">
      <c r="BS167" t="s">
        <v>126</v>
      </c>
      <c r="BT167">
        <v>16</v>
      </c>
      <c r="BU167" t="s">
        <v>76</v>
      </c>
      <c r="BV167" t="s">
        <v>17</v>
      </c>
    </row>
    <row r="168" spans="71:74" x14ac:dyDescent="0.25">
      <c r="BS168" t="s">
        <v>126</v>
      </c>
      <c r="BT168">
        <v>17</v>
      </c>
      <c r="BU168" t="s">
        <v>77</v>
      </c>
      <c r="BV168" t="s">
        <v>65</v>
      </c>
    </row>
    <row r="169" spans="71:74" x14ac:dyDescent="0.25">
      <c r="BS169" t="s">
        <v>126</v>
      </c>
      <c r="BT169">
        <v>18</v>
      </c>
      <c r="BU169" t="s">
        <v>78</v>
      </c>
      <c r="BV169" t="s">
        <v>6</v>
      </c>
    </row>
    <row r="170" spans="71:74" x14ac:dyDescent="0.25">
      <c r="BS170" t="s">
        <v>126</v>
      </c>
      <c r="BT170">
        <v>19</v>
      </c>
      <c r="BU170" t="s">
        <v>72</v>
      </c>
      <c r="BV170" t="s">
        <v>31</v>
      </c>
    </row>
    <row r="171" spans="71:74" x14ac:dyDescent="0.25">
      <c r="BS171" t="s">
        <v>126</v>
      </c>
      <c r="BT171">
        <v>20</v>
      </c>
      <c r="BU171" t="s">
        <v>73</v>
      </c>
      <c r="BV171" t="s">
        <v>83</v>
      </c>
    </row>
    <row r="172" spans="71:74" x14ac:dyDescent="0.25">
      <c r="BS172" t="s">
        <v>126</v>
      </c>
      <c r="BT172">
        <v>21</v>
      </c>
      <c r="BU172" t="s">
        <v>74</v>
      </c>
      <c r="BV172" t="s">
        <v>19</v>
      </c>
    </row>
    <row r="173" spans="71:74" x14ac:dyDescent="0.25">
      <c r="BS173" t="s">
        <v>126</v>
      </c>
      <c r="BT173">
        <v>22</v>
      </c>
      <c r="BU173" t="s">
        <v>75</v>
      </c>
      <c r="BV173" t="s">
        <v>83</v>
      </c>
    </row>
    <row r="174" spans="71:74" x14ac:dyDescent="0.25">
      <c r="BS174" t="s">
        <v>126</v>
      </c>
      <c r="BT174">
        <v>23</v>
      </c>
      <c r="BU174" t="s">
        <v>76</v>
      </c>
      <c r="BV174" t="s">
        <v>31</v>
      </c>
    </row>
    <row r="175" spans="71:74" x14ac:dyDescent="0.25">
      <c r="BS175" t="s">
        <v>126</v>
      </c>
      <c r="BT175">
        <v>24</v>
      </c>
      <c r="BU175" t="s">
        <v>77</v>
      </c>
      <c r="BV175" t="s">
        <v>31</v>
      </c>
    </row>
    <row r="176" spans="71:74" x14ac:dyDescent="0.25">
      <c r="BS176" t="s">
        <v>126</v>
      </c>
      <c r="BT176">
        <v>25</v>
      </c>
      <c r="BU176" t="s">
        <v>78</v>
      </c>
      <c r="BV176" t="s">
        <v>6</v>
      </c>
    </row>
    <row r="177" spans="71:74" x14ac:dyDescent="0.25">
      <c r="BS177" t="s">
        <v>126</v>
      </c>
      <c r="BT177">
        <v>26</v>
      </c>
      <c r="BU177" t="s">
        <v>72</v>
      </c>
      <c r="BV177" t="s">
        <v>31</v>
      </c>
    </row>
    <row r="178" spans="71:74" x14ac:dyDescent="0.25">
      <c r="BS178" t="s">
        <v>126</v>
      </c>
      <c r="BT178">
        <v>27</v>
      </c>
      <c r="BU178" t="s">
        <v>73</v>
      </c>
      <c r="BV178" t="s">
        <v>31</v>
      </c>
    </row>
    <row r="179" spans="71:74" x14ac:dyDescent="0.25">
      <c r="BS179" t="s">
        <v>126</v>
      </c>
      <c r="BT179">
        <v>28</v>
      </c>
      <c r="BU179" t="s">
        <v>74</v>
      </c>
      <c r="BV179" t="s">
        <v>83</v>
      </c>
    </row>
    <row r="180" spans="71:74" x14ac:dyDescent="0.25">
      <c r="BS180" t="s">
        <v>126</v>
      </c>
      <c r="BT180">
        <v>29</v>
      </c>
      <c r="BU180" t="s">
        <v>75</v>
      </c>
      <c r="BV180" t="s">
        <v>83</v>
      </c>
    </row>
    <row r="181" spans="71:74" x14ac:dyDescent="0.25">
      <c r="BS181" t="s">
        <v>126</v>
      </c>
      <c r="BT181">
        <v>30</v>
      </c>
      <c r="BU181" t="s">
        <v>76</v>
      </c>
      <c r="BV181" t="s">
        <v>31</v>
      </c>
    </row>
    <row r="182" spans="71:74" x14ac:dyDescent="0.25">
      <c r="BS182" t="s">
        <v>127</v>
      </c>
      <c r="BT182">
        <v>1</v>
      </c>
      <c r="BU182" t="s">
        <v>75</v>
      </c>
      <c r="BV182" t="s">
        <v>83</v>
      </c>
    </row>
    <row r="183" spans="71:74" x14ac:dyDescent="0.25">
      <c r="BS183" t="s">
        <v>127</v>
      </c>
      <c r="BT183">
        <v>2</v>
      </c>
      <c r="BU183" t="s">
        <v>76</v>
      </c>
      <c r="BV183" t="s">
        <v>83</v>
      </c>
    </row>
    <row r="184" spans="71:74" x14ac:dyDescent="0.25">
      <c r="BS184" t="s">
        <v>127</v>
      </c>
      <c r="BT184">
        <v>3</v>
      </c>
      <c r="BU184" t="s">
        <v>77</v>
      </c>
      <c r="BV184" t="s">
        <v>5</v>
      </c>
    </row>
    <row r="185" spans="71:74" x14ac:dyDescent="0.25">
      <c r="BS185" t="s">
        <v>127</v>
      </c>
      <c r="BT185">
        <v>4</v>
      </c>
      <c r="BU185" t="s">
        <v>78</v>
      </c>
      <c r="BV185" t="s">
        <v>5</v>
      </c>
    </row>
    <row r="186" spans="71:74" x14ac:dyDescent="0.25">
      <c r="BS186" t="s">
        <v>127</v>
      </c>
      <c r="BT186">
        <v>5</v>
      </c>
      <c r="BU186" t="s">
        <v>72</v>
      </c>
      <c r="BV186" t="s">
        <v>31</v>
      </c>
    </row>
    <row r="187" spans="71:74" x14ac:dyDescent="0.25">
      <c r="BS187" t="s">
        <v>127</v>
      </c>
      <c r="BT187">
        <v>6</v>
      </c>
      <c r="BU187" t="s">
        <v>73</v>
      </c>
      <c r="BV187" t="s">
        <v>5</v>
      </c>
    </row>
    <row r="188" spans="71:74" x14ac:dyDescent="0.25">
      <c r="BS188" t="s">
        <v>127</v>
      </c>
      <c r="BT188">
        <v>7</v>
      </c>
      <c r="BU188" t="s">
        <v>74</v>
      </c>
      <c r="BV188" t="s">
        <v>19</v>
      </c>
    </row>
    <row r="189" spans="71:74" x14ac:dyDescent="0.25">
      <c r="BS189" t="s">
        <v>127</v>
      </c>
      <c r="BT189">
        <v>8</v>
      </c>
      <c r="BU189" t="s">
        <v>75</v>
      </c>
      <c r="BV189" t="s">
        <v>83</v>
      </c>
    </row>
    <row r="190" spans="71:74" x14ac:dyDescent="0.25">
      <c r="BS190" t="s">
        <v>127</v>
      </c>
      <c r="BT190">
        <v>9</v>
      </c>
      <c r="BU190" t="s">
        <v>76</v>
      </c>
      <c r="BV190" t="s">
        <v>31</v>
      </c>
    </row>
    <row r="191" spans="71:74" x14ac:dyDescent="0.25">
      <c r="BS191" t="s">
        <v>127</v>
      </c>
      <c r="BT191">
        <v>10</v>
      </c>
      <c r="BU191" t="s">
        <v>77</v>
      </c>
      <c r="BV191" t="s">
        <v>5</v>
      </c>
    </row>
    <row r="192" spans="71:74" x14ac:dyDescent="0.25">
      <c r="BS192" t="s">
        <v>127</v>
      </c>
      <c r="BT192">
        <v>11</v>
      </c>
      <c r="BU192" t="s">
        <v>78</v>
      </c>
      <c r="BV192" t="s">
        <v>5</v>
      </c>
    </row>
    <row r="193" spans="71:74" x14ac:dyDescent="0.25">
      <c r="BS193" t="s">
        <v>127</v>
      </c>
      <c r="BT193">
        <v>12</v>
      </c>
      <c r="BU193" t="s">
        <v>72</v>
      </c>
      <c r="BV193" t="s">
        <v>32</v>
      </c>
    </row>
    <row r="194" spans="71:74" x14ac:dyDescent="0.25">
      <c r="BS194" t="s">
        <v>127</v>
      </c>
      <c r="BT194">
        <v>13</v>
      </c>
      <c r="BU194" t="s">
        <v>73</v>
      </c>
      <c r="BV194" t="s">
        <v>31</v>
      </c>
    </row>
    <row r="195" spans="71:74" x14ac:dyDescent="0.25">
      <c r="BS195" t="s">
        <v>127</v>
      </c>
      <c r="BT195">
        <v>14</v>
      </c>
      <c r="BU195" t="s">
        <v>74</v>
      </c>
      <c r="BV195" t="s">
        <v>83</v>
      </c>
    </row>
    <row r="196" spans="71:74" x14ac:dyDescent="0.25">
      <c r="BS196" t="s">
        <v>127</v>
      </c>
      <c r="BT196">
        <v>15</v>
      </c>
      <c r="BU196" t="s">
        <v>75</v>
      </c>
      <c r="BV196" t="s">
        <v>83</v>
      </c>
    </row>
    <row r="197" spans="71:74" x14ac:dyDescent="0.25">
      <c r="BS197" t="s">
        <v>127</v>
      </c>
      <c r="BT197">
        <v>16</v>
      </c>
      <c r="BU197" t="s">
        <v>76</v>
      </c>
      <c r="BV197" t="s">
        <v>6</v>
      </c>
    </row>
    <row r="198" spans="71:74" x14ac:dyDescent="0.25">
      <c r="BS198" t="s">
        <v>127</v>
      </c>
      <c r="BT198">
        <v>17</v>
      </c>
      <c r="BU198" t="s">
        <v>77</v>
      </c>
      <c r="BV198" t="s">
        <v>43</v>
      </c>
    </row>
    <row r="199" spans="71:74" x14ac:dyDescent="0.25">
      <c r="BS199" t="s">
        <v>127</v>
      </c>
      <c r="BT199">
        <v>18</v>
      </c>
      <c r="BU199" t="s">
        <v>78</v>
      </c>
      <c r="BV199" t="s">
        <v>5</v>
      </c>
    </row>
    <row r="200" spans="71:74" x14ac:dyDescent="0.25">
      <c r="BS200" t="s">
        <v>127</v>
      </c>
      <c r="BT200">
        <v>19</v>
      </c>
      <c r="BU200" t="s">
        <v>72</v>
      </c>
      <c r="BV200" t="s">
        <v>31</v>
      </c>
    </row>
    <row r="201" spans="71:74" x14ac:dyDescent="0.25">
      <c r="BS201" t="s">
        <v>127</v>
      </c>
      <c r="BT201">
        <v>20</v>
      </c>
      <c r="BU201" t="s">
        <v>73</v>
      </c>
      <c r="BV201" t="s">
        <v>17</v>
      </c>
    </row>
    <row r="202" spans="71:74" x14ac:dyDescent="0.25">
      <c r="BS202" t="s">
        <v>127</v>
      </c>
      <c r="BT202">
        <v>21</v>
      </c>
      <c r="BU202" t="s">
        <v>74</v>
      </c>
      <c r="BV202" t="s">
        <v>83</v>
      </c>
    </row>
    <row r="203" spans="71:74" x14ac:dyDescent="0.25">
      <c r="BS203" t="s">
        <v>127</v>
      </c>
      <c r="BT203">
        <v>22</v>
      </c>
      <c r="BU203" t="s">
        <v>75</v>
      </c>
      <c r="BV203" t="s">
        <v>83</v>
      </c>
    </row>
    <row r="204" spans="71:74" x14ac:dyDescent="0.25">
      <c r="BS204" t="s">
        <v>127</v>
      </c>
      <c r="BT204">
        <v>23</v>
      </c>
      <c r="BU204" t="s">
        <v>76</v>
      </c>
      <c r="BV204" t="s">
        <v>6</v>
      </c>
    </row>
    <row r="205" spans="71:74" x14ac:dyDescent="0.25">
      <c r="BS205" t="s">
        <v>127</v>
      </c>
      <c r="BT205">
        <v>24</v>
      </c>
      <c r="BU205" t="s">
        <v>77</v>
      </c>
      <c r="BV205" t="s">
        <v>17</v>
      </c>
    </row>
    <row r="206" spans="71:74" x14ac:dyDescent="0.25">
      <c r="BS206" t="s">
        <v>127</v>
      </c>
      <c r="BT206">
        <v>25</v>
      </c>
      <c r="BU206" t="s">
        <v>78</v>
      </c>
      <c r="BV206" t="s">
        <v>65</v>
      </c>
    </row>
    <row r="207" spans="71:74" x14ac:dyDescent="0.25">
      <c r="BS207" t="s">
        <v>127</v>
      </c>
      <c r="BT207">
        <v>26</v>
      </c>
      <c r="BU207" t="s">
        <v>72</v>
      </c>
      <c r="BV207" t="s">
        <v>31</v>
      </c>
    </row>
    <row r="208" spans="71:74" x14ac:dyDescent="0.25">
      <c r="BS208" t="s">
        <v>127</v>
      </c>
      <c r="BT208">
        <v>27</v>
      </c>
      <c r="BU208" t="s">
        <v>73</v>
      </c>
      <c r="BV208" t="s">
        <v>31</v>
      </c>
    </row>
    <row r="209" spans="71:74" x14ac:dyDescent="0.25">
      <c r="BS209" t="s">
        <v>127</v>
      </c>
      <c r="BT209">
        <v>28</v>
      </c>
      <c r="BU209" t="s">
        <v>74</v>
      </c>
      <c r="BV209" t="s">
        <v>83</v>
      </c>
    </row>
    <row r="210" spans="71:74" x14ac:dyDescent="0.25">
      <c r="BS210" t="s">
        <v>127</v>
      </c>
      <c r="BT210">
        <v>29</v>
      </c>
      <c r="BU210" t="s">
        <v>75</v>
      </c>
      <c r="BV210" t="s">
        <v>83</v>
      </c>
    </row>
    <row r="211" spans="71:74" x14ac:dyDescent="0.25">
      <c r="BS211" t="s">
        <v>127</v>
      </c>
      <c r="BT211">
        <v>30</v>
      </c>
      <c r="BU211" t="s">
        <v>76</v>
      </c>
      <c r="BV211" t="s">
        <v>31</v>
      </c>
    </row>
    <row r="212" spans="71:74" x14ac:dyDescent="0.25">
      <c r="BS212" t="s">
        <v>128</v>
      </c>
      <c r="BT212">
        <v>1</v>
      </c>
      <c r="BU212" t="s">
        <v>75</v>
      </c>
      <c r="BV212" t="s">
        <v>83</v>
      </c>
    </row>
    <row r="213" spans="71:74" x14ac:dyDescent="0.25">
      <c r="BS213" t="s">
        <v>128</v>
      </c>
      <c r="BT213">
        <v>2</v>
      </c>
      <c r="BU213" t="s">
        <v>76</v>
      </c>
      <c r="BV213" t="s">
        <v>31</v>
      </c>
    </row>
    <row r="214" spans="71:74" x14ac:dyDescent="0.25">
      <c r="BS214" t="s">
        <v>128</v>
      </c>
      <c r="BT214">
        <v>3</v>
      </c>
      <c r="BU214" t="s">
        <v>77</v>
      </c>
      <c r="BV214" t="s">
        <v>31</v>
      </c>
    </row>
    <row r="215" spans="71:74" x14ac:dyDescent="0.25">
      <c r="BS215" t="s">
        <v>128</v>
      </c>
      <c r="BT215">
        <v>4</v>
      </c>
      <c r="BU215" t="s">
        <v>78</v>
      </c>
      <c r="BV215" t="s">
        <v>31</v>
      </c>
    </row>
    <row r="216" spans="71:74" x14ac:dyDescent="0.25">
      <c r="BS216" t="s">
        <v>128</v>
      </c>
      <c r="BT216">
        <v>5</v>
      </c>
      <c r="BU216" t="s">
        <v>72</v>
      </c>
      <c r="BV216" t="s">
        <v>31</v>
      </c>
    </row>
    <row r="217" spans="71:74" x14ac:dyDescent="0.25">
      <c r="BS217" t="s">
        <v>128</v>
      </c>
      <c r="BT217">
        <v>6</v>
      </c>
      <c r="BU217" t="s">
        <v>73</v>
      </c>
      <c r="BV217" t="s">
        <v>60</v>
      </c>
    </row>
    <row r="218" spans="71:74" x14ac:dyDescent="0.25">
      <c r="BS218" t="s">
        <v>128</v>
      </c>
      <c r="BT218">
        <v>7</v>
      </c>
      <c r="BU218" t="s">
        <v>74</v>
      </c>
      <c r="BV218" t="s">
        <v>83</v>
      </c>
    </row>
    <row r="219" spans="71:74" x14ac:dyDescent="0.25">
      <c r="BS219" t="s">
        <v>128</v>
      </c>
      <c r="BT219">
        <v>8</v>
      </c>
      <c r="BU219" t="s">
        <v>75</v>
      </c>
      <c r="BV219" t="s">
        <v>83</v>
      </c>
    </row>
    <row r="220" spans="71:74" x14ac:dyDescent="0.25">
      <c r="BS220" t="s">
        <v>128</v>
      </c>
      <c r="BT220">
        <v>9</v>
      </c>
      <c r="BU220" t="s">
        <v>76</v>
      </c>
      <c r="BV220" t="s">
        <v>60</v>
      </c>
    </row>
    <row r="221" spans="71:74" x14ac:dyDescent="0.25">
      <c r="BS221" t="s">
        <v>128</v>
      </c>
      <c r="BT221">
        <v>10</v>
      </c>
      <c r="BU221" t="s">
        <v>77</v>
      </c>
      <c r="BV221" t="s">
        <v>60</v>
      </c>
    </row>
    <row r="222" spans="71:74" x14ac:dyDescent="0.25">
      <c r="BS222" t="s">
        <v>128</v>
      </c>
      <c r="BT222">
        <v>11</v>
      </c>
      <c r="BU222" t="s">
        <v>78</v>
      </c>
      <c r="BV222" t="s">
        <v>60</v>
      </c>
    </row>
    <row r="223" spans="71:74" x14ac:dyDescent="0.25">
      <c r="BS223" t="s">
        <v>128</v>
      </c>
      <c r="BT223">
        <v>12</v>
      </c>
      <c r="BU223" t="s">
        <v>72</v>
      </c>
      <c r="BV223" t="s">
        <v>31</v>
      </c>
    </row>
    <row r="224" spans="71:74" x14ac:dyDescent="0.25">
      <c r="BS224" t="s">
        <v>128</v>
      </c>
      <c r="BT224">
        <v>13</v>
      </c>
      <c r="BU224" t="s">
        <v>73</v>
      </c>
      <c r="BV224" t="s">
        <v>31</v>
      </c>
    </row>
    <row r="225" spans="71:74" x14ac:dyDescent="0.25">
      <c r="BS225" t="s">
        <v>128</v>
      </c>
      <c r="BT225">
        <v>14</v>
      </c>
      <c r="BU225" t="s">
        <v>74</v>
      </c>
      <c r="BV225" t="s">
        <v>83</v>
      </c>
    </row>
    <row r="226" spans="71:74" x14ac:dyDescent="0.25">
      <c r="BS226" t="s">
        <v>128</v>
      </c>
      <c r="BT226">
        <v>15</v>
      </c>
      <c r="BU226" t="s">
        <v>75</v>
      </c>
      <c r="BV226" t="s">
        <v>83</v>
      </c>
    </row>
    <row r="227" spans="71:74" x14ac:dyDescent="0.25">
      <c r="BS227" t="s">
        <v>128</v>
      </c>
      <c r="BT227">
        <v>16</v>
      </c>
      <c r="BU227" t="s">
        <v>76</v>
      </c>
      <c r="BV227" t="s">
        <v>58</v>
      </c>
    </row>
    <row r="228" spans="71:74" x14ac:dyDescent="0.25">
      <c r="BS228" t="s">
        <v>128</v>
      </c>
      <c r="BT228">
        <v>17</v>
      </c>
      <c r="BU228" t="s">
        <v>77</v>
      </c>
      <c r="BV228" t="s">
        <v>31</v>
      </c>
    </row>
    <row r="229" spans="71:74" x14ac:dyDescent="0.25">
      <c r="BS229" t="s">
        <v>128</v>
      </c>
      <c r="BT229">
        <v>18</v>
      </c>
      <c r="BU229" t="s">
        <v>78</v>
      </c>
      <c r="BV229" t="s">
        <v>58</v>
      </c>
    </row>
    <row r="230" spans="71:74" x14ac:dyDescent="0.25">
      <c r="BS230" t="s">
        <v>128</v>
      </c>
      <c r="BT230">
        <v>19</v>
      </c>
      <c r="BU230" t="s">
        <v>72</v>
      </c>
      <c r="BV230" t="s">
        <v>58</v>
      </c>
    </row>
    <row r="231" spans="71:74" x14ac:dyDescent="0.25">
      <c r="BS231" t="s">
        <v>128</v>
      </c>
      <c r="BT231">
        <v>20</v>
      </c>
      <c r="BU231" t="s">
        <v>73</v>
      </c>
      <c r="BV231" t="s">
        <v>58</v>
      </c>
    </row>
    <row r="232" spans="71:74" x14ac:dyDescent="0.25">
      <c r="BS232" t="s">
        <v>128</v>
      </c>
      <c r="BT232">
        <v>21</v>
      </c>
      <c r="BU232" t="s">
        <v>74</v>
      </c>
      <c r="BV232" t="s">
        <v>83</v>
      </c>
    </row>
    <row r="233" spans="71:74" x14ac:dyDescent="0.25">
      <c r="BS233" t="s">
        <v>128</v>
      </c>
      <c r="BT233">
        <v>22</v>
      </c>
      <c r="BU233" t="s">
        <v>75</v>
      </c>
      <c r="BV233" t="s">
        <v>83</v>
      </c>
    </row>
    <row r="234" spans="71:74" x14ac:dyDescent="0.25">
      <c r="BS234" t="s">
        <v>128</v>
      </c>
      <c r="BT234">
        <v>23</v>
      </c>
      <c r="BU234" t="s">
        <v>76</v>
      </c>
      <c r="BV234" t="s">
        <v>60</v>
      </c>
    </row>
    <row r="235" spans="71:74" x14ac:dyDescent="0.25">
      <c r="BS235" t="s">
        <v>128</v>
      </c>
      <c r="BT235">
        <v>24</v>
      </c>
      <c r="BU235" t="s">
        <v>77</v>
      </c>
      <c r="BV235" t="s">
        <v>60</v>
      </c>
    </row>
    <row r="236" spans="71:74" x14ac:dyDescent="0.25">
      <c r="BS236" t="s">
        <v>128</v>
      </c>
      <c r="BT236">
        <v>25</v>
      </c>
      <c r="BU236" t="s">
        <v>78</v>
      </c>
      <c r="BV236" t="s">
        <v>60</v>
      </c>
    </row>
    <row r="237" spans="71:74" x14ac:dyDescent="0.25">
      <c r="BS237" t="s">
        <v>128</v>
      </c>
      <c r="BT237">
        <v>26</v>
      </c>
      <c r="BU237" t="s">
        <v>72</v>
      </c>
      <c r="BV237" t="s">
        <v>60</v>
      </c>
    </row>
    <row r="238" spans="71:74" x14ac:dyDescent="0.25">
      <c r="BS238" t="s">
        <v>128</v>
      </c>
      <c r="BT238">
        <v>27</v>
      </c>
      <c r="BU238" t="s">
        <v>73</v>
      </c>
      <c r="BV238" t="s">
        <v>58</v>
      </c>
    </row>
    <row r="239" spans="71:74" x14ac:dyDescent="0.25">
      <c r="BS239" t="s">
        <v>128</v>
      </c>
      <c r="BT239">
        <v>28</v>
      </c>
      <c r="BU239" t="s">
        <v>74</v>
      </c>
      <c r="BV239" t="s">
        <v>83</v>
      </c>
    </row>
    <row r="240" spans="71:74" x14ac:dyDescent="0.25">
      <c r="BS240" t="s">
        <v>128</v>
      </c>
      <c r="BT240">
        <v>29</v>
      </c>
      <c r="BU240" t="s">
        <v>75</v>
      </c>
      <c r="BV240" t="s">
        <v>83</v>
      </c>
    </row>
    <row r="241" spans="71:74" x14ac:dyDescent="0.25">
      <c r="BS241" t="s">
        <v>128</v>
      </c>
      <c r="BT241">
        <v>30</v>
      </c>
      <c r="BU241" t="s">
        <v>76</v>
      </c>
      <c r="BV241" t="s">
        <v>43</v>
      </c>
    </row>
    <row r="242" spans="71:74" x14ac:dyDescent="0.25">
      <c r="BS242" t="s">
        <v>129</v>
      </c>
      <c r="BT242">
        <v>1</v>
      </c>
      <c r="BU242" t="s">
        <v>75</v>
      </c>
      <c r="BV242" t="s">
        <v>83</v>
      </c>
    </row>
    <row r="243" spans="71:74" x14ac:dyDescent="0.25">
      <c r="BS243" t="s">
        <v>129</v>
      </c>
      <c r="BT243">
        <v>2</v>
      </c>
      <c r="BU243" t="s">
        <v>76</v>
      </c>
      <c r="BV243" t="s">
        <v>83</v>
      </c>
    </row>
    <row r="244" spans="71:74" x14ac:dyDescent="0.25">
      <c r="BS244" t="s">
        <v>129</v>
      </c>
      <c r="BT244">
        <v>3</v>
      </c>
      <c r="BU244" t="s">
        <v>77</v>
      </c>
      <c r="BV244" t="s">
        <v>58</v>
      </c>
    </row>
    <row r="245" spans="71:74" x14ac:dyDescent="0.25">
      <c r="BS245" t="s">
        <v>129</v>
      </c>
      <c r="BT245">
        <v>4</v>
      </c>
      <c r="BU245" t="s">
        <v>78</v>
      </c>
      <c r="BV245" t="s">
        <v>364</v>
      </c>
    </row>
    <row r="246" spans="71:74" x14ac:dyDescent="0.25">
      <c r="BS246" t="s">
        <v>129</v>
      </c>
      <c r="BT246">
        <v>5</v>
      </c>
      <c r="BU246" t="s">
        <v>72</v>
      </c>
      <c r="BV246" t="s">
        <v>65</v>
      </c>
    </row>
    <row r="247" spans="71:74" x14ac:dyDescent="0.25">
      <c r="BS247" t="s">
        <v>129</v>
      </c>
      <c r="BT247">
        <v>6</v>
      </c>
      <c r="BU247" t="s">
        <v>73</v>
      </c>
      <c r="BV247" t="s">
        <v>58</v>
      </c>
    </row>
    <row r="248" spans="71:74" x14ac:dyDescent="0.25">
      <c r="BS248" t="s">
        <v>129</v>
      </c>
      <c r="BT248">
        <v>7</v>
      </c>
      <c r="BU248" t="s">
        <v>74</v>
      </c>
      <c r="BV248" t="s">
        <v>83</v>
      </c>
    </row>
    <row r="249" spans="71:74" x14ac:dyDescent="0.25">
      <c r="BS249" t="s">
        <v>129</v>
      </c>
      <c r="BT249">
        <v>8</v>
      </c>
      <c r="BU249" t="s">
        <v>75</v>
      </c>
      <c r="BV249" t="s">
        <v>371</v>
      </c>
    </row>
    <row r="250" spans="71:74" x14ac:dyDescent="0.25">
      <c r="BS250" t="s">
        <v>129</v>
      </c>
      <c r="BT250">
        <v>9</v>
      </c>
      <c r="BU250" t="s">
        <v>76</v>
      </c>
      <c r="BV250" t="s">
        <v>58</v>
      </c>
    </row>
    <row r="251" spans="71:74" x14ac:dyDescent="0.25">
      <c r="BS251" t="s">
        <v>129</v>
      </c>
      <c r="BT251">
        <v>10</v>
      </c>
      <c r="BU251" t="s">
        <v>77</v>
      </c>
      <c r="BV251" t="s">
        <v>31</v>
      </c>
    </row>
    <row r="252" spans="71:74" x14ac:dyDescent="0.25">
      <c r="BS252" t="s">
        <v>129</v>
      </c>
      <c r="BT252">
        <v>11</v>
      </c>
      <c r="BU252" t="s">
        <v>78</v>
      </c>
      <c r="BV252" t="s">
        <v>58</v>
      </c>
    </row>
    <row r="253" spans="71:74" x14ac:dyDescent="0.25">
      <c r="BS253" t="s">
        <v>129</v>
      </c>
      <c r="BT253">
        <v>12</v>
      </c>
      <c r="BU253" t="s">
        <v>72</v>
      </c>
      <c r="BV253" t="s">
        <v>60</v>
      </c>
    </row>
    <row r="254" spans="71:74" x14ac:dyDescent="0.25">
      <c r="BS254" t="s">
        <v>129</v>
      </c>
      <c r="BT254">
        <v>13</v>
      </c>
      <c r="BU254" t="s">
        <v>73</v>
      </c>
      <c r="BV254" t="s">
        <v>60</v>
      </c>
    </row>
    <row r="255" spans="71:74" x14ac:dyDescent="0.25">
      <c r="BS255" t="s">
        <v>129</v>
      </c>
      <c r="BT255">
        <v>14</v>
      </c>
      <c r="BU255" t="s">
        <v>74</v>
      </c>
      <c r="BV255" t="s">
        <v>83</v>
      </c>
    </row>
    <row r="256" spans="71:74" x14ac:dyDescent="0.25">
      <c r="BS256" t="s">
        <v>129</v>
      </c>
      <c r="BT256">
        <v>15</v>
      </c>
      <c r="BU256" t="s">
        <v>75</v>
      </c>
      <c r="BV256" t="s">
        <v>83</v>
      </c>
    </row>
    <row r="257" spans="71:74" x14ac:dyDescent="0.25">
      <c r="BS257" t="s">
        <v>129</v>
      </c>
      <c r="BT257">
        <v>16</v>
      </c>
      <c r="BU257" t="s">
        <v>76</v>
      </c>
      <c r="BV257" t="s">
        <v>60</v>
      </c>
    </row>
    <row r="258" spans="71:74" x14ac:dyDescent="0.25">
      <c r="BS258" t="s">
        <v>129</v>
      </c>
      <c r="BT258">
        <v>17</v>
      </c>
      <c r="BU258" t="s">
        <v>77</v>
      </c>
      <c r="BV258" t="s">
        <v>60</v>
      </c>
    </row>
    <row r="259" spans="71:74" x14ac:dyDescent="0.25">
      <c r="BS259" t="s">
        <v>129</v>
      </c>
      <c r="BT259">
        <v>18</v>
      </c>
      <c r="BU259" t="s">
        <v>78</v>
      </c>
      <c r="BV259" t="s">
        <v>53</v>
      </c>
    </row>
    <row r="260" spans="71:74" x14ac:dyDescent="0.25">
      <c r="BS260" t="s">
        <v>129</v>
      </c>
      <c r="BT260">
        <v>19</v>
      </c>
      <c r="BU260" t="s">
        <v>72</v>
      </c>
      <c r="BV260" t="s">
        <v>65</v>
      </c>
    </row>
    <row r="261" spans="71:74" x14ac:dyDescent="0.25">
      <c r="BS261" t="s">
        <v>129</v>
      </c>
      <c r="BT261">
        <v>20</v>
      </c>
      <c r="BU261" t="s">
        <v>73</v>
      </c>
      <c r="BV261" t="s">
        <v>32</v>
      </c>
    </row>
    <row r="262" spans="71:74" x14ac:dyDescent="0.25">
      <c r="BS262" t="s">
        <v>129</v>
      </c>
      <c r="BT262">
        <v>21</v>
      </c>
      <c r="BU262" t="s">
        <v>74</v>
      </c>
      <c r="BV262" t="s">
        <v>84</v>
      </c>
    </row>
    <row r="263" spans="71:74" x14ac:dyDescent="0.25">
      <c r="BS263" t="s">
        <v>129</v>
      </c>
      <c r="BT263">
        <v>22</v>
      </c>
      <c r="BU263" t="s">
        <v>75</v>
      </c>
      <c r="BV263" t="s">
        <v>84</v>
      </c>
    </row>
    <row r="264" spans="71:74" x14ac:dyDescent="0.25">
      <c r="BS264" t="s">
        <v>129</v>
      </c>
      <c r="BT264">
        <v>23</v>
      </c>
      <c r="BU264" t="s">
        <v>76</v>
      </c>
      <c r="BV264" t="s">
        <v>63</v>
      </c>
    </row>
    <row r="265" spans="71:74" x14ac:dyDescent="0.25">
      <c r="BS265" t="s">
        <v>129</v>
      </c>
      <c r="BT265">
        <v>24</v>
      </c>
      <c r="BU265" t="s">
        <v>77</v>
      </c>
      <c r="BV265" t="s">
        <v>63</v>
      </c>
    </row>
    <row r="266" spans="71:74" x14ac:dyDescent="0.25">
      <c r="BS266" t="s">
        <v>129</v>
      </c>
      <c r="BT266">
        <v>25</v>
      </c>
      <c r="BU266" t="s">
        <v>78</v>
      </c>
      <c r="BV266" t="s">
        <v>63</v>
      </c>
    </row>
    <row r="267" spans="71:74" x14ac:dyDescent="0.25">
      <c r="BS267" t="s">
        <v>129</v>
      </c>
      <c r="BT267">
        <v>26</v>
      </c>
      <c r="BU267" t="s">
        <v>72</v>
      </c>
      <c r="BV267" t="s">
        <v>63</v>
      </c>
    </row>
    <row r="268" spans="71:74" x14ac:dyDescent="0.25">
      <c r="BS268" t="s">
        <v>129</v>
      </c>
      <c r="BT268">
        <v>27</v>
      </c>
      <c r="BU268" t="s">
        <v>73</v>
      </c>
      <c r="BV268" t="s">
        <v>63</v>
      </c>
    </row>
    <row r="269" spans="71:74" x14ac:dyDescent="0.25">
      <c r="BS269" t="s">
        <v>129</v>
      </c>
      <c r="BT269">
        <v>28</v>
      </c>
      <c r="BU269" t="s">
        <v>74</v>
      </c>
      <c r="BV269" t="s">
        <v>84</v>
      </c>
    </row>
    <row r="270" spans="71:74" x14ac:dyDescent="0.25">
      <c r="BS270" t="s">
        <v>129</v>
      </c>
      <c r="BT270">
        <v>29</v>
      </c>
      <c r="BU270" t="s">
        <v>75</v>
      </c>
      <c r="BV270" t="s">
        <v>84</v>
      </c>
    </row>
    <row r="271" spans="71:74" x14ac:dyDescent="0.25">
      <c r="BS271" t="s">
        <v>129</v>
      </c>
      <c r="BT271">
        <v>30</v>
      </c>
      <c r="BU271" t="s">
        <v>76</v>
      </c>
      <c r="BV271" t="s">
        <v>364</v>
      </c>
    </row>
    <row r="272" spans="71:74" x14ac:dyDescent="0.25">
      <c r="BS272" t="s">
        <v>130</v>
      </c>
      <c r="BT272">
        <v>1</v>
      </c>
      <c r="BU272" t="s">
        <v>75</v>
      </c>
      <c r="BV272" t="s">
        <v>83</v>
      </c>
    </row>
    <row r="273" spans="71:74" x14ac:dyDescent="0.25">
      <c r="BS273" t="s">
        <v>130</v>
      </c>
      <c r="BT273">
        <v>2</v>
      </c>
      <c r="BU273" t="s">
        <v>76</v>
      </c>
      <c r="BV273" t="s">
        <v>31</v>
      </c>
    </row>
    <row r="274" spans="71:74" x14ac:dyDescent="0.25">
      <c r="BS274" t="s">
        <v>130</v>
      </c>
      <c r="BT274">
        <v>3</v>
      </c>
      <c r="BU274" t="s">
        <v>77</v>
      </c>
      <c r="BV274" t="s">
        <v>5</v>
      </c>
    </row>
    <row r="275" spans="71:74" x14ac:dyDescent="0.25">
      <c r="BS275" t="s">
        <v>130</v>
      </c>
      <c r="BT275">
        <v>4</v>
      </c>
      <c r="BU275" t="s">
        <v>78</v>
      </c>
      <c r="BV275" t="s">
        <v>17</v>
      </c>
    </row>
    <row r="276" spans="71:74" x14ac:dyDescent="0.25">
      <c r="BS276" t="s">
        <v>130</v>
      </c>
      <c r="BT276">
        <v>5</v>
      </c>
      <c r="BU276" t="s">
        <v>72</v>
      </c>
      <c r="BV276" t="s">
        <v>65</v>
      </c>
    </row>
    <row r="277" spans="71:74" x14ac:dyDescent="0.25">
      <c r="BS277" t="s">
        <v>130</v>
      </c>
      <c r="BT277">
        <v>6</v>
      </c>
      <c r="BU277" t="s">
        <v>73</v>
      </c>
      <c r="BV277" t="s">
        <v>31</v>
      </c>
    </row>
    <row r="278" spans="71:74" x14ac:dyDescent="0.25">
      <c r="BS278" t="s">
        <v>130</v>
      </c>
      <c r="BT278">
        <v>7</v>
      </c>
      <c r="BU278" t="s">
        <v>74</v>
      </c>
      <c r="BV278" t="s">
        <v>83</v>
      </c>
    </row>
    <row r="279" spans="71:74" x14ac:dyDescent="0.25">
      <c r="BS279" t="s">
        <v>130</v>
      </c>
      <c r="BT279">
        <v>8</v>
      </c>
      <c r="BU279" t="s">
        <v>75</v>
      </c>
      <c r="BV279" t="s">
        <v>83</v>
      </c>
    </row>
    <row r="280" spans="71:74" x14ac:dyDescent="0.25">
      <c r="BS280" t="s">
        <v>130</v>
      </c>
      <c r="BT280">
        <v>9</v>
      </c>
      <c r="BU280" t="s">
        <v>76</v>
      </c>
      <c r="BV280" t="s">
        <v>31</v>
      </c>
    </row>
    <row r="281" spans="71:74" x14ac:dyDescent="0.25">
      <c r="BS281" t="s">
        <v>130</v>
      </c>
      <c r="BT281">
        <v>10</v>
      </c>
      <c r="BU281" t="s">
        <v>77</v>
      </c>
      <c r="BV281" t="s">
        <v>5</v>
      </c>
    </row>
    <row r="282" spans="71:74" x14ac:dyDescent="0.25">
      <c r="BS282" t="s">
        <v>130</v>
      </c>
      <c r="BT282">
        <v>11</v>
      </c>
      <c r="BU282" t="s">
        <v>78</v>
      </c>
      <c r="BV282" t="s">
        <v>17</v>
      </c>
    </row>
    <row r="283" spans="71:74" x14ac:dyDescent="0.25">
      <c r="BS283" t="s">
        <v>130</v>
      </c>
      <c r="BT283">
        <v>12</v>
      </c>
      <c r="BU283" t="s">
        <v>72</v>
      </c>
      <c r="BV283" t="s">
        <v>65</v>
      </c>
    </row>
    <row r="284" spans="71:74" x14ac:dyDescent="0.25">
      <c r="BS284" t="s">
        <v>130</v>
      </c>
      <c r="BT284">
        <v>13</v>
      </c>
      <c r="BU284" t="s">
        <v>73</v>
      </c>
      <c r="BV284" t="s">
        <v>31</v>
      </c>
    </row>
    <row r="285" spans="71:74" x14ac:dyDescent="0.25">
      <c r="BS285" t="s">
        <v>130</v>
      </c>
      <c r="BT285">
        <v>14</v>
      </c>
      <c r="BU285" t="s">
        <v>74</v>
      </c>
      <c r="BV285" t="s">
        <v>83</v>
      </c>
    </row>
    <row r="286" spans="71:74" x14ac:dyDescent="0.25">
      <c r="BS286" t="s">
        <v>130</v>
      </c>
      <c r="BT286">
        <v>15</v>
      </c>
      <c r="BU286" t="s">
        <v>75</v>
      </c>
      <c r="BV286" t="s">
        <v>83</v>
      </c>
    </row>
    <row r="287" spans="71:74" x14ac:dyDescent="0.25">
      <c r="BS287" t="s">
        <v>130</v>
      </c>
      <c r="BT287">
        <v>16</v>
      </c>
      <c r="BU287" t="s">
        <v>76</v>
      </c>
      <c r="BV287" t="s">
        <v>31</v>
      </c>
    </row>
    <row r="288" spans="71:74" x14ac:dyDescent="0.25">
      <c r="BS288" t="s">
        <v>130</v>
      </c>
      <c r="BT288">
        <v>17</v>
      </c>
      <c r="BU288" t="s">
        <v>77</v>
      </c>
      <c r="BV288" t="s">
        <v>5</v>
      </c>
    </row>
    <row r="289" spans="71:74" x14ac:dyDescent="0.25">
      <c r="BS289" t="s">
        <v>130</v>
      </c>
      <c r="BT289">
        <v>18</v>
      </c>
      <c r="BU289" t="s">
        <v>78</v>
      </c>
      <c r="BV289" t="s">
        <v>83</v>
      </c>
    </row>
    <row r="290" spans="71:74" x14ac:dyDescent="0.25">
      <c r="BS290" t="s">
        <v>130</v>
      </c>
      <c r="BT290">
        <v>19</v>
      </c>
      <c r="BU290" t="s">
        <v>72</v>
      </c>
      <c r="BV290" t="s">
        <v>63</v>
      </c>
    </row>
    <row r="291" spans="71:74" x14ac:dyDescent="0.25">
      <c r="BS291" t="s">
        <v>130</v>
      </c>
      <c r="BT291">
        <v>20</v>
      </c>
      <c r="BU291" t="s">
        <v>73</v>
      </c>
      <c r="BV291" t="s">
        <v>63</v>
      </c>
    </row>
    <row r="292" spans="71:74" x14ac:dyDescent="0.25">
      <c r="BS292" t="s">
        <v>130</v>
      </c>
      <c r="BT292">
        <v>21</v>
      </c>
      <c r="BU292" t="s">
        <v>74</v>
      </c>
      <c r="BV292" t="s">
        <v>35</v>
      </c>
    </row>
    <row r="293" spans="71:74" x14ac:dyDescent="0.25">
      <c r="BS293" t="s">
        <v>130</v>
      </c>
      <c r="BT293">
        <v>22</v>
      </c>
      <c r="BU293" t="s">
        <v>75</v>
      </c>
      <c r="BV293" t="s">
        <v>38</v>
      </c>
    </row>
    <row r="294" spans="71:74" x14ac:dyDescent="0.25">
      <c r="BS294" t="s">
        <v>130</v>
      </c>
      <c r="BT294">
        <v>23</v>
      </c>
      <c r="BU294" t="s">
        <v>76</v>
      </c>
      <c r="BV294" t="s">
        <v>31</v>
      </c>
    </row>
    <row r="295" spans="71:74" x14ac:dyDescent="0.25">
      <c r="BS295" t="s">
        <v>130</v>
      </c>
      <c r="BT295">
        <v>24</v>
      </c>
      <c r="BU295" t="s">
        <v>77</v>
      </c>
      <c r="BV295" t="s">
        <v>5</v>
      </c>
    </row>
    <row r="296" spans="71:74" x14ac:dyDescent="0.25">
      <c r="BS296" t="s">
        <v>130</v>
      </c>
      <c r="BT296">
        <v>25</v>
      </c>
      <c r="BU296" t="s">
        <v>78</v>
      </c>
      <c r="BV296" t="s">
        <v>17</v>
      </c>
    </row>
    <row r="297" spans="71:74" x14ac:dyDescent="0.25">
      <c r="BS297" t="s">
        <v>130</v>
      </c>
      <c r="BT297">
        <v>26</v>
      </c>
      <c r="BU297" t="s">
        <v>72</v>
      </c>
      <c r="BV297" t="s">
        <v>65</v>
      </c>
    </row>
    <row r="298" spans="71:74" x14ac:dyDescent="0.25">
      <c r="BS298" t="s">
        <v>130</v>
      </c>
      <c r="BT298">
        <v>27</v>
      </c>
      <c r="BU298" t="s">
        <v>73</v>
      </c>
      <c r="BV298" t="s">
        <v>69</v>
      </c>
    </row>
    <row r="299" spans="71:74" x14ac:dyDescent="0.25">
      <c r="BS299" t="s">
        <v>130</v>
      </c>
      <c r="BT299">
        <v>28</v>
      </c>
      <c r="BU299" t="s">
        <v>74</v>
      </c>
      <c r="BV299" t="s">
        <v>69</v>
      </c>
    </row>
    <row r="300" spans="71:74" x14ac:dyDescent="0.25">
      <c r="BS300" t="s">
        <v>130</v>
      </c>
      <c r="BT300">
        <v>29</v>
      </c>
      <c r="BU300" t="s">
        <v>75</v>
      </c>
      <c r="BV300" t="s">
        <v>69</v>
      </c>
    </row>
    <row r="301" spans="71:74" x14ac:dyDescent="0.25">
      <c r="BS301" t="s">
        <v>130</v>
      </c>
      <c r="BT301">
        <v>30</v>
      </c>
      <c r="BU301" t="s">
        <v>76</v>
      </c>
      <c r="BV301" t="s">
        <v>31</v>
      </c>
    </row>
    <row r="302" spans="71:74" x14ac:dyDescent="0.25">
      <c r="BS302" t="s">
        <v>341</v>
      </c>
      <c r="BT302">
        <v>1</v>
      </c>
      <c r="BU302" t="s">
        <v>75</v>
      </c>
      <c r="BV302" t="s">
        <v>83</v>
      </c>
    </row>
    <row r="303" spans="71:74" x14ac:dyDescent="0.25">
      <c r="BS303" t="s">
        <v>341</v>
      </c>
      <c r="BT303">
        <v>2</v>
      </c>
      <c r="BU303" t="s">
        <v>76</v>
      </c>
      <c r="BV303" t="s">
        <v>31</v>
      </c>
    </row>
    <row r="304" spans="71:74" x14ac:dyDescent="0.25">
      <c r="BS304" t="s">
        <v>341</v>
      </c>
      <c r="BT304">
        <v>3</v>
      </c>
      <c r="BU304" t="s">
        <v>77</v>
      </c>
      <c r="BV304" t="s">
        <v>31</v>
      </c>
    </row>
    <row r="305" spans="71:74" x14ac:dyDescent="0.25">
      <c r="BS305" t="s">
        <v>341</v>
      </c>
      <c r="BT305">
        <v>4</v>
      </c>
      <c r="BU305" t="s">
        <v>78</v>
      </c>
      <c r="BV305" t="s">
        <v>31</v>
      </c>
    </row>
    <row r="306" spans="71:74" x14ac:dyDescent="0.25">
      <c r="BS306" t="s">
        <v>341</v>
      </c>
      <c r="BT306">
        <v>5</v>
      </c>
      <c r="BU306" t="s">
        <v>72</v>
      </c>
      <c r="BV306" t="s">
        <v>43</v>
      </c>
    </row>
    <row r="307" spans="71:74" x14ac:dyDescent="0.25">
      <c r="BS307" t="s">
        <v>341</v>
      </c>
      <c r="BT307">
        <v>6</v>
      </c>
      <c r="BU307" t="s">
        <v>73</v>
      </c>
      <c r="BV307" t="s">
        <v>31</v>
      </c>
    </row>
    <row r="308" spans="71:74" x14ac:dyDescent="0.25">
      <c r="BS308" t="s">
        <v>341</v>
      </c>
      <c r="BT308">
        <v>7</v>
      </c>
      <c r="BU308" t="s">
        <v>74</v>
      </c>
      <c r="BV308" t="s">
        <v>83</v>
      </c>
    </row>
    <row r="309" spans="71:74" x14ac:dyDescent="0.25">
      <c r="BS309" t="s">
        <v>341</v>
      </c>
      <c r="BT309">
        <v>8</v>
      </c>
      <c r="BU309" t="s">
        <v>75</v>
      </c>
      <c r="BV309" t="s">
        <v>83</v>
      </c>
    </row>
    <row r="310" spans="71:74" x14ac:dyDescent="0.25">
      <c r="BS310" t="s">
        <v>341</v>
      </c>
      <c r="BT310">
        <v>9</v>
      </c>
      <c r="BU310" t="s">
        <v>76</v>
      </c>
      <c r="BV310" t="s">
        <v>32</v>
      </c>
    </row>
    <row r="311" spans="71:74" x14ac:dyDescent="0.25">
      <c r="BS311" t="s">
        <v>341</v>
      </c>
      <c r="BT311">
        <v>10</v>
      </c>
      <c r="BU311" t="s">
        <v>77</v>
      </c>
      <c r="BV311" t="s">
        <v>32</v>
      </c>
    </row>
    <row r="312" spans="71:74" x14ac:dyDescent="0.25">
      <c r="BS312" t="s">
        <v>341</v>
      </c>
      <c r="BT312">
        <v>11</v>
      </c>
      <c r="BU312" t="s">
        <v>78</v>
      </c>
      <c r="BV312" t="s">
        <v>31</v>
      </c>
    </row>
    <row r="313" spans="71:74" x14ac:dyDescent="0.25">
      <c r="BS313" t="s">
        <v>341</v>
      </c>
      <c r="BT313">
        <v>12</v>
      </c>
      <c r="BU313" t="s">
        <v>72</v>
      </c>
      <c r="BV313" t="s">
        <v>31</v>
      </c>
    </row>
    <row r="314" spans="71:74" x14ac:dyDescent="0.25">
      <c r="BS314" t="s">
        <v>341</v>
      </c>
      <c r="BT314">
        <v>13</v>
      </c>
      <c r="BU314" t="s">
        <v>73</v>
      </c>
      <c r="BV314" t="s">
        <v>31</v>
      </c>
    </row>
    <row r="315" spans="71:74" x14ac:dyDescent="0.25">
      <c r="BS315" t="s">
        <v>341</v>
      </c>
      <c r="BT315">
        <v>14</v>
      </c>
      <c r="BU315" t="s">
        <v>74</v>
      </c>
      <c r="BV315" t="s">
        <v>83</v>
      </c>
    </row>
    <row r="316" spans="71:74" x14ac:dyDescent="0.25">
      <c r="BS316" t="s">
        <v>341</v>
      </c>
      <c r="BT316">
        <v>15</v>
      </c>
      <c r="BU316" t="s">
        <v>75</v>
      </c>
      <c r="BV316" t="s">
        <v>83</v>
      </c>
    </row>
    <row r="317" spans="71:74" x14ac:dyDescent="0.25">
      <c r="BS317" t="s">
        <v>341</v>
      </c>
      <c r="BT317">
        <v>16</v>
      </c>
      <c r="BU317" t="s">
        <v>76</v>
      </c>
      <c r="BV317" t="s">
        <v>31</v>
      </c>
    </row>
    <row r="318" spans="71:74" x14ac:dyDescent="0.25">
      <c r="BS318" t="s">
        <v>341</v>
      </c>
      <c r="BT318">
        <v>17</v>
      </c>
      <c r="BU318" t="s">
        <v>77</v>
      </c>
      <c r="BV318" t="s">
        <v>31</v>
      </c>
    </row>
    <row r="319" spans="71:74" x14ac:dyDescent="0.25">
      <c r="BS319" t="s">
        <v>341</v>
      </c>
      <c r="BT319">
        <v>18</v>
      </c>
      <c r="BU319" t="s">
        <v>78</v>
      </c>
      <c r="BV319" t="s">
        <v>31</v>
      </c>
    </row>
    <row r="320" spans="71:74" x14ac:dyDescent="0.25">
      <c r="BS320" t="s">
        <v>341</v>
      </c>
      <c r="BT320">
        <v>19</v>
      </c>
      <c r="BU320" t="s">
        <v>72</v>
      </c>
      <c r="BV320" t="s">
        <v>6</v>
      </c>
    </row>
    <row r="321" spans="71:74" x14ac:dyDescent="0.25">
      <c r="BS321" t="s">
        <v>341</v>
      </c>
      <c r="BT321">
        <v>20</v>
      </c>
      <c r="BU321" t="s">
        <v>73</v>
      </c>
      <c r="BV321" t="s">
        <v>6</v>
      </c>
    </row>
    <row r="322" spans="71:74" x14ac:dyDescent="0.25">
      <c r="BS322" t="s">
        <v>341</v>
      </c>
      <c r="BT322">
        <v>21</v>
      </c>
      <c r="BU322" t="s">
        <v>74</v>
      </c>
      <c r="BV322" t="s">
        <v>83</v>
      </c>
    </row>
    <row r="323" spans="71:74" x14ac:dyDescent="0.25">
      <c r="BS323" t="s">
        <v>341</v>
      </c>
      <c r="BT323">
        <v>22</v>
      </c>
      <c r="BU323" t="s">
        <v>75</v>
      </c>
      <c r="BV323" t="s">
        <v>83</v>
      </c>
    </row>
    <row r="324" spans="71:74" x14ac:dyDescent="0.25">
      <c r="BS324" t="s">
        <v>341</v>
      </c>
      <c r="BT324">
        <v>23</v>
      </c>
      <c r="BU324" t="s">
        <v>76</v>
      </c>
      <c r="BV324" t="s">
        <v>31</v>
      </c>
    </row>
    <row r="325" spans="71:74" x14ac:dyDescent="0.25">
      <c r="BS325" t="s">
        <v>341</v>
      </c>
      <c r="BT325">
        <v>24</v>
      </c>
      <c r="BU325" t="s">
        <v>77</v>
      </c>
      <c r="BV325" t="s">
        <v>6</v>
      </c>
    </row>
    <row r="326" spans="71:74" x14ac:dyDescent="0.25">
      <c r="BS326" t="s">
        <v>341</v>
      </c>
      <c r="BT326">
        <v>25</v>
      </c>
      <c r="BU326" t="s">
        <v>78</v>
      </c>
      <c r="BV326" t="s">
        <v>31</v>
      </c>
    </row>
    <row r="327" spans="71:74" x14ac:dyDescent="0.25">
      <c r="BS327" t="s">
        <v>341</v>
      </c>
      <c r="BT327">
        <v>26</v>
      </c>
      <c r="BU327" t="s">
        <v>72</v>
      </c>
      <c r="BV327" t="s">
        <v>31</v>
      </c>
    </row>
    <row r="328" spans="71:74" x14ac:dyDescent="0.25">
      <c r="BS328" t="s">
        <v>341</v>
      </c>
      <c r="BT328">
        <v>27</v>
      </c>
      <c r="BU328" t="s">
        <v>73</v>
      </c>
      <c r="BV328" t="s">
        <v>31</v>
      </c>
    </row>
    <row r="329" spans="71:74" x14ac:dyDescent="0.25">
      <c r="BS329" t="s">
        <v>341</v>
      </c>
      <c r="BT329">
        <v>28</v>
      </c>
      <c r="BU329" t="s">
        <v>74</v>
      </c>
      <c r="BV329" t="s">
        <v>83</v>
      </c>
    </row>
    <row r="330" spans="71:74" x14ac:dyDescent="0.25">
      <c r="BS330" t="s">
        <v>341</v>
      </c>
      <c r="BT330">
        <v>29</v>
      </c>
      <c r="BU330" t="s">
        <v>75</v>
      </c>
      <c r="BV330" t="s">
        <v>83</v>
      </c>
    </row>
    <row r="331" spans="71:74" x14ac:dyDescent="0.25">
      <c r="BS331" t="s">
        <v>341</v>
      </c>
      <c r="BT331">
        <v>30</v>
      </c>
      <c r="BU331" t="s">
        <v>76</v>
      </c>
      <c r="BV331" t="s">
        <v>31</v>
      </c>
    </row>
    <row r="332" spans="71:74" x14ac:dyDescent="0.25">
      <c r="BS332" t="s">
        <v>131</v>
      </c>
      <c r="BT332">
        <v>1</v>
      </c>
      <c r="BU332" t="s">
        <v>75</v>
      </c>
      <c r="BV332" t="s">
        <v>83</v>
      </c>
    </row>
    <row r="333" spans="71:74" x14ac:dyDescent="0.25">
      <c r="BS333" t="s">
        <v>131</v>
      </c>
      <c r="BT333">
        <v>2</v>
      </c>
      <c r="BU333" t="s">
        <v>76</v>
      </c>
      <c r="BV333" t="s">
        <v>31</v>
      </c>
    </row>
    <row r="334" spans="71:74" x14ac:dyDescent="0.25">
      <c r="BS334" t="s">
        <v>131</v>
      </c>
      <c r="BT334">
        <v>3</v>
      </c>
      <c r="BU334" t="s">
        <v>77</v>
      </c>
      <c r="BV334" t="s">
        <v>17</v>
      </c>
    </row>
    <row r="335" spans="71:74" x14ac:dyDescent="0.25">
      <c r="BS335" t="s">
        <v>131</v>
      </c>
      <c r="BT335">
        <v>4</v>
      </c>
      <c r="BU335" t="s">
        <v>78</v>
      </c>
      <c r="BV335" t="s">
        <v>65</v>
      </c>
    </row>
    <row r="336" spans="71:74" x14ac:dyDescent="0.25">
      <c r="BS336" t="s">
        <v>131</v>
      </c>
      <c r="BT336">
        <v>5</v>
      </c>
      <c r="BU336" t="s">
        <v>72</v>
      </c>
      <c r="BV336" t="s">
        <v>31</v>
      </c>
    </row>
    <row r="337" spans="71:74" x14ac:dyDescent="0.25">
      <c r="BS337" t="s">
        <v>131</v>
      </c>
      <c r="BT337">
        <v>6</v>
      </c>
      <c r="BU337" t="s">
        <v>73</v>
      </c>
      <c r="BV337" t="s">
        <v>31</v>
      </c>
    </row>
    <row r="338" spans="71:74" x14ac:dyDescent="0.25">
      <c r="BS338" t="s">
        <v>131</v>
      </c>
      <c r="BT338">
        <v>7</v>
      </c>
      <c r="BU338" t="s">
        <v>74</v>
      </c>
      <c r="BV338" t="s">
        <v>83</v>
      </c>
    </row>
    <row r="339" spans="71:74" x14ac:dyDescent="0.25">
      <c r="BS339" t="s">
        <v>131</v>
      </c>
      <c r="BT339">
        <v>8</v>
      </c>
      <c r="BU339" t="s">
        <v>75</v>
      </c>
      <c r="BV339" t="s">
        <v>83</v>
      </c>
    </row>
    <row r="340" spans="71:74" x14ac:dyDescent="0.25">
      <c r="BS340" t="s">
        <v>131</v>
      </c>
      <c r="BT340">
        <v>9</v>
      </c>
      <c r="BU340" t="s">
        <v>76</v>
      </c>
      <c r="BV340" t="s">
        <v>31</v>
      </c>
    </row>
    <row r="341" spans="71:74" x14ac:dyDescent="0.25">
      <c r="BS341" t="s">
        <v>131</v>
      </c>
      <c r="BT341">
        <v>10</v>
      </c>
      <c r="BU341" t="s">
        <v>77</v>
      </c>
      <c r="BV341" t="s">
        <v>31</v>
      </c>
    </row>
    <row r="342" spans="71:74" x14ac:dyDescent="0.25">
      <c r="BS342" t="s">
        <v>131</v>
      </c>
      <c r="BT342">
        <v>11</v>
      </c>
      <c r="BU342" t="s">
        <v>78</v>
      </c>
      <c r="BV342" t="s">
        <v>31</v>
      </c>
    </row>
    <row r="343" spans="71:74" x14ac:dyDescent="0.25">
      <c r="BS343" t="s">
        <v>131</v>
      </c>
      <c r="BT343">
        <v>12</v>
      </c>
      <c r="BU343" t="s">
        <v>72</v>
      </c>
      <c r="BV343" t="s">
        <v>31</v>
      </c>
    </row>
    <row r="344" spans="71:74" x14ac:dyDescent="0.25">
      <c r="BS344" t="s">
        <v>131</v>
      </c>
      <c r="BT344">
        <v>13</v>
      </c>
      <c r="BU344" t="s">
        <v>73</v>
      </c>
      <c r="BV344" t="s">
        <v>53</v>
      </c>
    </row>
    <row r="345" spans="71:74" x14ac:dyDescent="0.25">
      <c r="BS345" t="s">
        <v>131</v>
      </c>
      <c r="BT345">
        <v>14</v>
      </c>
      <c r="BU345" t="s">
        <v>74</v>
      </c>
      <c r="BV345" t="s">
        <v>83</v>
      </c>
    </row>
    <row r="346" spans="71:74" x14ac:dyDescent="0.25">
      <c r="BS346" t="s">
        <v>131</v>
      </c>
      <c r="BT346">
        <v>15</v>
      </c>
      <c r="BU346" t="s">
        <v>75</v>
      </c>
      <c r="BV346" t="s">
        <v>38</v>
      </c>
    </row>
    <row r="347" spans="71:74" x14ac:dyDescent="0.25">
      <c r="BS347" t="s">
        <v>131</v>
      </c>
      <c r="BT347">
        <v>16</v>
      </c>
      <c r="BU347" t="s">
        <v>76</v>
      </c>
      <c r="BV347" t="s">
        <v>31</v>
      </c>
    </row>
    <row r="348" spans="71:74" x14ac:dyDescent="0.25">
      <c r="BS348" t="s">
        <v>131</v>
      </c>
      <c r="BT348">
        <v>17</v>
      </c>
      <c r="BU348" t="s">
        <v>77</v>
      </c>
      <c r="BV348" t="s">
        <v>31</v>
      </c>
    </row>
    <row r="349" spans="71:74" x14ac:dyDescent="0.25">
      <c r="BS349" t="s">
        <v>131</v>
      </c>
      <c r="BT349">
        <v>18</v>
      </c>
      <c r="BU349" t="s">
        <v>78</v>
      </c>
      <c r="BV349" t="s">
        <v>31</v>
      </c>
    </row>
    <row r="350" spans="71:74" x14ac:dyDescent="0.25">
      <c r="BS350" t="s">
        <v>131</v>
      </c>
      <c r="BT350">
        <v>19</v>
      </c>
      <c r="BU350" t="s">
        <v>72</v>
      </c>
      <c r="BV350" t="s">
        <v>17</v>
      </c>
    </row>
    <row r="351" spans="71:74" x14ac:dyDescent="0.25">
      <c r="BS351" t="s">
        <v>131</v>
      </c>
      <c r="BT351">
        <v>20</v>
      </c>
      <c r="BU351" t="s">
        <v>73</v>
      </c>
      <c r="BV351" t="s">
        <v>65</v>
      </c>
    </row>
    <row r="352" spans="71:74" x14ac:dyDescent="0.25">
      <c r="BS352" t="s">
        <v>131</v>
      </c>
      <c r="BT352">
        <v>21</v>
      </c>
      <c r="BU352" t="s">
        <v>74</v>
      </c>
      <c r="BV352" t="s">
        <v>83</v>
      </c>
    </row>
    <row r="353" spans="71:74" x14ac:dyDescent="0.25">
      <c r="BS353" t="s">
        <v>131</v>
      </c>
      <c r="BT353">
        <v>22</v>
      </c>
      <c r="BU353" t="s">
        <v>75</v>
      </c>
      <c r="BV353" t="s">
        <v>83</v>
      </c>
    </row>
    <row r="354" spans="71:74" x14ac:dyDescent="0.25">
      <c r="BS354" t="s">
        <v>131</v>
      </c>
      <c r="BT354">
        <v>23</v>
      </c>
      <c r="BU354" t="s">
        <v>76</v>
      </c>
      <c r="BV354" t="s">
        <v>365</v>
      </c>
    </row>
    <row r="355" spans="71:74" x14ac:dyDescent="0.25">
      <c r="BS355" t="s">
        <v>131</v>
      </c>
      <c r="BT355">
        <v>24</v>
      </c>
      <c r="BU355" t="s">
        <v>77</v>
      </c>
      <c r="BV355" t="s">
        <v>31</v>
      </c>
    </row>
    <row r="356" spans="71:74" x14ac:dyDescent="0.25">
      <c r="BS356" t="s">
        <v>131</v>
      </c>
      <c r="BT356">
        <v>25</v>
      </c>
      <c r="BU356" t="s">
        <v>78</v>
      </c>
      <c r="BV356" t="s">
        <v>31</v>
      </c>
    </row>
    <row r="357" spans="71:74" x14ac:dyDescent="0.25">
      <c r="BS357" t="s">
        <v>131</v>
      </c>
      <c r="BT357">
        <v>26</v>
      </c>
      <c r="BU357" t="s">
        <v>72</v>
      </c>
      <c r="BV357" t="s">
        <v>31</v>
      </c>
    </row>
    <row r="358" spans="71:74" x14ac:dyDescent="0.25">
      <c r="BS358" t="s">
        <v>131</v>
      </c>
      <c r="BT358">
        <v>27</v>
      </c>
      <c r="BU358" t="s">
        <v>73</v>
      </c>
      <c r="BV358" t="s">
        <v>17</v>
      </c>
    </row>
    <row r="359" spans="71:74" x14ac:dyDescent="0.25">
      <c r="BS359" t="s">
        <v>131</v>
      </c>
      <c r="BT359">
        <v>28</v>
      </c>
      <c r="BU359" t="s">
        <v>74</v>
      </c>
      <c r="BV359" t="s">
        <v>83</v>
      </c>
    </row>
    <row r="360" spans="71:74" x14ac:dyDescent="0.25">
      <c r="BS360" t="s">
        <v>131</v>
      </c>
      <c r="BT360">
        <v>29</v>
      </c>
      <c r="BU360" t="s">
        <v>75</v>
      </c>
      <c r="BV360" t="s">
        <v>38</v>
      </c>
    </row>
    <row r="361" spans="71:74" x14ac:dyDescent="0.25">
      <c r="BS361" t="s">
        <v>131</v>
      </c>
      <c r="BT361">
        <v>30</v>
      </c>
      <c r="BU361" t="s">
        <v>76</v>
      </c>
      <c r="BV361" t="s">
        <v>6</v>
      </c>
    </row>
    <row r="362" spans="71:74" x14ac:dyDescent="0.25">
      <c r="BS362" t="s">
        <v>132</v>
      </c>
      <c r="BT362">
        <v>1</v>
      </c>
      <c r="BU362" t="s">
        <v>75</v>
      </c>
      <c r="BV362" t="s">
        <v>83</v>
      </c>
    </row>
    <row r="363" spans="71:74" x14ac:dyDescent="0.25">
      <c r="BS363" t="s">
        <v>132</v>
      </c>
      <c r="BT363">
        <v>2</v>
      </c>
      <c r="BU363" t="s">
        <v>76</v>
      </c>
      <c r="BV363" t="s">
        <v>31</v>
      </c>
    </row>
    <row r="364" spans="71:74" x14ac:dyDescent="0.25">
      <c r="BS364" t="s">
        <v>132</v>
      </c>
      <c r="BT364">
        <v>3</v>
      </c>
      <c r="BU364" t="s">
        <v>77</v>
      </c>
      <c r="BV364" t="s">
        <v>365</v>
      </c>
    </row>
    <row r="365" spans="71:74" x14ac:dyDescent="0.25">
      <c r="BS365" t="s">
        <v>132</v>
      </c>
      <c r="BT365">
        <v>4</v>
      </c>
      <c r="BU365" t="s">
        <v>78</v>
      </c>
      <c r="BV365" t="s">
        <v>26</v>
      </c>
    </row>
    <row r="366" spans="71:74" x14ac:dyDescent="0.25">
      <c r="BS366" t="s">
        <v>132</v>
      </c>
      <c r="BT366">
        <v>5</v>
      </c>
      <c r="BU366" t="s">
        <v>72</v>
      </c>
      <c r="BV366" t="s">
        <v>26</v>
      </c>
    </row>
    <row r="367" spans="71:74" x14ac:dyDescent="0.25">
      <c r="BS367" t="s">
        <v>132</v>
      </c>
      <c r="BT367">
        <v>6</v>
      </c>
      <c r="BU367" t="s">
        <v>73</v>
      </c>
      <c r="BV367" t="s">
        <v>31</v>
      </c>
    </row>
    <row r="368" spans="71:74" x14ac:dyDescent="0.25">
      <c r="BS368" t="s">
        <v>132</v>
      </c>
      <c r="BT368">
        <v>7</v>
      </c>
      <c r="BU368" t="s">
        <v>74</v>
      </c>
      <c r="BV368" t="s">
        <v>83</v>
      </c>
    </row>
    <row r="369" spans="71:74" x14ac:dyDescent="0.25">
      <c r="BS369" t="s">
        <v>132</v>
      </c>
      <c r="BT369">
        <v>8</v>
      </c>
      <c r="BU369" t="s">
        <v>75</v>
      </c>
      <c r="BV369" t="s">
        <v>83</v>
      </c>
    </row>
    <row r="370" spans="71:74" x14ac:dyDescent="0.25">
      <c r="BS370" t="s">
        <v>132</v>
      </c>
      <c r="BT370">
        <v>9</v>
      </c>
      <c r="BU370" t="s">
        <v>76</v>
      </c>
      <c r="BV370" t="s">
        <v>31</v>
      </c>
    </row>
    <row r="371" spans="71:74" x14ac:dyDescent="0.25">
      <c r="BS371" t="s">
        <v>132</v>
      </c>
      <c r="BT371">
        <v>10</v>
      </c>
      <c r="BU371" t="s">
        <v>77</v>
      </c>
      <c r="BV371" t="s">
        <v>43</v>
      </c>
    </row>
    <row r="372" spans="71:74" x14ac:dyDescent="0.25">
      <c r="BS372" t="s">
        <v>132</v>
      </c>
      <c r="BT372">
        <v>11</v>
      </c>
      <c r="BU372" t="s">
        <v>78</v>
      </c>
      <c r="BV372" t="s">
        <v>26</v>
      </c>
    </row>
    <row r="373" spans="71:74" x14ac:dyDescent="0.25">
      <c r="BS373" t="s">
        <v>132</v>
      </c>
      <c r="BT373">
        <v>12</v>
      </c>
      <c r="BU373" t="s">
        <v>72</v>
      </c>
      <c r="BV373" t="s">
        <v>26</v>
      </c>
    </row>
    <row r="374" spans="71:74" x14ac:dyDescent="0.25">
      <c r="BS374" t="s">
        <v>132</v>
      </c>
      <c r="BT374">
        <v>13</v>
      </c>
      <c r="BU374" t="s">
        <v>73</v>
      </c>
      <c r="BV374" t="s">
        <v>32</v>
      </c>
    </row>
    <row r="375" spans="71:74" x14ac:dyDescent="0.25">
      <c r="BS375" t="s">
        <v>132</v>
      </c>
      <c r="BT375">
        <v>14</v>
      </c>
      <c r="BU375" t="s">
        <v>74</v>
      </c>
      <c r="BV375" t="s">
        <v>83</v>
      </c>
    </row>
    <row r="376" spans="71:74" x14ac:dyDescent="0.25">
      <c r="BS376" t="s">
        <v>132</v>
      </c>
      <c r="BT376">
        <v>15</v>
      </c>
      <c r="BU376" t="s">
        <v>75</v>
      </c>
      <c r="BV376" t="s">
        <v>372</v>
      </c>
    </row>
    <row r="377" spans="71:74" x14ac:dyDescent="0.25">
      <c r="BS377" t="s">
        <v>132</v>
      </c>
      <c r="BT377">
        <v>16</v>
      </c>
      <c r="BU377" t="s">
        <v>76</v>
      </c>
      <c r="BV377" t="s">
        <v>65</v>
      </c>
    </row>
    <row r="378" spans="71:74" x14ac:dyDescent="0.25">
      <c r="BS378" t="s">
        <v>132</v>
      </c>
      <c r="BT378">
        <v>17</v>
      </c>
      <c r="BU378" t="s">
        <v>77</v>
      </c>
      <c r="BV378" t="s">
        <v>26</v>
      </c>
    </row>
    <row r="379" spans="71:74" x14ac:dyDescent="0.25">
      <c r="BS379" t="s">
        <v>132</v>
      </c>
      <c r="BT379">
        <v>18</v>
      </c>
      <c r="BU379" t="s">
        <v>78</v>
      </c>
      <c r="BV379" t="s">
        <v>31</v>
      </c>
    </row>
    <row r="380" spans="71:74" x14ac:dyDescent="0.25">
      <c r="BS380" t="s">
        <v>132</v>
      </c>
      <c r="BT380">
        <v>19</v>
      </c>
      <c r="BU380" t="s">
        <v>72</v>
      </c>
      <c r="BV380" t="s">
        <v>53</v>
      </c>
    </row>
    <row r="381" spans="71:74" x14ac:dyDescent="0.25">
      <c r="BS381" t="s">
        <v>132</v>
      </c>
      <c r="BT381">
        <v>20</v>
      </c>
      <c r="BU381" t="s">
        <v>73</v>
      </c>
      <c r="BV381" t="s">
        <v>65</v>
      </c>
    </row>
    <row r="382" spans="71:74" x14ac:dyDescent="0.25">
      <c r="BS382" t="s">
        <v>132</v>
      </c>
      <c r="BT382">
        <v>21</v>
      </c>
      <c r="BU382" t="s">
        <v>74</v>
      </c>
      <c r="BV382" t="s">
        <v>83</v>
      </c>
    </row>
    <row r="383" spans="71:74" x14ac:dyDescent="0.25">
      <c r="BS383" t="s">
        <v>132</v>
      </c>
      <c r="BT383">
        <v>22</v>
      </c>
      <c r="BU383" t="s">
        <v>75</v>
      </c>
      <c r="BV383" t="s">
        <v>83</v>
      </c>
    </row>
    <row r="384" spans="71:74" x14ac:dyDescent="0.25">
      <c r="BS384" t="s">
        <v>132</v>
      </c>
      <c r="BT384">
        <v>23</v>
      </c>
      <c r="BU384" t="s">
        <v>76</v>
      </c>
      <c r="BV384" t="s">
        <v>31</v>
      </c>
    </row>
    <row r="385" spans="71:74" x14ac:dyDescent="0.25">
      <c r="BS385" t="s">
        <v>132</v>
      </c>
      <c r="BT385">
        <v>24</v>
      </c>
      <c r="BU385" t="s">
        <v>77</v>
      </c>
      <c r="BV385" t="s">
        <v>365</v>
      </c>
    </row>
    <row r="386" spans="71:74" x14ac:dyDescent="0.25">
      <c r="BS386" t="s">
        <v>132</v>
      </c>
      <c r="BT386">
        <v>25</v>
      </c>
      <c r="BU386" t="s">
        <v>78</v>
      </c>
      <c r="BV386" t="s">
        <v>31</v>
      </c>
    </row>
    <row r="387" spans="71:74" x14ac:dyDescent="0.25">
      <c r="BS387" t="s">
        <v>132</v>
      </c>
      <c r="BT387">
        <v>26</v>
      </c>
      <c r="BU387" t="s">
        <v>72</v>
      </c>
      <c r="BV387" t="s">
        <v>26</v>
      </c>
    </row>
    <row r="388" spans="71:74" x14ac:dyDescent="0.25">
      <c r="BS388" t="s">
        <v>132</v>
      </c>
      <c r="BT388">
        <v>27</v>
      </c>
      <c r="BU388" t="s">
        <v>73</v>
      </c>
      <c r="BV388" t="s">
        <v>31</v>
      </c>
    </row>
    <row r="389" spans="71:74" x14ac:dyDescent="0.25">
      <c r="BS389" t="s">
        <v>132</v>
      </c>
      <c r="BT389">
        <v>28</v>
      </c>
      <c r="BU389" t="s">
        <v>74</v>
      </c>
      <c r="BV389" t="s">
        <v>53</v>
      </c>
    </row>
    <row r="390" spans="71:74" x14ac:dyDescent="0.25">
      <c r="BS390" t="s">
        <v>132</v>
      </c>
      <c r="BT390">
        <v>29</v>
      </c>
      <c r="BU390" t="s">
        <v>75</v>
      </c>
      <c r="BV390" t="s">
        <v>83</v>
      </c>
    </row>
    <row r="391" spans="71:74" x14ac:dyDescent="0.25">
      <c r="BS391" t="s">
        <v>132</v>
      </c>
      <c r="BT391">
        <v>30</v>
      </c>
      <c r="BU391" t="s">
        <v>76</v>
      </c>
      <c r="BV391" t="s">
        <v>83</v>
      </c>
    </row>
    <row r="392" spans="71:74" x14ac:dyDescent="0.25">
      <c r="BS392" t="s">
        <v>133</v>
      </c>
      <c r="BT392">
        <v>1</v>
      </c>
      <c r="BU392" t="s">
        <v>75</v>
      </c>
      <c r="BV392" t="s">
        <v>83</v>
      </c>
    </row>
    <row r="393" spans="71:74" x14ac:dyDescent="0.25">
      <c r="BS393" t="s">
        <v>133</v>
      </c>
      <c r="BT393">
        <v>2</v>
      </c>
      <c r="BU393" t="s">
        <v>76</v>
      </c>
      <c r="BV393" t="s">
        <v>31</v>
      </c>
    </row>
    <row r="394" spans="71:74" x14ac:dyDescent="0.25">
      <c r="BS394" t="s">
        <v>133</v>
      </c>
      <c r="BT394">
        <v>3</v>
      </c>
      <c r="BU394" t="s">
        <v>77</v>
      </c>
      <c r="BV394" t="s">
        <v>31</v>
      </c>
    </row>
    <row r="395" spans="71:74" x14ac:dyDescent="0.25">
      <c r="BS395" t="s">
        <v>133</v>
      </c>
      <c r="BT395">
        <v>4</v>
      </c>
      <c r="BU395" t="s">
        <v>78</v>
      </c>
      <c r="BV395" t="s">
        <v>31</v>
      </c>
    </row>
    <row r="396" spans="71:74" x14ac:dyDescent="0.25">
      <c r="BS396" t="s">
        <v>133</v>
      </c>
      <c r="BT396">
        <v>5</v>
      </c>
      <c r="BU396" t="s">
        <v>72</v>
      </c>
      <c r="BV396" t="s">
        <v>31</v>
      </c>
    </row>
    <row r="397" spans="71:74" x14ac:dyDescent="0.25">
      <c r="BS397" t="s">
        <v>133</v>
      </c>
      <c r="BT397">
        <v>6</v>
      </c>
      <c r="BU397" t="s">
        <v>73</v>
      </c>
      <c r="BV397" t="s">
        <v>17</v>
      </c>
    </row>
    <row r="398" spans="71:74" x14ac:dyDescent="0.25">
      <c r="BS398" t="s">
        <v>133</v>
      </c>
      <c r="BT398">
        <v>7</v>
      </c>
      <c r="BU398" t="s">
        <v>74</v>
      </c>
      <c r="BV398" t="s">
        <v>83</v>
      </c>
    </row>
    <row r="399" spans="71:74" x14ac:dyDescent="0.25">
      <c r="BS399" t="s">
        <v>133</v>
      </c>
      <c r="BT399">
        <v>8</v>
      </c>
      <c r="BU399" t="s">
        <v>75</v>
      </c>
      <c r="BV399" t="s">
        <v>83</v>
      </c>
    </row>
    <row r="400" spans="71:74" x14ac:dyDescent="0.25">
      <c r="BS400" t="s">
        <v>133</v>
      </c>
      <c r="BT400">
        <v>9</v>
      </c>
      <c r="BU400" t="s">
        <v>76</v>
      </c>
      <c r="BV400" t="s">
        <v>31</v>
      </c>
    </row>
    <row r="401" spans="71:74" x14ac:dyDescent="0.25">
      <c r="BS401" t="s">
        <v>133</v>
      </c>
      <c r="BT401">
        <v>10</v>
      </c>
      <c r="BU401" t="s">
        <v>77</v>
      </c>
      <c r="BV401" t="s">
        <v>17</v>
      </c>
    </row>
    <row r="402" spans="71:74" x14ac:dyDescent="0.25">
      <c r="BS402" t="s">
        <v>133</v>
      </c>
      <c r="BT402">
        <v>11</v>
      </c>
      <c r="BU402" t="s">
        <v>78</v>
      </c>
      <c r="BV402" t="s">
        <v>65</v>
      </c>
    </row>
    <row r="403" spans="71:74" x14ac:dyDescent="0.25">
      <c r="BS403" t="s">
        <v>133</v>
      </c>
      <c r="BT403">
        <v>12</v>
      </c>
      <c r="BU403" t="s">
        <v>72</v>
      </c>
      <c r="BV403" t="s">
        <v>6</v>
      </c>
    </row>
    <row r="404" spans="71:74" x14ac:dyDescent="0.25">
      <c r="BS404" t="s">
        <v>133</v>
      </c>
      <c r="BT404">
        <v>13</v>
      </c>
      <c r="BU404" t="s">
        <v>73</v>
      </c>
      <c r="BV404" t="s">
        <v>31</v>
      </c>
    </row>
    <row r="405" spans="71:74" x14ac:dyDescent="0.25">
      <c r="BS405" t="s">
        <v>133</v>
      </c>
      <c r="BT405">
        <v>14</v>
      </c>
      <c r="BU405" t="s">
        <v>74</v>
      </c>
      <c r="BV405" t="s">
        <v>83</v>
      </c>
    </row>
    <row r="406" spans="71:74" x14ac:dyDescent="0.25">
      <c r="BS406" t="s">
        <v>133</v>
      </c>
      <c r="BT406">
        <v>15</v>
      </c>
      <c r="BU406" t="s">
        <v>75</v>
      </c>
      <c r="BV406" t="s">
        <v>83</v>
      </c>
    </row>
    <row r="407" spans="71:74" x14ac:dyDescent="0.25">
      <c r="BS407" t="s">
        <v>133</v>
      </c>
      <c r="BT407">
        <v>16</v>
      </c>
      <c r="BU407" t="s">
        <v>76</v>
      </c>
      <c r="BV407" t="s">
        <v>43</v>
      </c>
    </row>
    <row r="408" spans="71:74" x14ac:dyDescent="0.25">
      <c r="BS408" t="s">
        <v>133</v>
      </c>
      <c r="BT408">
        <v>17</v>
      </c>
      <c r="BU408" t="s">
        <v>77</v>
      </c>
      <c r="BV408" t="s">
        <v>31</v>
      </c>
    </row>
    <row r="409" spans="71:74" x14ac:dyDescent="0.25">
      <c r="BS409" t="s">
        <v>133</v>
      </c>
      <c r="BT409">
        <v>18</v>
      </c>
      <c r="BU409" t="s">
        <v>78</v>
      </c>
      <c r="BV409" t="s">
        <v>43</v>
      </c>
    </row>
    <row r="410" spans="71:74" x14ac:dyDescent="0.25">
      <c r="BS410" t="s">
        <v>133</v>
      </c>
      <c r="BT410">
        <v>19</v>
      </c>
      <c r="BU410" t="s">
        <v>72</v>
      </c>
      <c r="BV410" t="s">
        <v>31</v>
      </c>
    </row>
    <row r="411" spans="71:74" x14ac:dyDescent="0.25">
      <c r="BS411" t="s">
        <v>133</v>
      </c>
      <c r="BT411">
        <v>20</v>
      </c>
      <c r="BU411" t="s">
        <v>73</v>
      </c>
      <c r="BV411" t="s">
        <v>80</v>
      </c>
    </row>
    <row r="412" spans="71:74" x14ac:dyDescent="0.25">
      <c r="BS412" t="s">
        <v>133</v>
      </c>
      <c r="BT412">
        <v>21</v>
      </c>
      <c r="BU412" t="s">
        <v>74</v>
      </c>
      <c r="BV412" t="s">
        <v>83</v>
      </c>
    </row>
    <row r="413" spans="71:74" x14ac:dyDescent="0.25">
      <c r="BS413" t="s">
        <v>133</v>
      </c>
      <c r="BT413">
        <v>22</v>
      </c>
      <c r="BU413" t="s">
        <v>75</v>
      </c>
      <c r="BV413" t="s">
        <v>372</v>
      </c>
    </row>
    <row r="414" spans="71:74" x14ac:dyDescent="0.25">
      <c r="BS414" t="s">
        <v>133</v>
      </c>
      <c r="BT414">
        <v>23</v>
      </c>
      <c r="BU414" t="s">
        <v>76</v>
      </c>
      <c r="BV414" t="s">
        <v>65</v>
      </c>
    </row>
    <row r="415" spans="71:74" x14ac:dyDescent="0.25">
      <c r="BS415" t="s">
        <v>133</v>
      </c>
      <c r="BT415">
        <v>24</v>
      </c>
      <c r="BU415" t="s">
        <v>77</v>
      </c>
      <c r="BV415" t="s">
        <v>43</v>
      </c>
    </row>
    <row r="416" spans="71:74" x14ac:dyDescent="0.25">
      <c r="BS416" t="s">
        <v>133</v>
      </c>
      <c r="BT416">
        <v>25</v>
      </c>
      <c r="BU416" t="s">
        <v>78</v>
      </c>
      <c r="BV416" t="s">
        <v>31</v>
      </c>
    </row>
    <row r="417" spans="71:74" x14ac:dyDescent="0.25">
      <c r="BS417" t="s">
        <v>133</v>
      </c>
      <c r="BT417">
        <v>26</v>
      </c>
      <c r="BU417" t="s">
        <v>72</v>
      </c>
      <c r="BV417" t="s">
        <v>32</v>
      </c>
    </row>
    <row r="418" spans="71:74" x14ac:dyDescent="0.25">
      <c r="BS418" t="s">
        <v>133</v>
      </c>
      <c r="BT418">
        <v>27</v>
      </c>
      <c r="BU418" t="s">
        <v>73</v>
      </c>
      <c r="BV418" t="s">
        <v>31</v>
      </c>
    </row>
    <row r="419" spans="71:74" x14ac:dyDescent="0.25">
      <c r="BS419" t="s">
        <v>133</v>
      </c>
      <c r="BT419">
        <v>28</v>
      </c>
      <c r="BU419" t="s">
        <v>74</v>
      </c>
      <c r="BV419" t="s">
        <v>84</v>
      </c>
    </row>
    <row r="420" spans="71:74" x14ac:dyDescent="0.25">
      <c r="BS420" t="s">
        <v>133</v>
      </c>
      <c r="BT420">
        <v>29</v>
      </c>
      <c r="BU420" t="s">
        <v>75</v>
      </c>
      <c r="BV420" t="s">
        <v>84</v>
      </c>
    </row>
    <row r="421" spans="71:74" x14ac:dyDescent="0.25">
      <c r="BS421" t="s">
        <v>133</v>
      </c>
      <c r="BT421">
        <v>30</v>
      </c>
      <c r="BU421" t="s">
        <v>76</v>
      </c>
      <c r="BV421" t="s">
        <v>63</v>
      </c>
    </row>
    <row r="422" spans="71:74" x14ac:dyDescent="0.25">
      <c r="BS422" t="s">
        <v>134</v>
      </c>
      <c r="BT422">
        <v>1</v>
      </c>
      <c r="BU422" t="s">
        <v>75</v>
      </c>
      <c r="BV422" t="s">
        <v>83</v>
      </c>
    </row>
    <row r="423" spans="71:74" x14ac:dyDescent="0.25">
      <c r="BS423" t="s">
        <v>134</v>
      </c>
      <c r="BT423">
        <v>2</v>
      </c>
      <c r="BU423" t="s">
        <v>76</v>
      </c>
      <c r="BV423" t="s">
        <v>26</v>
      </c>
    </row>
    <row r="424" spans="71:74" x14ac:dyDescent="0.25">
      <c r="BS424" t="s">
        <v>134</v>
      </c>
      <c r="BT424">
        <v>3</v>
      </c>
      <c r="BU424" t="s">
        <v>77</v>
      </c>
      <c r="BV424" t="s">
        <v>26</v>
      </c>
    </row>
    <row r="425" spans="71:74" x14ac:dyDescent="0.25">
      <c r="BS425" t="s">
        <v>134</v>
      </c>
      <c r="BT425">
        <v>4</v>
      </c>
      <c r="BU425" t="s">
        <v>78</v>
      </c>
      <c r="BV425" t="s">
        <v>26</v>
      </c>
    </row>
    <row r="426" spans="71:74" x14ac:dyDescent="0.25">
      <c r="BS426" t="s">
        <v>134</v>
      </c>
      <c r="BT426">
        <v>5</v>
      </c>
      <c r="BU426" t="s">
        <v>72</v>
      </c>
      <c r="BV426" t="s">
        <v>5</v>
      </c>
    </row>
    <row r="427" spans="71:74" x14ac:dyDescent="0.25">
      <c r="BS427" t="s">
        <v>134</v>
      </c>
      <c r="BT427">
        <v>6</v>
      </c>
      <c r="BU427" t="s">
        <v>73</v>
      </c>
      <c r="BV427" t="s">
        <v>26</v>
      </c>
    </row>
    <row r="428" spans="71:74" x14ac:dyDescent="0.25">
      <c r="BS428" t="s">
        <v>134</v>
      </c>
      <c r="BT428">
        <v>7</v>
      </c>
      <c r="BU428" t="s">
        <v>74</v>
      </c>
      <c r="BV428" t="s">
        <v>83</v>
      </c>
    </row>
    <row r="429" spans="71:74" x14ac:dyDescent="0.25">
      <c r="BS429" t="s">
        <v>134</v>
      </c>
      <c r="BT429">
        <v>8</v>
      </c>
      <c r="BU429" t="s">
        <v>75</v>
      </c>
      <c r="BV429" t="s">
        <v>83</v>
      </c>
    </row>
    <row r="430" spans="71:74" x14ac:dyDescent="0.25">
      <c r="BS430" t="s">
        <v>134</v>
      </c>
      <c r="BT430">
        <v>9</v>
      </c>
      <c r="BU430" t="s">
        <v>76</v>
      </c>
      <c r="BV430" t="s">
        <v>26</v>
      </c>
    </row>
    <row r="431" spans="71:74" x14ac:dyDescent="0.25">
      <c r="BS431" t="s">
        <v>134</v>
      </c>
      <c r="BT431">
        <v>10</v>
      </c>
      <c r="BU431" t="s">
        <v>77</v>
      </c>
      <c r="BV431" t="s">
        <v>26</v>
      </c>
    </row>
    <row r="432" spans="71:74" x14ac:dyDescent="0.25">
      <c r="BS432" t="s">
        <v>134</v>
      </c>
      <c r="BT432">
        <v>11</v>
      </c>
      <c r="BU432" t="s">
        <v>78</v>
      </c>
      <c r="BV432" t="s">
        <v>26</v>
      </c>
    </row>
    <row r="433" spans="71:74" x14ac:dyDescent="0.25">
      <c r="BS433" t="s">
        <v>134</v>
      </c>
      <c r="BT433">
        <v>12</v>
      </c>
      <c r="BU433" t="s">
        <v>72</v>
      </c>
      <c r="BV433" t="s">
        <v>5</v>
      </c>
    </row>
    <row r="434" spans="71:74" x14ac:dyDescent="0.25">
      <c r="BS434" t="s">
        <v>134</v>
      </c>
      <c r="BT434">
        <v>13</v>
      </c>
      <c r="BU434" t="s">
        <v>73</v>
      </c>
      <c r="BV434" t="s">
        <v>26</v>
      </c>
    </row>
    <row r="435" spans="71:74" x14ac:dyDescent="0.25">
      <c r="BS435" t="s">
        <v>134</v>
      </c>
      <c r="BT435">
        <v>14</v>
      </c>
      <c r="BU435" t="s">
        <v>74</v>
      </c>
      <c r="BV435" t="s">
        <v>83</v>
      </c>
    </row>
    <row r="436" spans="71:74" x14ac:dyDescent="0.25">
      <c r="BS436" t="s">
        <v>134</v>
      </c>
      <c r="BT436">
        <v>15</v>
      </c>
      <c r="BU436" t="s">
        <v>75</v>
      </c>
      <c r="BV436" t="s">
        <v>83</v>
      </c>
    </row>
    <row r="437" spans="71:74" x14ac:dyDescent="0.25">
      <c r="BS437" t="s">
        <v>134</v>
      </c>
      <c r="BT437">
        <v>16</v>
      </c>
      <c r="BU437" t="s">
        <v>76</v>
      </c>
      <c r="BV437" t="s">
        <v>26</v>
      </c>
    </row>
    <row r="438" spans="71:74" x14ac:dyDescent="0.25">
      <c r="BS438" t="s">
        <v>134</v>
      </c>
      <c r="BT438">
        <v>17</v>
      </c>
      <c r="BU438" t="s">
        <v>77</v>
      </c>
      <c r="BV438" t="s">
        <v>26</v>
      </c>
    </row>
    <row r="439" spans="71:74" x14ac:dyDescent="0.25">
      <c r="BS439" t="s">
        <v>134</v>
      </c>
      <c r="BT439">
        <v>18</v>
      </c>
      <c r="BU439" t="s">
        <v>78</v>
      </c>
      <c r="BV439" t="s">
        <v>26</v>
      </c>
    </row>
    <row r="440" spans="71:74" x14ac:dyDescent="0.25">
      <c r="BS440" t="s">
        <v>134</v>
      </c>
      <c r="BT440">
        <v>19</v>
      </c>
      <c r="BU440" t="s">
        <v>72</v>
      </c>
      <c r="BV440" t="s">
        <v>5</v>
      </c>
    </row>
    <row r="441" spans="71:74" x14ac:dyDescent="0.25">
      <c r="BS441" t="s">
        <v>134</v>
      </c>
      <c r="BT441">
        <v>20</v>
      </c>
      <c r="BU441" t="s">
        <v>73</v>
      </c>
      <c r="BV441" t="s">
        <v>26</v>
      </c>
    </row>
    <row r="442" spans="71:74" x14ac:dyDescent="0.25">
      <c r="BS442" t="s">
        <v>134</v>
      </c>
      <c r="BT442">
        <v>21</v>
      </c>
      <c r="BU442" t="s">
        <v>74</v>
      </c>
      <c r="BV442" t="s">
        <v>83</v>
      </c>
    </row>
    <row r="443" spans="71:74" x14ac:dyDescent="0.25">
      <c r="BS443" t="s">
        <v>134</v>
      </c>
      <c r="BT443">
        <v>22</v>
      </c>
      <c r="BU443" t="s">
        <v>75</v>
      </c>
      <c r="BV443" t="s">
        <v>83</v>
      </c>
    </row>
    <row r="444" spans="71:74" x14ac:dyDescent="0.25">
      <c r="BS444" t="s">
        <v>134</v>
      </c>
      <c r="BT444">
        <v>23</v>
      </c>
      <c r="BU444" t="s">
        <v>76</v>
      </c>
      <c r="BV444" t="s">
        <v>26</v>
      </c>
    </row>
    <row r="445" spans="71:74" x14ac:dyDescent="0.25">
      <c r="BS445" t="s">
        <v>134</v>
      </c>
      <c r="BT445">
        <v>24</v>
      </c>
      <c r="BU445" t="s">
        <v>77</v>
      </c>
      <c r="BV445" t="s">
        <v>26</v>
      </c>
    </row>
    <row r="446" spans="71:74" x14ac:dyDescent="0.25">
      <c r="BS446" t="s">
        <v>134</v>
      </c>
      <c r="BT446">
        <v>25</v>
      </c>
      <c r="BU446" t="s">
        <v>78</v>
      </c>
      <c r="BV446" t="s">
        <v>26</v>
      </c>
    </row>
    <row r="447" spans="71:74" x14ac:dyDescent="0.25">
      <c r="BS447" t="s">
        <v>134</v>
      </c>
      <c r="BT447">
        <v>26</v>
      </c>
      <c r="BU447" t="s">
        <v>72</v>
      </c>
      <c r="BV447" t="s">
        <v>5</v>
      </c>
    </row>
    <row r="448" spans="71:74" x14ac:dyDescent="0.25">
      <c r="BS448" t="s">
        <v>134</v>
      </c>
      <c r="BT448">
        <v>27</v>
      </c>
      <c r="BU448" t="s">
        <v>73</v>
      </c>
      <c r="BV448" t="s">
        <v>26</v>
      </c>
    </row>
    <row r="449" spans="71:74" x14ac:dyDescent="0.25">
      <c r="BS449" t="s">
        <v>134</v>
      </c>
      <c r="BT449">
        <v>28</v>
      </c>
      <c r="BU449" t="s">
        <v>74</v>
      </c>
      <c r="BV449" t="s">
        <v>83</v>
      </c>
    </row>
    <row r="450" spans="71:74" x14ac:dyDescent="0.25">
      <c r="BS450" t="s">
        <v>134</v>
      </c>
      <c r="BT450">
        <v>29</v>
      </c>
      <c r="BU450" t="s">
        <v>75</v>
      </c>
      <c r="BV450" t="s">
        <v>83</v>
      </c>
    </row>
    <row r="451" spans="71:74" x14ac:dyDescent="0.25">
      <c r="BS451" t="s">
        <v>134</v>
      </c>
      <c r="BT451">
        <v>30</v>
      </c>
      <c r="BU451" t="s">
        <v>76</v>
      </c>
      <c r="BV451" t="s">
        <v>26</v>
      </c>
    </row>
    <row r="452" spans="71:74" x14ac:dyDescent="0.25">
      <c r="BS452" t="s">
        <v>135</v>
      </c>
      <c r="BT452">
        <v>1</v>
      </c>
      <c r="BU452" t="s">
        <v>75</v>
      </c>
      <c r="BV452" t="s">
        <v>83</v>
      </c>
    </row>
    <row r="453" spans="71:74" x14ac:dyDescent="0.25">
      <c r="BS453" t="s">
        <v>135</v>
      </c>
      <c r="BT453">
        <v>2</v>
      </c>
      <c r="BU453" t="s">
        <v>76</v>
      </c>
      <c r="BV453" t="s">
        <v>31</v>
      </c>
    </row>
    <row r="454" spans="71:74" x14ac:dyDescent="0.25">
      <c r="BS454" t="s">
        <v>135</v>
      </c>
      <c r="BT454">
        <v>3</v>
      </c>
      <c r="BU454" t="s">
        <v>77</v>
      </c>
      <c r="BV454" t="s">
        <v>31</v>
      </c>
    </row>
    <row r="455" spans="71:74" x14ac:dyDescent="0.25">
      <c r="BS455" t="s">
        <v>135</v>
      </c>
      <c r="BT455">
        <v>4</v>
      </c>
      <c r="BU455" t="s">
        <v>78</v>
      </c>
      <c r="BV455" t="s">
        <v>31</v>
      </c>
    </row>
    <row r="456" spans="71:74" x14ac:dyDescent="0.25">
      <c r="BS456" t="s">
        <v>135</v>
      </c>
      <c r="BT456">
        <v>5</v>
      </c>
      <c r="BU456" t="s">
        <v>72</v>
      </c>
      <c r="BV456" t="s">
        <v>31</v>
      </c>
    </row>
    <row r="457" spans="71:74" x14ac:dyDescent="0.25">
      <c r="BS457" t="s">
        <v>135</v>
      </c>
      <c r="BT457">
        <v>6</v>
      </c>
      <c r="BU457" t="s">
        <v>73</v>
      </c>
      <c r="BV457" t="s">
        <v>53</v>
      </c>
    </row>
    <row r="458" spans="71:74" x14ac:dyDescent="0.25">
      <c r="BS458" t="s">
        <v>135</v>
      </c>
      <c r="BT458">
        <v>7</v>
      </c>
      <c r="BU458" t="s">
        <v>74</v>
      </c>
      <c r="BV458" t="s">
        <v>83</v>
      </c>
    </row>
    <row r="459" spans="71:74" x14ac:dyDescent="0.25">
      <c r="BS459" t="s">
        <v>135</v>
      </c>
      <c r="BT459">
        <v>8</v>
      </c>
      <c r="BU459" t="s">
        <v>75</v>
      </c>
      <c r="BV459" t="s">
        <v>38</v>
      </c>
    </row>
    <row r="460" spans="71:74" x14ac:dyDescent="0.25">
      <c r="BS460" t="s">
        <v>135</v>
      </c>
      <c r="BT460">
        <v>9</v>
      </c>
      <c r="BU460" t="s">
        <v>76</v>
      </c>
      <c r="BV460" t="s">
        <v>6</v>
      </c>
    </row>
    <row r="461" spans="71:74" x14ac:dyDescent="0.25">
      <c r="BS461" t="s">
        <v>135</v>
      </c>
      <c r="BT461">
        <v>10</v>
      </c>
      <c r="BU461" t="s">
        <v>77</v>
      </c>
      <c r="BV461" t="s">
        <v>31</v>
      </c>
    </row>
    <row r="462" spans="71:74" x14ac:dyDescent="0.25">
      <c r="BS462" t="s">
        <v>135</v>
      </c>
      <c r="BT462">
        <v>11</v>
      </c>
      <c r="BU462" t="s">
        <v>78</v>
      </c>
      <c r="BV462" t="s">
        <v>31</v>
      </c>
    </row>
    <row r="463" spans="71:74" x14ac:dyDescent="0.25">
      <c r="BS463" t="s">
        <v>135</v>
      </c>
      <c r="BT463">
        <v>12</v>
      </c>
      <c r="BU463" t="s">
        <v>72</v>
      </c>
      <c r="BV463" t="s">
        <v>53</v>
      </c>
    </row>
    <row r="464" spans="71:74" x14ac:dyDescent="0.25">
      <c r="BS464" t="s">
        <v>135</v>
      </c>
      <c r="BT464">
        <v>13</v>
      </c>
      <c r="BU464" t="s">
        <v>73</v>
      </c>
      <c r="BV464" t="s">
        <v>65</v>
      </c>
    </row>
    <row r="465" spans="71:74" x14ac:dyDescent="0.25">
      <c r="BS465" t="s">
        <v>135</v>
      </c>
      <c r="BT465">
        <v>14</v>
      </c>
      <c r="BU465" t="s">
        <v>74</v>
      </c>
      <c r="BV465" t="s">
        <v>83</v>
      </c>
    </row>
    <row r="466" spans="71:74" x14ac:dyDescent="0.25">
      <c r="BS466" t="s">
        <v>135</v>
      </c>
      <c r="BT466">
        <v>15</v>
      </c>
      <c r="BU466" t="s">
        <v>75</v>
      </c>
      <c r="BV466" t="s">
        <v>83</v>
      </c>
    </row>
    <row r="467" spans="71:74" x14ac:dyDescent="0.25">
      <c r="BS467" t="s">
        <v>135</v>
      </c>
      <c r="BT467">
        <v>16</v>
      </c>
      <c r="BU467" t="s">
        <v>76</v>
      </c>
      <c r="BV467" t="s">
        <v>53</v>
      </c>
    </row>
    <row r="468" spans="71:74" x14ac:dyDescent="0.25">
      <c r="BS468" t="s">
        <v>135</v>
      </c>
      <c r="BT468">
        <v>17</v>
      </c>
      <c r="BU468" t="s">
        <v>77</v>
      </c>
      <c r="BV468" t="s">
        <v>65</v>
      </c>
    </row>
    <row r="469" spans="71:74" x14ac:dyDescent="0.25">
      <c r="BS469" t="s">
        <v>135</v>
      </c>
      <c r="BT469">
        <v>18</v>
      </c>
      <c r="BU469" t="s">
        <v>78</v>
      </c>
      <c r="BV469" t="s">
        <v>31</v>
      </c>
    </row>
    <row r="470" spans="71:74" x14ac:dyDescent="0.25">
      <c r="BS470" t="s">
        <v>135</v>
      </c>
      <c r="BT470">
        <v>19</v>
      </c>
      <c r="BU470" t="s">
        <v>72</v>
      </c>
      <c r="BV470" t="s">
        <v>31</v>
      </c>
    </row>
    <row r="471" spans="71:74" x14ac:dyDescent="0.25">
      <c r="BS471" t="s">
        <v>135</v>
      </c>
      <c r="BT471">
        <v>20</v>
      </c>
      <c r="BU471" t="s">
        <v>73</v>
      </c>
      <c r="BV471" t="s">
        <v>31</v>
      </c>
    </row>
    <row r="472" spans="71:74" x14ac:dyDescent="0.25">
      <c r="BS472" t="s">
        <v>135</v>
      </c>
      <c r="BT472">
        <v>21</v>
      </c>
      <c r="BU472" t="s">
        <v>74</v>
      </c>
      <c r="BV472" t="s">
        <v>83</v>
      </c>
    </row>
    <row r="473" spans="71:74" x14ac:dyDescent="0.25">
      <c r="BS473" t="s">
        <v>135</v>
      </c>
      <c r="BT473">
        <v>22</v>
      </c>
      <c r="BU473" t="s">
        <v>75</v>
      </c>
      <c r="BV473" t="s">
        <v>53</v>
      </c>
    </row>
    <row r="474" spans="71:74" x14ac:dyDescent="0.25">
      <c r="BS474" t="s">
        <v>135</v>
      </c>
      <c r="BT474">
        <v>23</v>
      </c>
      <c r="BU474" t="s">
        <v>76</v>
      </c>
      <c r="BV474" t="s">
        <v>65</v>
      </c>
    </row>
    <row r="475" spans="71:74" x14ac:dyDescent="0.25">
      <c r="BS475" t="s">
        <v>135</v>
      </c>
      <c r="BT475">
        <v>24</v>
      </c>
      <c r="BU475" t="s">
        <v>77</v>
      </c>
      <c r="BV475" t="s">
        <v>83</v>
      </c>
    </row>
    <row r="476" spans="71:74" x14ac:dyDescent="0.25">
      <c r="BS476" t="s">
        <v>135</v>
      </c>
      <c r="BT476">
        <v>25</v>
      </c>
      <c r="BU476" t="s">
        <v>78</v>
      </c>
      <c r="BV476" t="s">
        <v>31</v>
      </c>
    </row>
    <row r="477" spans="71:74" x14ac:dyDescent="0.25">
      <c r="BS477" t="s">
        <v>135</v>
      </c>
      <c r="BT477">
        <v>26</v>
      </c>
      <c r="BU477" t="s">
        <v>72</v>
      </c>
      <c r="BV477" t="s">
        <v>53</v>
      </c>
    </row>
    <row r="478" spans="71:74" x14ac:dyDescent="0.25">
      <c r="BS478" t="s">
        <v>135</v>
      </c>
      <c r="BT478">
        <v>27</v>
      </c>
      <c r="BU478" t="s">
        <v>73</v>
      </c>
      <c r="BV478" t="s">
        <v>65</v>
      </c>
    </row>
    <row r="479" spans="71:74" x14ac:dyDescent="0.25">
      <c r="BS479" t="s">
        <v>135</v>
      </c>
      <c r="BT479">
        <v>28</v>
      </c>
      <c r="BU479" t="s">
        <v>74</v>
      </c>
      <c r="BV479" t="s">
        <v>83</v>
      </c>
    </row>
    <row r="480" spans="71:74" x14ac:dyDescent="0.25">
      <c r="BS480" t="s">
        <v>135</v>
      </c>
      <c r="BT480">
        <v>29</v>
      </c>
      <c r="BU480" t="s">
        <v>75</v>
      </c>
      <c r="BV480" t="s">
        <v>83</v>
      </c>
    </row>
    <row r="481" spans="71:74" x14ac:dyDescent="0.25">
      <c r="BS481" t="s">
        <v>135</v>
      </c>
      <c r="BT481">
        <v>30</v>
      </c>
      <c r="BU481" t="s">
        <v>76</v>
      </c>
      <c r="BV481" t="s">
        <v>31</v>
      </c>
    </row>
    <row r="482" spans="71:74" x14ac:dyDescent="0.25">
      <c r="BS482" t="s">
        <v>136</v>
      </c>
      <c r="BT482">
        <v>1</v>
      </c>
      <c r="BU482" t="s">
        <v>75</v>
      </c>
      <c r="BV482" t="s">
        <v>83</v>
      </c>
    </row>
    <row r="483" spans="71:74" x14ac:dyDescent="0.25">
      <c r="BS483" t="s">
        <v>136</v>
      </c>
      <c r="BT483">
        <v>2</v>
      </c>
      <c r="BU483" t="s">
        <v>76</v>
      </c>
      <c r="BV483" t="s">
        <v>53</v>
      </c>
    </row>
    <row r="484" spans="71:74" x14ac:dyDescent="0.25">
      <c r="BS484" t="s">
        <v>136</v>
      </c>
      <c r="BT484">
        <v>3</v>
      </c>
      <c r="BU484" t="s">
        <v>77</v>
      </c>
      <c r="BV484" t="s">
        <v>65</v>
      </c>
    </row>
    <row r="485" spans="71:74" x14ac:dyDescent="0.25">
      <c r="BS485" t="s">
        <v>136</v>
      </c>
      <c r="BT485">
        <v>4</v>
      </c>
      <c r="BU485" t="s">
        <v>78</v>
      </c>
      <c r="BV485" t="s">
        <v>83</v>
      </c>
    </row>
    <row r="486" spans="71:74" x14ac:dyDescent="0.25">
      <c r="BS486" t="s">
        <v>136</v>
      </c>
      <c r="BT486">
        <v>5</v>
      </c>
      <c r="BU486" t="s">
        <v>72</v>
      </c>
      <c r="BV486" t="s">
        <v>31</v>
      </c>
    </row>
    <row r="487" spans="71:74" x14ac:dyDescent="0.25">
      <c r="BS487" t="s">
        <v>136</v>
      </c>
      <c r="BT487">
        <v>6</v>
      </c>
      <c r="BU487" t="s">
        <v>73</v>
      </c>
      <c r="BV487" t="s">
        <v>31</v>
      </c>
    </row>
    <row r="488" spans="71:74" x14ac:dyDescent="0.25">
      <c r="BS488" t="s">
        <v>136</v>
      </c>
      <c r="BT488">
        <v>7</v>
      </c>
      <c r="BU488" t="s">
        <v>74</v>
      </c>
      <c r="BV488" t="s">
        <v>35</v>
      </c>
    </row>
    <row r="489" spans="71:74" x14ac:dyDescent="0.25">
      <c r="BS489" t="s">
        <v>136</v>
      </c>
      <c r="BT489">
        <v>8</v>
      </c>
      <c r="BU489" t="s">
        <v>75</v>
      </c>
      <c r="BV489" t="s">
        <v>372</v>
      </c>
    </row>
    <row r="490" spans="71:74" x14ac:dyDescent="0.25">
      <c r="BS490" t="s">
        <v>136</v>
      </c>
      <c r="BT490">
        <v>9</v>
      </c>
      <c r="BU490" t="s">
        <v>76</v>
      </c>
      <c r="BV490" t="s">
        <v>65</v>
      </c>
    </row>
    <row r="491" spans="71:74" x14ac:dyDescent="0.25">
      <c r="BS491" t="s">
        <v>136</v>
      </c>
      <c r="BT491">
        <v>10</v>
      </c>
      <c r="BU491" t="s">
        <v>77</v>
      </c>
      <c r="BV491" t="s">
        <v>26</v>
      </c>
    </row>
    <row r="492" spans="71:74" x14ac:dyDescent="0.25">
      <c r="BS492" t="s">
        <v>136</v>
      </c>
      <c r="BT492">
        <v>11</v>
      </c>
      <c r="BU492" t="s">
        <v>78</v>
      </c>
      <c r="BV492" t="s">
        <v>6</v>
      </c>
    </row>
    <row r="493" spans="71:74" x14ac:dyDescent="0.25">
      <c r="BS493" t="s">
        <v>136</v>
      </c>
      <c r="BT493">
        <v>12</v>
      </c>
      <c r="BU493" t="s">
        <v>72</v>
      </c>
      <c r="BV493" t="s">
        <v>31</v>
      </c>
    </row>
    <row r="494" spans="71:74" x14ac:dyDescent="0.25">
      <c r="BS494" t="s">
        <v>136</v>
      </c>
      <c r="BT494">
        <v>13</v>
      </c>
      <c r="BU494" t="s">
        <v>73</v>
      </c>
      <c r="BV494" t="s">
        <v>6</v>
      </c>
    </row>
    <row r="495" spans="71:74" x14ac:dyDescent="0.25">
      <c r="BS495" t="s">
        <v>136</v>
      </c>
      <c r="BT495">
        <v>14</v>
      </c>
      <c r="BU495" t="s">
        <v>74</v>
      </c>
      <c r="BV495" t="s">
        <v>83</v>
      </c>
    </row>
    <row r="496" spans="71:74" x14ac:dyDescent="0.25">
      <c r="BS496" t="s">
        <v>136</v>
      </c>
      <c r="BT496">
        <v>15</v>
      </c>
      <c r="BU496" t="s">
        <v>75</v>
      </c>
      <c r="BV496" t="s">
        <v>83</v>
      </c>
    </row>
    <row r="497" spans="71:74" x14ac:dyDescent="0.25">
      <c r="BS497" t="s">
        <v>136</v>
      </c>
      <c r="BT497">
        <v>16</v>
      </c>
      <c r="BU497" t="s">
        <v>76</v>
      </c>
      <c r="BV497" t="s">
        <v>31</v>
      </c>
    </row>
    <row r="498" spans="71:74" x14ac:dyDescent="0.25">
      <c r="BS498" t="s">
        <v>136</v>
      </c>
      <c r="BT498">
        <v>17</v>
      </c>
      <c r="BU498" t="s">
        <v>77</v>
      </c>
      <c r="BV498" t="s">
        <v>32</v>
      </c>
    </row>
    <row r="499" spans="71:74" x14ac:dyDescent="0.25">
      <c r="BS499" t="s">
        <v>136</v>
      </c>
      <c r="BT499">
        <v>18</v>
      </c>
      <c r="BU499" t="s">
        <v>78</v>
      </c>
      <c r="BV499" t="s">
        <v>26</v>
      </c>
    </row>
    <row r="500" spans="71:74" x14ac:dyDescent="0.25">
      <c r="BS500" t="s">
        <v>136</v>
      </c>
      <c r="BT500">
        <v>19</v>
      </c>
      <c r="BU500" t="s">
        <v>72</v>
      </c>
      <c r="BV500" t="s">
        <v>26</v>
      </c>
    </row>
    <row r="501" spans="71:74" x14ac:dyDescent="0.25">
      <c r="BS501" t="s">
        <v>136</v>
      </c>
      <c r="BT501">
        <v>20</v>
      </c>
      <c r="BU501" t="s">
        <v>73</v>
      </c>
      <c r="BV501" t="s">
        <v>53</v>
      </c>
    </row>
    <row r="502" spans="71:74" x14ac:dyDescent="0.25">
      <c r="BS502" t="s">
        <v>136</v>
      </c>
      <c r="BT502">
        <v>21</v>
      </c>
      <c r="BU502" t="s">
        <v>74</v>
      </c>
      <c r="BV502" t="s">
        <v>83</v>
      </c>
    </row>
    <row r="503" spans="71:74" x14ac:dyDescent="0.25">
      <c r="BS503" t="s">
        <v>136</v>
      </c>
      <c r="BT503">
        <v>22</v>
      </c>
      <c r="BU503" t="s">
        <v>75</v>
      </c>
      <c r="BV503" t="s">
        <v>83</v>
      </c>
    </row>
    <row r="504" spans="71:74" x14ac:dyDescent="0.25">
      <c r="BS504" t="s">
        <v>136</v>
      </c>
      <c r="BT504">
        <v>23</v>
      </c>
      <c r="BU504" t="s">
        <v>76</v>
      </c>
      <c r="BV504" t="s">
        <v>32</v>
      </c>
    </row>
    <row r="505" spans="71:74" x14ac:dyDescent="0.25">
      <c r="BS505" t="s">
        <v>136</v>
      </c>
      <c r="BT505">
        <v>24</v>
      </c>
      <c r="BU505" t="s">
        <v>77</v>
      </c>
      <c r="BV505" t="s">
        <v>26</v>
      </c>
    </row>
    <row r="506" spans="71:74" x14ac:dyDescent="0.25">
      <c r="BS506" t="s">
        <v>136</v>
      </c>
      <c r="BT506">
        <v>25</v>
      </c>
      <c r="BU506" t="s">
        <v>78</v>
      </c>
      <c r="BV506" t="s">
        <v>26</v>
      </c>
    </row>
    <row r="507" spans="71:74" x14ac:dyDescent="0.25">
      <c r="BS507" t="s">
        <v>136</v>
      </c>
      <c r="BT507">
        <v>26</v>
      </c>
      <c r="BU507" t="s">
        <v>72</v>
      </c>
      <c r="BV507" t="s">
        <v>17</v>
      </c>
    </row>
    <row r="508" spans="71:74" x14ac:dyDescent="0.25">
      <c r="BS508" t="s">
        <v>136</v>
      </c>
      <c r="BT508">
        <v>27</v>
      </c>
      <c r="BU508" t="s">
        <v>73</v>
      </c>
      <c r="BV508" t="s">
        <v>65</v>
      </c>
    </row>
    <row r="509" spans="71:74" x14ac:dyDescent="0.25">
      <c r="BS509" t="s">
        <v>136</v>
      </c>
      <c r="BT509">
        <v>28</v>
      </c>
      <c r="BU509" t="s">
        <v>74</v>
      </c>
      <c r="BV509" t="s">
        <v>83</v>
      </c>
    </row>
    <row r="510" spans="71:74" x14ac:dyDescent="0.25">
      <c r="BS510" t="s">
        <v>136</v>
      </c>
      <c r="BT510">
        <v>29</v>
      </c>
      <c r="BU510" t="s">
        <v>75</v>
      </c>
      <c r="BV510" t="s">
        <v>83</v>
      </c>
    </row>
    <row r="511" spans="71:74" x14ac:dyDescent="0.25">
      <c r="BS511" t="s">
        <v>136</v>
      </c>
      <c r="BT511">
        <v>30</v>
      </c>
      <c r="BU511" t="s">
        <v>76</v>
      </c>
      <c r="BV511" t="s">
        <v>53</v>
      </c>
    </row>
    <row r="512" spans="71:74" x14ac:dyDescent="0.25">
      <c r="BS512" t="s">
        <v>342</v>
      </c>
      <c r="BT512">
        <v>1</v>
      </c>
      <c r="BU512" t="s">
        <v>75</v>
      </c>
      <c r="BV512" t="s">
        <v>83</v>
      </c>
    </row>
    <row r="513" spans="71:74" x14ac:dyDescent="0.25">
      <c r="BS513" t="s">
        <v>342</v>
      </c>
      <c r="BT513">
        <v>2</v>
      </c>
      <c r="BU513" t="s">
        <v>76</v>
      </c>
      <c r="BV513" t="s">
        <v>31</v>
      </c>
    </row>
    <row r="514" spans="71:74" x14ac:dyDescent="0.25">
      <c r="BS514" t="s">
        <v>342</v>
      </c>
      <c r="BT514">
        <v>3</v>
      </c>
      <c r="BU514" t="s">
        <v>77</v>
      </c>
      <c r="BV514" t="s">
        <v>31</v>
      </c>
    </row>
    <row r="515" spans="71:74" x14ac:dyDescent="0.25">
      <c r="BS515" t="s">
        <v>342</v>
      </c>
      <c r="BT515">
        <v>4</v>
      </c>
      <c r="BU515" t="s">
        <v>78</v>
      </c>
      <c r="BV515" t="s">
        <v>31</v>
      </c>
    </row>
    <row r="516" spans="71:74" x14ac:dyDescent="0.25">
      <c r="BS516" t="s">
        <v>342</v>
      </c>
      <c r="BT516">
        <v>5</v>
      </c>
      <c r="BU516" t="s">
        <v>72</v>
      </c>
      <c r="BV516" t="s">
        <v>31</v>
      </c>
    </row>
    <row r="517" spans="71:74" x14ac:dyDescent="0.25">
      <c r="BS517" t="s">
        <v>342</v>
      </c>
      <c r="BT517">
        <v>6</v>
      </c>
      <c r="BU517" t="s">
        <v>73</v>
      </c>
      <c r="BV517" t="s">
        <v>31</v>
      </c>
    </row>
    <row r="518" spans="71:74" x14ac:dyDescent="0.25">
      <c r="BS518" t="s">
        <v>342</v>
      </c>
      <c r="BT518">
        <v>7</v>
      </c>
      <c r="BU518" t="s">
        <v>74</v>
      </c>
      <c r="BV518" t="s">
        <v>83</v>
      </c>
    </row>
    <row r="519" spans="71:74" x14ac:dyDescent="0.25">
      <c r="BS519" t="s">
        <v>342</v>
      </c>
      <c r="BT519">
        <v>8</v>
      </c>
      <c r="BU519" t="s">
        <v>75</v>
      </c>
      <c r="BV519" t="s">
        <v>83</v>
      </c>
    </row>
    <row r="520" spans="71:74" x14ac:dyDescent="0.25">
      <c r="BS520" t="s">
        <v>342</v>
      </c>
      <c r="BT520">
        <v>9</v>
      </c>
      <c r="BU520" t="s">
        <v>76</v>
      </c>
      <c r="BV520" t="s">
        <v>31</v>
      </c>
    </row>
    <row r="521" spans="71:74" x14ac:dyDescent="0.25">
      <c r="BS521" t="s">
        <v>342</v>
      </c>
      <c r="BT521">
        <v>10</v>
      </c>
      <c r="BU521" t="s">
        <v>77</v>
      </c>
      <c r="BV521" t="s">
        <v>31</v>
      </c>
    </row>
    <row r="522" spans="71:74" x14ac:dyDescent="0.25">
      <c r="BS522" t="s">
        <v>342</v>
      </c>
      <c r="BT522">
        <v>11</v>
      </c>
      <c r="BU522" t="s">
        <v>78</v>
      </c>
      <c r="BV522" t="s">
        <v>31</v>
      </c>
    </row>
    <row r="523" spans="71:74" x14ac:dyDescent="0.25">
      <c r="BS523" t="s">
        <v>342</v>
      </c>
      <c r="BT523">
        <v>12</v>
      </c>
      <c r="BU523" t="s">
        <v>72</v>
      </c>
      <c r="BV523" t="s">
        <v>31</v>
      </c>
    </row>
    <row r="524" spans="71:74" x14ac:dyDescent="0.25">
      <c r="BS524" t="s">
        <v>342</v>
      </c>
      <c r="BT524">
        <v>13</v>
      </c>
      <c r="BU524" t="s">
        <v>73</v>
      </c>
      <c r="BV524" t="s">
        <v>31</v>
      </c>
    </row>
    <row r="525" spans="71:74" x14ac:dyDescent="0.25">
      <c r="BS525" t="s">
        <v>342</v>
      </c>
      <c r="BT525">
        <v>14</v>
      </c>
      <c r="BU525" t="s">
        <v>74</v>
      </c>
      <c r="BV525" t="s">
        <v>83</v>
      </c>
    </row>
    <row r="526" spans="71:74" x14ac:dyDescent="0.25">
      <c r="BS526" t="s">
        <v>342</v>
      </c>
      <c r="BT526">
        <v>15</v>
      </c>
      <c r="BU526" t="s">
        <v>75</v>
      </c>
      <c r="BV526" t="s">
        <v>83</v>
      </c>
    </row>
    <row r="527" spans="71:74" x14ac:dyDescent="0.25">
      <c r="BS527" t="s">
        <v>342</v>
      </c>
      <c r="BT527">
        <v>16</v>
      </c>
      <c r="BU527" t="s">
        <v>76</v>
      </c>
      <c r="BV527" t="s">
        <v>31</v>
      </c>
    </row>
    <row r="528" spans="71:74" x14ac:dyDescent="0.25">
      <c r="BS528" t="s">
        <v>342</v>
      </c>
      <c r="BT528">
        <v>17</v>
      </c>
      <c r="BU528" t="s">
        <v>77</v>
      </c>
      <c r="BV528" t="s">
        <v>31</v>
      </c>
    </row>
    <row r="529" spans="71:74" x14ac:dyDescent="0.25">
      <c r="BS529" t="s">
        <v>342</v>
      </c>
      <c r="BT529">
        <v>18</v>
      </c>
      <c r="BU529" t="s">
        <v>78</v>
      </c>
      <c r="BV529" t="s">
        <v>31</v>
      </c>
    </row>
    <row r="530" spans="71:74" x14ac:dyDescent="0.25">
      <c r="BS530" t="s">
        <v>342</v>
      </c>
      <c r="BT530">
        <v>19</v>
      </c>
      <c r="BU530" t="s">
        <v>72</v>
      </c>
      <c r="BV530" t="s">
        <v>31</v>
      </c>
    </row>
    <row r="531" spans="71:74" x14ac:dyDescent="0.25">
      <c r="BS531" t="s">
        <v>342</v>
      </c>
      <c r="BT531">
        <v>20</v>
      </c>
      <c r="BU531" t="s">
        <v>73</v>
      </c>
      <c r="BV531" t="s">
        <v>31</v>
      </c>
    </row>
    <row r="532" spans="71:74" x14ac:dyDescent="0.25">
      <c r="BS532" t="s">
        <v>342</v>
      </c>
      <c r="BT532">
        <v>21</v>
      </c>
      <c r="BU532" t="s">
        <v>74</v>
      </c>
      <c r="BV532" t="s">
        <v>83</v>
      </c>
    </row>
    <row r="533" spans="71:74" x14ac:dyDescent="0.25">
      <c r="BS533" t="s">
        <v>342</v>
      </c>
      <c r="BT533">
        <v>22</v>
      </c>
      <c r="BU533" t="s">
        <v>75</v>
      </c>
      <c r="BV533" t="s">
        <v>83</v>
      </c>
    </row>
    <row r="534" spans="71:74" x14ac:dyDescent="0.25">
      <c r="BS534" t="s">
        <v>342</v>
      </c>
      <c r="BT534">
        <v>23</v>
      </c>
      <c r="BU534" t="s">
        <v>76</v>
      </c>
      <c r="BV534" t="s">
        <v>31</v>
      </c>
    </row>
    <row r="535" spans="71:74" x14ac:dyDescent="0.25">
      <c r="BS535" t="s">
        <v>342</v>
      </c>
      <c r="BT535">
        <v>24</v>
      </c>
      <c r="BU535" t="s">
        <v>77</v>
      </c>
      <c r="BV535" t="s">
        <v>31</v>
      </c>
    </row>
    <row r="536" spans="71:74" x14ac:dyDescent="0.25">
      <c r="BS536" t="s">
        <v>342</v>
      </c>
      <c r="BT536">
        <v>25</v>
      </c>
      <c r="BU536" t="s">
        <v>78</v>
      </c>
      <c r="BV536" t="s">
        <v>31</v>
      </c>
    </row>
    <row r="537" spans="71:74" x14ac:dyDescent="0.25">
      <c r="BS537" t="s">
        <v>342</v>
      </c>
      <c r="BT537">
        <v>26</v>
      </c>
      <c r="BU537" t="s">
        <v>72</v>
      </c>
      <c r="BV537" t="s">
        <v>31</v>
      </c>
    </row>
    <row r="538" spans="71:74" x14ac:dyDescent="0.25">
      <c r="BS538" t="s">
        <v>342</v>
      </c>
      <c r="BT538">
        <v>27</v>
      </c>
      <c r="BU538" t="s">
        <v>73</v>
      </c>
      <c r="BV538" t="s">
        <v>31</v>
      </c>
    </row>
    <row r="539" spans="71:74" x14ac:dyDescent="0.25">
      <c r="BS539" t="s">
        <v>342</v>
      </c>
      <c r="BT539">
        <v>28</v>
      </c>
      <c r="BU539" t="s">
        <v>74</v>
      </c>
      <c r="BV539" t="s">
        <v>83</v>
      </c>
    </row>
    <row r="540" spans="71:74" x14ac:dyDescent="0.25">
      <c r="BS540" t="s">
        <v>342</v>
      </c>
      <c r="BT540">
        <v>29</v>
      </c>
      <c r="BU540" t="s">
        <v>75</v>
      </c>
      <c r="BV540" t="s">
        <v>83</v>
      </c>
    </row>
    <row r="541" spans="71:74" x14ac:dyDescent="0.25">
      <c r="BS541" t="s">
        <v>342</v>
      </c>
      <c r="BT541">
        <v>30</v>
      </c>
      <c r="BU541" t="s">
        <v>76</v>
      </c>
      <c r="BV541" t="s">
        <v>31</v>
      </c>
    </row>
    <row r="542" spans="71:74" x14ac:dyDescent="0.25">
      <c r="BS542" t="s">
        <v>337</v>
      </c>
      <c r="BT542">
        <v>1</v>
      </c>
      <c r="BU542" t="s">
        <v>75</v>
      </c>
      <c r="BV542" t="s">
        <v>83</v>
      </c>
    </row>
    <row r="543" spans="71:74" x14ac:dyDescent="0.25">
      <c r="BS543" t="s">
        <v>337</v>
      </c>
      <c r="BT543">
        <v>2</v>
      </c>
      <c r="BU543" t="s">
        <v>76</v>
      </c>
      <c r="BV543" t="s">
        <v>31</v>
      </c>
    </row>
    <row r="544" spans="71:74" x14ac:dyDescent="0.25">
      <c r="BS544" t="s">
        <v>337</v>
      </c>
      <c r="BT544">
        <v>3</v>
      </c>
      <c r="BU544" t="s">
        <v>77</v>
      </c>
      <c r="BV544" t="s">
        <v>31</v>
      </c>
    </row>
    <row r="545" spans="71:74" x14ac:dyDescent="0.25">
      <c r="BS545" t="s">
        <v>337</v>
      </c>
      <c r="BT545">
        <v>4</v>
      </c>
      <c r="BU545" t="s">
        <v>78</v>
      </c>
      <c r="BV545" t="s">
        <v>6</v>
      </c>
    </row>
    <row r="546" spans="71:74" x14ac:dyDescent="0.25">
      <c r="BS546" t="s">
        <v>337</v>
      </c>
      <c r="BT546">
        <v>5</v>
      </c>
      <c r="BU546" t="s">
        <v>72</v>
      </c>
      <c r="BV546" t="s">
        <v>31</v>
      </c>
    </row>
    <row r="547" spans="71:74" x14ac:dyDescent="0.25">
      <c r="BS547" t="s">
        <v>337</v>
      </c>
      <c r="BT547">
        <v>6</v>
      </c>
      <c r="BU547" t="s">
        <v>73</v>
      </c>
      <c r="BV547" t="s">
        <v>31</v>
      </c>
    </row>
    <row r="548" spans="71:74" x14ac:dyDescent="0.25">
      <c r="BS548" t="s">
        <v>337</v>
      </c>
      <c r="BT548">
        <v>7</v>
      </c>
      <c r="BU548" t="s">
        <v>74</v>
      </c>
      <c r="BV548" t="s">
        <v>83</v>
      </c>
    </row>
    <row r="549" spans="71:74" x14ac:dyDescent="0.25">
      <c r="BS549" t="s">
        <v>337</v>
      </c>
      <c r="BT549">
        <v>8</v>
      </c>
      <c r="BU549" t="s">
        <v>75</v>
      </c>
      <c r="BV549" t="s">
        <v>83</v>
      </c>
    </row>
    <row r="550" spans="71:74" x14ac:dyDescent="0.25">
      <c r="BS550" t="s">
        <v>337</v>
      </c>
      <c r="BT550">
        <v>9</v>
      </c>
      <c r="BU550" t="s">
        <v>76</v>
      </c>
      <c r="BV550" t="s">
        <v>31</v>
      </c>
    </row>
    <row r="551" spans="71:74" x14ac:dyDescent="0.25">
      <c r="BS551" t="s">
        <v>337</v>
      </c>
      <c r="BT551">
        <v>10</v>
      </c>
      <c r="BU551" t="s">
        <v>77</v>
      </c>
      <c r="BV551" t="s">
        <v>31</v>
      </c>
    </row>
    <row r="552" spans="71:74" x14ac:dyDescent="0.25">
      <c r="BS552" t="s">
        <v>337</v>
      </c>
      <c r="BT552">
        <v>11</v>
      </c>
      <c r="BU552" t="s">
        <v>78</v>
      </c>
      <c r="BV552" t="s">
        <v>31</v>
      </c>
    </row>
    <row r="553" spans="71:74" x14ac:dyDescent="0.25">
      <c r="BS553" t="s">
        <v>337</v>
      </c>
      <c r="BT553">
        <v>12</v>
      </c>
      <c r="BU553" t="s">
        <v>72</v>
      </c>
      <c r="BV553" t="s">
        <v>31</v>
      </c>
    </row>
    <row r="554" spans="71:74" x14ac:dyDescent="0.25">
      <c r="BS554" t="s">
        <v>337</v>
      </c>
      <c r="BT554">
        <v>13</v>
      </c>
      <c r="BU554" t="s">
        <v>73</v>
      </c>
      <c r="BV554" t="s">
        <v>69</v>
      </c>
    </row>
    <row r="555" spans="71:74" x14ac:dyDescent="0.25">
      <c r="BS555" t="s">
        <v>337</v>
      </c>
      <c r="BT555">
        <v>14</v>
      </c>
      <c r="BU555" t="s">
        <v>74</v>
      </c>
      <c r="BV555" t="s">
        <v>69</v>
      </c>
    </row>
    <row r="556" spans="71:74" x14ac:dyDescent="0.25">
      <c r="BS556" t="s">
        <v>337</v>
      </c>
      <c r="BT556">
        <v>15</v>
      </c>
      <c r="BU556" t="s">
        <v>75</v>
      </c>
      <c r="BV556" t="s">
        <v>83</v>
      </c>
    </row>
    <row r="557" spans="71:74" x14ac:dyDescent="0.25">
      <c r="BS557" t="s">
        <v>337</v>
      </c>
      <c r="BT557">
        <v>16</v>
      </c>
      <c r="BU557" t="s">
        <v>76</v>
      </c>
      <c r="BV557" t="s">
        <v>32</v>
      </c>
    </row>
    <row r="558" spans="71:74" x14ac:dyDescent="0.25">
      <c r="BS558" t="s">
        <v>337</v>
      </c>
      <c r="BT558">
        <v>17</v>
      </c>
      <c r="BU558" t="s">
        <v>77</v>
      </c>
      <c r="BV558" t="s">
        <v>31</v>
      </c>
    </row>
    <row r="559" spans="71:74" x14ac:dyDescent="0.25">
      <c r="BS559" t="s">
        <v>337</v>
      </c>
      <c r="BT559">
        <v>18</v>
      </c>
      <c r="BU559" t="s">
        <v>78</v>
      </c>
      <c r="BV559" t="s">
        <v>31</v>
      </c>
    </row>
    <row r="560" spans="71:74" x14ac:dyDescent="0.25">
      <c r="BS560" t="s">
        <v>337</v>
      </c>
      <c r="BT560">
        <v>19</v>
      </c>
      <c r="BU560" t="s">
        <v>72</v>
      </c>
      <c r="BV560" t="s">
        <v>31</v>
      </c>
    </row>
    <row r="561" spans="71:74" x14ac:dyDescent="0.25">
      <c r="BS561" t="s">
        <v>337</v>
      </c>
      <c r="BT561">
        <v>20</v>
      </c>
      <c r="BU561" t="s">
        <v>73</v>
      </c>
      <c r="BV561" t="s">
        <v>31</v>
      </c>
    </row>
    <row r="562" spans="71:74" x14ac:dyDescent="0.25">
      <c r="BS562" t="s">
        <v>337</v>
      </c>
      <c r="BT562">
        <v>21</v>
      </c>
      <c r="BU562" t="s">
        <v>74</v>
      </c>
      <c r="BV562" t="s">
        <v>84</v>
      </c>
    </row>
    <row r="563" spans="71:74" x14ac:dyDescent="0.25">
      <c r="BS563" t="s">
        <v>337</v>
      </c>
      <c r="BT563">
        <v>22</v>
      </c>
      <c r="BU563" t="s">
        <v>75</v>
      </c>
      <c r="BV563" t="s">
        <v>84</v>
      </c>
    </row>
    <row r="564" spans="71:74" x14ac:dyDescent="0.25">
      <c r="BS564" t="s">
        <v>337</v>
      </c>
      <c r="BT564">
        <v>23</v>
      </c>
      <c r="BU564" t="s">
        <v>76</v>
      </c>
      <c r="BV564" t="s">
        <v>63</v>
      </c>
    </row>
    <row r="565" spans="71:74" x14ac:dyDescent="0.25">
      <c r="BS565" t="s">
        <v>337</v>
      </c>
      <c r="BT565">
        <v>24</v>
      </c>
      <c r="BU565" t="s">
        <v>77</v>
      </c>
      <c r="BV565" t="s">
        <v>63</v>
      </c>
    </row>
    <row r="566" spans="71:74" x14ac:dyDescent="0.25">
      <c r="BS566" t="s">
        <v>337</v>
      </c>
      <c r="BT566">
        <v>25</v>
      </c>
      <c r="BU566" t="s">
        <v>78</v>
      </c>
      <c r="BV566" t="s">
        <v>63</v>
      </c>
    </row>
    <row r="567" spans="71:74" x14ac:dyDescent="0.25">
      <c r="BS567" t="s">
        <v>337</v>
      </c>
      <c r="BT567">
        <v>26</v>
      </c>
      <c r="BU567" t="s">
        <v>72</v>
      </c>
      <c r="BV567" t="s">
        <v>63</v>
      </c>
    </row>
    <row r="568" spans="71:74" x14ac:dyDescent="0.25">
      <c r="BS568" t="s">
        <v>337</v>
      </c>
      <c r="BT568">
        <v>27</v>
      </c>
      <c r="BU568" t="s">
        <v>73</v>
      </c>
      <c r="BV568" t="s">
        <v>63</v>
      </c>
    </row>
    <row r="569" spans="71:74" x14ac:dyDescent="0.25">
      <c r="BS569" t="s">
        <v>337</v>
      </c>
      <c r="BT569">
        <v>28</v>
      </c>
      <c r="BU569" t="s">
        <v>74</v>
      </c>
      <c r="BV569" t="s">
        <v>84</v>
      </c>
    </row>
    <row r="570" spans="71:74" x14ac:dyDescent="0.25">
      <c r="BS570" t="s">
        <v>337</v>
      </c>
      <c r="BT570">
        <v>29</v>
      </c>
      <c r="BU570" t="s">
        <v>75</v>
      </c>
      <c r="BV570" t="s">
        <v>84</v>
      </c>
    </row>
    <row r="571" spans="71:74" x14ac:dyDescent="0.25">
      <c r="BS571" t="s">
        <v>337</v>
      </c>
      <c r="BT571">
        <v>30</v>
      </c>
      <c r="BU571" t="s">
        <v>76</v>
      </c>
      <c r="BV571" t="s">
        <v>31</v>
      </c>
    </row>
    <row r="572" spans="71:74" x14ac:dyDescent="0.25">
      <c r="BS572" t="s">
        <v>137</v>
      </c>
      <c r="BT572">
        <v>1</v>
      </c>
      <c r="BU572" t="s">
        <v>75</v>
      </c>
      <c r="BV572" t="s">
        <v>53</v>
      </c>
    </row>
    <row r="573" spans="71:74" x14ac:dyDescent="0.25">
      <c r="BS573" t="s">
        <v>137</v>
      </c>
      <c r="BT573">
        <v>2</v>
      </c>
      <c r="BU573" t="s">
        <v>76</v>
      </c>
      <c r="BV573" t="s">
        <v>65</v>
      </c>
    </row>
    <row r="574" spans="71:74" x14ac:dyDescent="0.25">
      <c r="BS574" t="s">
        <v>137</v>
      </c>
      <c r="BT574">
        <v>3</v>
      </c>
      <c r="BU574" t="s">
        <v>77</v>
      </c>
      <c r="BV574" t="s">
        <v>83</v>
      </c>
    </row>
    <row r="575" spans="71:74" x14ac:dyDescent="0.25">
      <c r="BS575" t="s">
        <v>137</v>
      </c>
      <c r="BT575">
        <v>4</v>
      </c>
      <c r="BU575" t="s">
        <v>78</v>
      </c>
      <c r="BV575" t="s">
        <v>31</v>
      </c>
    </row>
    <row r="576" spans="71:74" x14ac:dyDescent="0.25">
      <c r="BS576" t="s">
        <v>137</v>
      </c>
      <c r="BT576">
        <v>5</v>
      </c>
      <c r="BU576" t="s">
        <v>72</v>
      </c>
      <c r="BV576" t="s">
        <v>365</v>
      </c>
    </row>
    <row r="577" spans="71:74" x14ac:dyDescent="0.25">
      <c r="BS577" t="s">
        <v>137</v>
      </c>
      <c r="BT577">
        <v>6</v>
      </c>
      <c r="BU577" t="s">
        <v>73</v>
      </c>
      <c r="BV577" t="s">
        <v>63</v>
      </c>
    </row>
    <row r="578" spans="71:74" x14ac:dyDescent="0.25">
      <c r="BS578" t="s">
        <v>137</v>
      </c>
      <c r="BT578">
        <v>7</v>
      </c>
      <c r="BU578" t="s">
        <v>74</v>
      </c>
      <c r="BV578" t="s">
        <v>84</v>
      </c>
    </row>
    <row r="579" spans="71:74" x14ac:dyDescent="0.25">
      <c r="BS579" t="s">
        <v>137</v>
      </c>
      <c r="BT579">
        <v>8</v>
      </c>
      <c r="BU579" t="s">
        <v>75</v>
      </c>
      <c r="BV579" t="s">
        <v>84</v>
      </c>
    </row>
    <row r="580" spans="71:74" x14ac:dyDescent="0.25">
      <c r="BS580" t="s">
        <v>137</v>
      </c>
      <c r="BT580">
        <v>9</v>
      </c>
      <c r="BU580" t="s">
        <v>76</v>
      </c>
      <c r="BV580" t="s">
        <v>63</v>
      </c>
    </row>
    <row r="581" spans="71:74" x14ac:dyDescent="0.25">
      <c r="BS581" t="s">
        <v>137</v>
      </c>
      <c r="BT581">
        <v>10</v>
      </c>
      <c r="BU581" t="s">
        <v>77</v>
      </c>
      <c r="BV581" t="s">
        <v>63</v>
      </c>
    </row>
    <row r="582" spans="71:74" x14ac:dyDescent="0.25">
      <c r="BS582" t="s">
        <v>137</v>
      </c>
      <c r="BT582">
        <v>11</v>
      </c>
      <c r="BU582" t="s">
        <v>78</v>
      </c>
      <c r="BV582" t="s">
        <v>63</v>
      </c>
    </row>
    <row r="583" spans="71:74" x14ac:dyDescent="0.25">
      <c r="BS583" t="s">
        <v>137</v>
      </c>
      <c r="BT583">
        <v>12</v>
      </c>
      <c r="BU583" t="s">
        <v>72</v>
      </c>
      <c r="BV583" t="s">
        <v>63</v>
      </c>
    </row>
    <row r="584" spans="71:74" x14ac:dyDescent="0.25">
      <c r="BS584" t="s">
        <v>137</v>
      </c>
      <c r="BT584">
        <v>13</v>
      </c>
      <c r="BU584" t="s">
        <v>73</v>
      </c>
      <c r="BV584" t="s">
        <v>63</v>
      </c>
    </row>
    <row r="585" spans="71:74" x14ac:dyDescent="0.25">
      <c r="BS585" t="s">
        <v>137</v>
      </c>
      <c r="BT585">
        <v>14</v>
      </c>
      <c r="BU585" t="s">
        <v>74</v>
      </c>
      <c r="BV585" t="s">
        <v>84</v>
      </c>
    </row>
    <row r="586" spans="71:74" x14ac:dyDescent="0.25">
      <c r="BS586" t="s">
        <v>137</v>
      </c>
      <c r="BT586">
        <v>15</v>
      </c>
      <c r="BU586" t="s">
        <v>75</v>
      </c>
      <c r="BV586" t="s">
        <v>84</v>
      </c>
    </row>
    <row r="587" spans="71:74" x14ac:dyDescent="0.25">
      <c r="BS587" t="s">
        <v>137</v>
      </c>
      <c r="BT587">
        <v>16</v>
      </c>
      <c r="BU587" t="s">
        <v>76</v>
      </c>
      <c r="BV587" t="s">
        <v>63</v>
      </c>
    </row>
    <row r="588" spans="71:74" x14ac:dyDescent="0.25">
      <c r="BS588" t="s">
        <v>137</v>
      </c>
      <c r="BT588">
        <v>17</v>
      </c>
      <c r="BU588" t="s">
        <v>77</v>
      </c>
      <c r="BV588" t="s">
        <v>63</v>
      </c>
    </row>
    <row r="589" spans="71:74" x14ac:dyDescent="0.25">
      <c r="BS589" t="s">
        <v>137</v>
      </c>
      <c r="BT589">
        <v>18</v>
      </c>
      <c r="BU589" t="s">
        <v>78</v>
      </c>
      <c r="BV589" t="s">
        <v>63</v>
      </c>
    </row>
    <row r="590" spans="71:74" x14ac:dyDescent="0.25">
      <c r="BS590" t="s">
        <v>137</v>
      </c>
      <c r="BT590">
        <v>19</v>
      </c>
      <c r="BU590" t="s">
        <v>72</v>
      </c>
      <c r="BV590" t="s">
        <v>63</v>
      </c>
    </row>
    <row r="591" spans="71:74" x14ac:dyDescent="0.25">
      <c r="BS591" t="s">
        <v>137</v>
      </c>
      <c r="BT591">
        <v>20</v>
      </c>
      <c r="BU591" t="s">
        <v>73</v>
      </c>
      <c r="BV591" t="s">
        <v>63</v>
      </c>
    </row>
    <row r="592" spans="71:74" x14ac:dyDescent="0.25">
      <c r="BS592" t="s">
        <v>137</v>
      </c>
      <c r="BT592">
        <v>21</v>
      </c>
      <c r="BU592" t="s">
        <v>74</v>
      </c>
      <c r="BV592" t="s">
        <v>84</v>
      </c>
    </row>
    <row r="593" spans="71:74" x14ac:dyDescent="0.25">
      <c r="BS593" t="s">
        <v>137</v>
      </c>
      <c r="BT593">
        <v>22</v>
      </c>
      <c r="BU593" t="s">
        <v>75</v>
      </c>
      <c r="BV593" t="s">
        <v>84</v>
      </c>
    </row>
    <row r="594" spans="71:74" x14ac:dyDescent="0.25">
      <c r="BS594" t="s">
        <v>137</v>
      </c>
      <c r="BT594">
        <v>23</v>
      </c>
      <c r="BU594" t="s">
        <v>76</v>
      </c>
      <c r="BV594" t="s">
        <v>31</v>
      </c>
    </row>
    <row r="595" spans="71:74" x14ac:dyDescent="0.25">
      <c r="BS595" t="s">
        <v>137</v>
      </c>
      <c r="BT595">
        <v>24</v>
      </c>
      <c r="BU595" t="s">
        <v>77</v>
      </c>
      <c r="BV595" t="s">
        <v>69</v>
      </c>
    </row>
    <row r="596" spans="71:74" x14ac:dyDescent="0.25">
      <c r="BS596" t="s">
        <v>137</v>
      </c>
      <c r="BT596">
        <v>25</v>
      </c>
      <c r="BU596" t="s">
        <v>78</v>
      </c>
      <c r="BV596" t="s">
        <v>69</v>
      </c>
    </row>
    <row r="597" spans="71:74" x14ac:dyDescent="0.25">
      <c r="BS597" t="s">
        <v>137</v>
      </c>
      <c r="BT597">
        <v>26</v>
      </c>
      <c r="BU597" t="s">
        <v>72</v>
      </c>
      <c r="BV597" t="s">
        <v>31</v>
      </c>
    </row>
    <row r="598" spans="71:74" x14ac:dyDescent="0.25">
      <c r="BS598" t="s">
        <v>137</v>
      </c>
      <c r="BT598">
        <v>27</v>
      </c>
      <c r="BU598" t="s">
        <v>73</v>
      </c>
      <c r="BV598" t="s">
        <v>31</v>
      </c>
    </row>
    <row r="599" spans="71:74" x14ac:dyDescent="0.25">
      <c r="BS599" t="s">
        <v>137</v>
      </c>
      <c r="BT599">
        <v>28</v>
      </c>
      <c r="BU599" t="s">
        <v>74</v>
      </c>
      <c r="BV599" t="s">
        <v>19</v>
      </c>
    </row>
    <row r="600" spans="71:74" x14ac:dyDescent="0.25">
      <c r="BS600" t="s">
        <v>137</v>
      </c>
      <c r="BT600">
        <v>29</v>
      </c>
      <c r="BU600" t="s">
        <v>75</v>
      </c>
      <c r="BV600" t="s">
        <v>83</v>
      </c>
    </row>
    <row r="601" spans="71:74" x14ac:dyDescent="0.25">
      <c r="BS601" t="s">
        <v>137</v>
      </c>
      <c r="BT601">
        <v>30</v>
      </c>
      <c r="BU601" t="s">
        <v>76</v>
      </c>
      <c r="BV601" t="s">
        <v>32</v>
      </c>
    </row>
    <row r="602" spans="71:74" x14ac:dyDescent="0.25">
      <c r="BS602" t="s">
        <v>146</v>
      </c>
      <c r="BT602">
        <v>1</v>
      </c>
      <c r="BU602" t="s">
        <v>75</v>
      </c>
      <c r="BV602" t="s">
        <v>35</v>
      </c>
    </row>
    <row r="603" spans="71:74" x14ac:dyDescent="0.25">
      <c r="BS603" t="s">
        <v>146</v>
      </c>
      <c r="BT603">
        <v>2</v>
      </c>
      <c r="BU603" t="s">
        <v>76</v>
      </c>
      <c r="BV603" t="s">
        <v>5</v>
      </c>
    </row>
    <row r="604" spans="71:74" x14ac:dyDescent="0.25">
      <c r="BS604" t="s">
        <v>146</v>
      </c>
      <c r="BT604">
        <v>3</v>
      </c>
      <c r="BU604" t="s">
        <v>77</v>
      </c>
      <c r="BV604" t="s">
        <v>5</v>
      </c>
    </row>
    <row r="605" spans="71:74" x14ac:dyDescent="0.25">
      <c r="BS605" t="s">
        <v>146</v>
      </c>
      <c r="BT605">
        <v>4</v>
      </c>
      <c r="BU605" t="s">
        <v>78</v>
      </c>
      <c r="BV605" t="s">
        <v>5</v>
      </c>
    </row>
    <row r="606" spans="71:74" x14ac:dyDescent="0.25">
      <c r="BS606" t="s">
        <v>146</v>
      </c>
      <c r="BT606">
        <v>5</v>
      </c>
      <c r="BU606" t="s">
        <v>72</v>
      </c>
      <c r="BV606" t="s">
        <v>5</v>
      </c>
    </row>
    <row r="607" spans="71:74" x14ac:dyDescent="0.25">
      <c r="BS607" t="s">
        <v>146</v>
      </c>
      <c r="BT607">
        <v>6</v>
      </c>
      <c r="BU607" t="s">
        <v>73</v>
      </c>
      <c r="BV607" t="s">
        <v>31</v>
      </c>
    </row>
    <row r="608" spans="71:74" x14ac:dyDescent="0.25">
      <c r="BS608" t="s">
        <v>146</v>
      </c>
      <c r="BT608">
        <v>7</v>
      </c>
      <c r="BU608" t="s">
        <v>74</v>
      </c>
      <c r="BV608" t="s">
        <v>83</v>
      </c>
    </row>
    <row r="609" spans="71:74" x14ac:dyDescent="0.25">
      <c r="BS609" t="s">
        <v>146</v>
      </c>
      <c r="BT609">
        <v>8</v>
      </c>
      <c r="BU609" t="s">
        <v>75</v>
      </c>
      <c r="BV609" t="s">
        <v>83</v>
      </c>
    </row>
    <row r="610" spans="71:74" x14ac:dyDescent="0.25">
      <c r="BS610" t="s">
        <v>146</v>
      </c>
      <c r="BT610">
        <v>9</v>
      </c>
      <c r="BU610" t="s">
        <v>76</v>
      </c>
      <c r="BV610" t="s">
        <v>5</v>
      </c>
    </row>
    <row r="611" spans="71:74" x14ac:dyDescent="0.25">
      <c r="BS611" t="s">
        <v>146</v>
      </c>
      <c r="BT611">
        <v>10</v>
      </c>
      <c r="BU611" t="s">
        <v>77</v>
      </c>
      <c r="BV611" t="s">
        <v>31</v>
      </c>
    </row>
    <row r="612" spans="71:74" x14ac:dyDescent="0.25">
      <c r="BS612" t="s">
        <v>146</v>
      </c>
      <c r="BT612">
        <v>11</v>
      </c>
      <c r="BU612" t="s">
        <v>78</v>
      </c>
      <c r="BV612" t="s">
        <v>5</v>
      </c>
    </row>
    <row r="613" spans="71:74" x14ac:dyDescent="0.25">
      <c r="BS613" t="s">
        <v>146</v>
      </c>
      <c r="BT613">
        <v>12</v>
      </c>
      <c r="BU613" t="s">
        <v>72</v>
      </c>
      <c r="BV613" t="s">
        <v>5</v>
      </c>
    </row>
    <row r="614" spans="71:74" x14ac:dyDescent="0.25">
      <c r="BS614" t="s">
        <v>146</v>
      </c>
      <c r="BT614">
        <v>13</v>
      </c>
      <c r="BU614" t="s">
        <v>73</v>
      </c>
      <c r="BV614" t="s">
        <v>31</v>
      </c>
    </row>
    <row r="615" spans="71:74" x14ac:dyDescent="0.25">
      <c r="BS615" t="s">
        <v>146</v>
      </c>
      <c r="BT615">
        <v>14</v>
      </c>
      <c r="BU615" t="s">
        <v>74</v>
      </c>
      <c r="BV615" t="s">
        <v>53</v>
      </c>
    </row>
    <row r="616" spans="71:74" x14ac:dyDescent="0.25">
      <c r="BS616" t="s">
        <v>146</v>
      </c>
      <c r="BT616">
        <v>15</v>
      </c>
      <c r="BU616" t="s">
        <v>75</v>
      </c>
      <c r="BV616" t="s">
        <v>83</v>
      </c>
    </row>
    <row r="617" spans="71:74" x14ac:dyDescent="0.25">
      <c r="BS617" t="s">
        <v>146</v>
      </c>
      <c r="BT617">
        <v>16</v>
      </c>
      <c r="BU617" t="s">
        <v>76</v>
      </c>
      <c r="BV617" t="s">
        <v>83</v>
      </c>
    </row>
    <row r="618" spans="71:74" x14ac:dyDescent="0.25">
      <c r="BS618" t="s">
        <v>146</v>
      </c>
      <c r="BT618">
        <v>17</v>
      </c>
      <c r="BU618" t="s">
        <v>77</v>
      </c>
      <c r="BV618" t="s">
        <v>31</v>
      </c>
    </row>
    <row r="619" spans="71:74" x14ac:dyDescent="0.25">
      <c r="BS619" t="s">
        <v>146</v>
      </c>
      <c r="BT619">
        <v>18</v>
      </c>
      <c r="BU619" t="s">
        <v>78</v>
      </c>
      <c r="BV619" t="s">
        <v>83</v>
      </c>
    </row>
    <row r="620" spans="71:74" x14ac:dyDescent="0.25">
      <c r="BS620" t="s">
        <v>146</v>
      </c>
      <c r="BT620">
        <v>19</v>
      </c>
      <c r="BU620" t="s">
        <v>72</v>
      </c>
      <c r="BV620" t="s">
        <v>5</v>
      </c>
    </row>
    <row r="621" spans="71:74" x14ac:dyDescent="0.25">
      <c r="BS621" t="s">
        <v>146</v>
      </c>
      <c r="BT621">
        <v>20</v>
      </c>
      <c r="BU621" t="s">
        <v>73</v>
      </c>
      <c r="BV621" t="s">
        <v>5</v>
      </c>
    </row>
    <row r="622" spans="71:74" x14ac:dyDescent="0.25">
      <c r="BS622" t="s">
        <v>146</v>
      </c>
      <c r="BT622">
        <v>21</v>
      </c>
      <c r="BU622" t="s">
        <v>74</v>
      </c>
      <c r="BV622" t="s">
        <v>83</v>
      </c>
    </row>
    <row r="623" spans="71:74" x14ac:dyDescent="0.25">
      <c r="BS623" t="s">
        <v>146</v>
      </c>
      <c r="BT623">
        <v>22</v>
      </c>
      <c r="BU623" t="s">
        <v>75</v>
      </c>
      <c r="BV623" t="s">
        <v>83</v>
      </c>
    </row>
    <row r="624" spans="71:74" x14ac:dyDescent="0.25">
      <c r="BS624" t="s">
        <v>146</v>
      </c>
      <c r="BT624">
        <v>23</v>
      </c>
      <c r="BU624" t="s">
        <v>76</v>
      </c>
      <c r="BV624" t="s">
        <v>31</v>
      </c>
    </row>
    <row r="625" spans="71:74" x14ac:dyDescent="0.25">
      <c r="BS625" t="s">
        <v>146</v>
      </c>
      <c r="BT625">
        <v>24</v>
      </c>
      <c r="BU625" t="s">
        <v>77</v>
      </c>
      <c r="BV625" t="s">
        <v>31</v>
      </c>
    </row>
    <row r="626" spans="71:74" x14ac:dyDescent="0.25">
      <c r="BS626" t="s">
        <v>146</v>
      </c>
      <c r="BT626">
        <v>25</v>
      </c>
      <c r="BU626" t="s">
        <v>78</v>
      </c>
      <c r="BV626" t="s">
        <v>32</v>
      </c>
    </row>
    <row r="627" spans="71:74" x14ac:dyDescent="0.25">
      <c r="BS627" t="s">
        <v>146</v>
      </c>
      <c r="BT627">
        <v>26</v>
      </c>
      <c r="BU627" t="s">
        <v>72</v>
      </c>
      <c r="BV627" t="s">
        <v>31</v>
      </c>
    </row>
    <row r="628" spans="71:74" x14ac:dyDescent="0.25">
      <c r="BS628" t="s">
        <v>146</v>
      </c>
      <c r="BT628">
        <v>27</v>
      </c>
      <c r="BU628" t="s">
        <v>73</v>
      </c>
      <c r="BV628" t="s">
        <v>53</v>
      </c>
    </row>
    <row r="629" spans="71:74" x14ac:dyDescent="0.25">
      <c r="BS629" t="s">
        <v>146</v>
      </c>
      <c r="BT629">
        <v>28</v>
      </c>
      <c r="BU629" t="s">
        <v>74</v>
      </c>
      <c r="BV629" t="s">
        <v>83</v>
      </c>
    </row>
    <row r="630" spans="71:74" x14ac:dyDescent="0.25">
      <c r="BS630" t="s">
        <v>146</v>
      </c>
      <c r="BT630">
        <v>29</v>
      </c>
      <c r="BU630" t="s">
        <v>75</v>
      </c>
      <c r="BV630" t="s">
        <v>83</v>
      </c>
    </row>
    <row r="631" spans="71:74" x14ac:dyDescent="0.25">
      <c r="BS631" t="s">
        <v>146</v>
      </c>
      <c r="BT631">
        <v>30</v>
      </c>
      <c r="BU631" t="s">
        <v>76</v>
      </c>
      <c r="BV631" t="s">
        <v>5</v>
      </c>
    </row>
    <row r="632" spans="71:74" x14ac:dyDescent="0.25">
      <c r="BS632" t="s">
        <v>138</v>
      </c>
      <c r="BT632">
        <v>1</v>
      </c>
      <c r="BU632" t="s">
        <v>75</v>
      </c>
      <c r="BV632" t="s">
        <v>26</v>
      </c>
    </row>
    <row r="633" spans="71:74" x14ac:dyDescent="0.25">
      <c r="BS633" t="s">
        <v>138</v>
      </c>
      <c r="BT633">
        <v>2</v>
      </c>
      <c r="BU633" t="s">
        <v>76</v>
      </c>
      <c r="BV633" t="s">
        <v>26</v>
      </c>
    </row>
    <row r="634" spans="71:74" x14ac:dyDescent="0.25">
      <c r="BS634" t="s">
        <v>138</v>
      </c>
      <c r="BT634">
        <v>3</v>
      </c>
      <c r="BU634" t="s">
        <v>77</v>
      </c>
      <c r="BV634" t="s">
        <v>53</v>
      </c>
    </row>
    <row r="635" spans="71:74" x14ac:dyDescent="0.25">
      <c r="BS635" t="s">
        <v>138</v>
      </c>
      <c r="BT635">
        <v>4</v>
      </c>
      <c r="BU635" t="s">
        <v>78</v>
      </c>
      <c r="BV635" t="s">
        <v>65</v>
      </c>
    </row>
    <row r="636" spans="71:74" x14ac:dyDescent="0.25">
      <c r="BS636" t="s">
        <v>138</v>
      </c>
      <c r="BT636">
        <v>5</v>
      </c>
      <c r="BU636" t="s">
        <v>72</v>
      </c>
      <c r="BV636" t="s">
        <v>83</v>
      </c>
    </row>
    <row r="637" spans="71:74" x14ac:dyDescent="0.25">
      <c r="BS637" t="s">
        <v>138</v>
      </c>
      <c r="BT637">
        <v>6</v>
      </c>
      <c r="BU637" t="s">
        <v>73</v>
      </c>
      <c r="BV637" t="s">
        <v>83</v>
      </c>
    </row>
    <row r="638" spans="71:74" x14ac:dyDescent="0.25">
      <c r="BS638" t="s">
        <v>138</v>
      </c>
      <c r="BT638">
        <v>7</v>
      </c>
      <c r="BU638" t="s">
        <v>74</v>
      </c>
      <c r="BV638" t="s">
        <v>84</v>
      </c>
    </row>
    <row r="639" spans="71:74" x14ac:dyDescent="0.25">
      <c r="BS639" t="s">
        <v>138</v>
      </c>
      <c r="BT639">
        <v>8</v>
      </c>
      <c r="BU639" t="s">
        <v>75</v>
      </c>
      <c r="BV639" t="s">
        <v>84</v>
      </c>
    </row>
    <row r="640" spans="71:74" x14ac:dyDescent="0.25">
      <c r="BS640" t="s">
        <v>138</v>
      </c>
      <c r="BT640">
        <v>9</v>
      </c>
      <c r="BU640" t="s">
        <v>76</v>
      </c>
      <c r="BV640" t="s">
        <v>63</v>
      </c>
    </row>
    <row r="641" spans="71:74" x14ac:dyDescent="0.25">
      <c r="BS641" t="s">
        <v>138</v>
      </c>
      <c r="BT641">
        <v>10</v>
      </c>
      <c r="BU641" t="s">
        <v>77</v>
      </c>
      <c r="BV641" t="s">
        <v>63</v>
      </c>
    </row>
    <row r="642" spans="71:74" x14ac:dyDescent="0.25">
      <c r="BS642" t="s">
        <v>138</v>
      </c>
      <c r="BT642">
        <v>11</v>
      </c>
      <c r="BU642" t="s">
        <v>78</v>
      </c>
      <c r="BV642" t="s">
        <v>63</v>
      </c>
    </row>
    <row r="643" spans="71:74" x14ac:dyDescent="0.25">
      <c r="BS643" t="s">
        <v>138</v>
      </c>
      <c r="BT643">
        <v>12</v>
      </c>
      <c r="BU643" t="s">
        <v>72</v>
      </c>
      <c r="BV643" t="s">
        <v>63</v>
      </c>
    </row>
    <row r="644" spans="71:74" x14ac:dyDescent="0.25">
      <c r="BS644" t="s">
        <v>138</v>
      </c>
      <c r="BT644">
        <v>13</v>
      </c>
      <c r="BU644" t="s">
        <v>73</v>
      </c>
      <c r="BV644" t="s">
        <v>63</v>
      </c>
    </row>
    <row r="645" spans="71:74" x14ac:dyDescent="0.25">
      <c r="BS645" t="s">
        <v>138</v>
      </c>
      <c r="BT645">
        <v>14</v>
      </c>
      <c r="BU645" t="s">
        <v>74</v>
      </c>
      <c r="BV645" t="s">
        <v>84</v>
      </c>
    </row>
    <row r="646" spans="71:74" x14ac:dyDescent="0.25">
      <c r="BS646" t="s">
        <v>138</v>
      </c>
      <c r="BT646">
        <v>15</v>
      </c>
      <c r="BU646" t="s">
        <v>75</v>
      </c>
      <c r="BV646" t="s">
        <v>84</v>
      </c>
    </row>
    <row r="647" spans="71:74" x14ac:dyDescent="0.25">
      <c r="BS647" t="s">
        <v>138</v>
      </c>
      <c r="BT647">
        <v>16</v>
      </c>
      <c r="BU647" t="s">
        <v>76</v>
      </c>
      <c r="BV647" t="s">
        <v>63</v>
      </c>
    </row>
    <row r="648" spans="71:74" x14ac:dyDescent="0.25">
      <c r="BS648" t="s">
        <v>138</v>
      </c>
      <c r="BT648">
        <v>17</v>
      </c>
      <c r="BU648" t="s">
        <v>77</v>
      </c>
      <c r="BV648" t="s">
        <v>63</v>
      </c>
    </row>
    <row r="649" spans="71:74" x14ac:dyDescent="0.25">
      <c r="BS649" t="s">
        <v>138</v>
      </c>
      <c r="BT649">
        <v>18</v>
      </c>
      <c r="BU649" t="s">
        <v>78</v>
      </c>
      <c r="BV649" t="s">
        <v>63</v>
      </c>
    </row>
    <row r="650" spans="71:74" x14ac:dyDescent="0.25">
      <c r="BS650" t="s">
        <v>138</v>
      </c>
      <c r="BT650">
        <v>19</v>
      </c>
      <c r="BU650" t="s">
        <v>72</v>
      </c>
      <c r="BV650" t="s">
        <v>63</v>
      </c>
    </row>
    <row r="651" spans="71:74" x14ac:dyDescent="0.25">
      <c r="BS651" t="s">
        <v>138</v>
      </c>
      <c r="BT651">
        <v>20</v>
      </c>
      <c r="BU651" t="s">
        <v>73</v>
      </c>
      <c r="BV651" t="s">
        <v>63</v>
      </c>
    </row>
    <row r="652" spans="71:74" x14ac:dyDescent="0.25">
      <c r="BS652" t="s">
        <v>138</v>
      </c>
      <c r="BT652">
        <v>21</v>
      </c>
      <c r="BU652" t="s">
        <v>74</v>
      </c>
      <c r="BV652" t="s">
        <v>84</v>
      </c>
    </row>
    <row r="653" spans="71:74" x14ac:dyDescent="0.25">
      <c r="BS653" t="s">
        <v>138</v>
      </c>
      <c r="BT653">
        <v>22</v>
      </c>
      <c r="BU653" t="s">
        <v>75</v>
      </c>
      <c r="BV653" t="s">
        <v>84</v>
      </c>
    </row>
    <row r="654" spans="71:74" x14ac:dyDescent="0.25">
      <c r="BS654" t="s">
        <v>138</v>
      </c>
      <c r="BT654">
        <v>23</v>
      </c>
      <c r="BU654" t="s">
        <v>76</v>
      </c>
      <c r="BV654" t="s">
        <v>63</v>
      </c>
    </row>
    <row r="655" spans="71:74" x14ac:dyDescent="0.25">
      <c r="BS655" t="s">
        <v>138</v>
      </c>
      <c r="BT655">
        <v>24</v>
      </c>
      <c r="BU655" t="s">
        <v>77</v>
      </c>
      <c r="BV655" t="s">
        <v>63</v>
      </c>
    </row>
    <row r="656" spans="71:74" x14ac:dyDescent="0.25">
      <c r="BS656" t="s">
        <v>138</v>
      </c>
      <c r="BT656">
        <v>25</v>
      </c>
      <c r="BU656" t="s">
        <v>78</v>
      </c>
      <c r="BV656" t="s">
        <v>63</v>
      </c>
    </row>
    <row r="657" spans="71:74" x14ac:dyDescent="0.25">
      <c r="BS657" t="s">
        <v>138</v>
      </c>
      <c r="BT657">
        <v>26</v>
      </c>
      <c r="BU657" t="s">
        <v>72</v>
      </c>
      <c r="BV657" t="s">
        <v>63</v>
      </c>
    </row>
    <row r="658" spans="71:74" x14ac:dyDescent="0.25">
      <c r="BS658" t="s">
        <v>138</v>
      </c>
      <c r="BT658">
        <v>27</v>
      </c>
      <c r="BU658" t="s">
        <v>73</v>
      </c>
      <c r="BV658" t="s">
        <v>63</v>
      </c>
    </row>
    <row r="659" spans="71:74" x14ac:dyDescent="0.25">
      <c r="BS659" t="s">
        <v>138</v>
      </c>
      <c r="BT659">
        <v>28</v>
      </c>
      <c r="BU659" t="s">
        <v>74</v>
      </c>
      <c r="BV659" t="s">
        <v>84</v>
      </c>
    </row>
    <row r="660" spans="71:74" x14ac:dyDescent="0.25">
      <c r="BS660" t="s">
        <v>138</v>
      </c>
      <c r="BT660">
        <v>29</v>
      </c>
      <c r="BU660" t="s">
        <v>75</v>
      </c>
      <c r="BV660" t="s">
        <v>371</v>
      </c>
    </row>
    <row r="661" spans="71:74" x14ac:dyDescent="0.25">
      <c r="BS661" t="s">
        <v>138</v>
      </c>
      <c r="BT661">
        <v>30</v>
      </c>
      <c r="BU661" t="s">
        <v>76</v>
      </c>
      <c r="BV661" t="s">
        <v>31</v>
      </c>
    </row>
    <row r="662" spans="71:74" x14ac:dyDescent="0.25">
      <c r="BS662" t="s">
        <v>139</v>
      </c>
      <c r="BT662">
        <v>1</v>
      </c>
      <c r="BU662" t="s">
        <v>75</v>
      </c>
      <c r="BV662" t="s">
        <v>83</v>
      </c>
    </row>
    <row r="663" spans="71:74" x14ac:dyDescent="0.25">
      <c r="BS663" t="s">
        <v>139</v>
      </c>
      <c r="BT663">
        <v>2</v>
      </c>
      <c r="BU663" t="s">
        <v>76</v>
      </c>
      <c r="BV663" t="s">
        <v>17</v>
      </c>
    </row>
    <row r="664" spans="71:74" x14ac:dyDescent="0.25">
      <c r="BS664" t="s">
        <v>139</v>
      </c>
      <c r="BT664">
        <v>3</v>
      </c>
      <c r="BU664" t="s">
        <v>77</v>
      </c>
      <c r="BV664" t="s">
        <v>65</v>
      </c>
    </row>
    <row r="665" spans="71:74" x14ac:dyDescent="0.25">
      <c r="BS665" t="s">
        <v>139</v>
      </c>
      <c r="BT665">
        <v>4</v>
      </c>
      <c r="BU665" t="s">
        <v>78</v>
      </c>
      <c r="BV665" t="s">
        <v>168</v>
      </c>
    </row>
    <row r="666" spans="71:74" x14ac:dyDescent="0.25">
      <c r="BS666" t="s">
        <v>139</v>
      </c>
      <c r="BT666">
        <v>5</v>
      </c>
      <c r="BU666" t="s">
        <v>72</v>
      </c>
      <c r="BV666" t="s">
        <v>26</v>
      </c>
    </row>
    <row r="667" spans="71:74" x14ac:dyDescent="0.25">
      <c r="BS667" t="s">
        <v>139</v>
      </c>
      <c r="BT667">
        <v>6</v>
      </c>
      <c r="BU667" t="s">
        <v>73</v>
      </c>
      <c r="BV667" t="s">
        <v>26</v>
      </c>
    </row>
    <row r="668" spans="71:74" x14ac:dyDescent="0.25">
      <c r="BS668" t="s">
        <v>139</v>
      </c>
      <c r="BT668">
        <v>7</v>
      </c>
      <c r="BU668" t="s">
        <v>74</v>
      </c>
      <c r="BV668" t="s">
        <v>26</v>
      </c>
    </row>
    <row r="669" spans="71:74" x14ac:dyDescent="0.25">
      <c r="BS669" t="s">
        <v>139</v>
      </c>
      <c r="BT669">
        <v>8</v>
      </c>
      <c r="BU669" t="s">
        <v>75</v>
      </c>
      <c r="BV669" t="s">
        <v>26</v>
      </c>
    </row>
    <row r="670" spans="71:74" x14ac:dyDescent="0.25">
      <c r="BS670" t="s">
        <v>139</v>
      </c>
      <c r="BT670">
        <v>9</v>
      </c>
      <c r="BU670" t="s">
        <v>76</v>
      </c>
      <c r="BV670" t="s">
        <v>26</v>
      </c>
    </row>
    <row r="671" spans="71:74" x14ac:dyDescent="0.25">
      <c r="BS671" t="s">
        <v>139</v>
      </c>
      <c r="BT671">
        <v>10</v>
      </c>
      <c r="BU671" t="s">
        <v>77</v>
      </c>
      <c r="BV671" t="s">
        <v>53</v>
      </c>
    </row>
    <row r="672" spans="71:74" x14ac:dyDescent="0.25">
      <c r="BS672" t="s">
        <v>139</v>
      </c>
      <c r="BT672">
        <v>11</v>
      </c>
      <c r="BU672" t="s">
        <v>78</v>
      </c>
      <c r="BV672" t="s">
        <v>65</v>
      </c>
    </row>
    <row r="673" spans="71:74" x14ac:dyDescent="0.25">
      <c r="BS673" t="s">
        <v>139</v>
      </c>
      <c r="BT673">
        <v>12</v>
      </c>
      <c r="BU673" t="s">
        <v>72</v>
      </c>
      <c r="BV673" t="s">
        <v>83</v>
      </c>
    </row>
    <row r="674" spans="71:74" x14ac:dyDescent="0.25">
      <c r="BS674" t="s">
        <v>139</v>
      </c>
      <c r="BT674">
        <v>13</v>
      </c>
      <c r="BU674" t="s">
        <v>73</v>
      </c>
      <c r="BV674" t="s">
        <v>83</v>
      </c>
    </row>
    <row r="675" spans="71:74" x14ac:dyDescent="0.25">
      <c r="BS675" t="s">
        <v>139</v>
      </c>
      <c r="BT675">
        <v>14</v>
      </c>
      <c r="BU675" t="s">
        <v>74</v>
      </c>
      <c r="BV675" t="s">
        <v>83</v>
      </c>
    </row>
    <row r="676" spans="71:74" x14ac:dyDescent="0.25">
      <c r="BS676" t="s">
        <v>139</v>
      </c>
      <c r="BT676">
        <v>15</v>
      </c>
      <c r="BU676" t="s">
        <v>75</v>
      </c>
      <c r="BV676" t="s">
        <v>83</v>
      </c>
    </row>
    <row r="677" spans="71:74" x14ac:dyDescent="0.25">
      <c r="BS677" t="s">
        <v>139</v>
      </c>
      <c r="BT677">
        <v>16</v>
      </c>
      <c r="BU677" t="s">
        <v>76</v>
      </c>
      <c r="BV677" t="s">
        <v>63</v>
      </c>
    </row>
    <row r="678" spans="71:74" x14ac:dyDescent="0.25">
      <c r="BS678" t="s">
        <v>139</v>
      </c>
      <c r="BT678">
        <v>17</v>
      </c>
      <c r="BU678" t="s">
        <v>77</v>
      </c>
      <c r="BV678" t="s">
        <v>63</v>
      </c>
    </row>
    <row r="679" spans="71:74" x14ac:dyDescent="0.25">
      <c r="BS679" t="s">
        <v>139</v>
      </c>
      <c r="BT679">
        <v>18</v>
      </c>
      <c r="BU679" t="s">
        <v>78</v>
      </c>
      <c r="BV679" t="s">
        <v>63</v>
      </c>
    </row>
    <row r="680" spans="71:74" x14ac:dyDescent="0.25">
      <c r="BS680" t="s">
        <v>139</v>
      </c>
      <c r="BT680">
        <v>19</v>
      </c>
      <c r="BU680" t="s">
        <v>72</v>
      </c>
      <c r="BV680" t="s">
        <v>364</v>
      </c>
    </row>
    <row r="681" spans="71:74" x14ac:dyDescent="0.25">
      <c r="BS681" t="s">
        <v>139</v>
      </c>
      <c r="BT681">
        <v>20</v>
      </c>
      <c r="BU681" t="s">
        <v>73</v>
      </c>
      <c r="BV681" t="s">
        <v>65</v>
      </c>
    </row>
    <row r="682" spans="71:74" x14ac:dyDescent="0.25">
      <c r="BS682" t="s">
        <v>139</v>
      </c>
      <c r="BT682">
        <v>21</v>
      </c>
      <c r="BU682" t="s">
        <v>74</v>
      </c>
      <c r="BV682" t="s">
        <v>83</v>
      </c>
    </row>
    <row r="683" spans="71:74" x14ac:dyDescent="0.25">
      <c r="BS683" t="s">
        <v>139</v>
      </c>
      <c r="BT683">
        <v>22</v>
      </c>
      <c r="BU683" t="s">
        <v>75</v>
      </c>
      <c r="BV683" t="s">
        <v>83</v>
      </c>
    </row>
    <row r="684" spans="71:74" x14ac:dyDescent="0.25">
      <c r="BS684" t="s">
        <v>139</v>
      </c>
      <c r="BT684">
        <v>23</v>
      </c>
      <c r="BU684" t="s">
        <v>76</v>
      </c>
      <c r="BV684" t="s">
        <v>53</v>
      </c>
    </row>
    <row r="685" spans="71:74" x14ac:dyDescent="0.25">
      <c r="BS685" t="s">
        <v>139</v>
      </c>
      <c r="BT685">
        <v>24</v>
      </c>
      <c r="BU685" t="s">
        <v>77</v>
      </c>
      <c r="BV685" t="s">
        <v>65</v>
      </c>
    </row>
    <row r="686" spans="71:74" x14ac:dyDescent="0.25">
      <c r="BS686" t="s">
        <v>139</v>
      </c>
      <c r="BT686">
        <v>25</v>
      </c>
      <c r="BU686" t="s">
        <v>78</v>
      </c>
      <c r="BV686" t="s">
        <v>168</v>
      </c>
    </row>
    <row r="687" spans="71:74" x14ac:dyDescent="0.25">
      <c r="BS687" t="s">
        <v>139</v>
      </c>
      <c r="BT687">
        <v>26</v>
      </c>
      <c r="BU687" t="s">
        <v>72</v>
      </c>
      <c r="BV687" t="s">
        <v>26</v>
      </c>
    </row>
    <row r="688" spans="71:74" x14ac:dyDescent="0.25">
      <c r="BS688" t="s">
        <v>139</v>
      </c>
      <c r="BT688">
        <v>27</v>
      </c>
      <c r="BU688" t="s">
        <v>73</v>
      </c>
      <c r="BV688" t="s">
        <v>26</v>
      </c>
    </row>
    <row r="689" spans="71:74" x14ac:dyDescent="0.25">
      <c r="BS689" t="s">
        <v>139</v>
      </c>
      <c r="BT689">
        <v>28</v>
      </c>
      <c r="BU689" t="s">
        <v>74</v>
      </c>
      <c r="BV689" t="s">
        <v>26</v>
      </c>
    </row>
    <row r="690" spans="71:74" x14ac:dyDescent="0.25">
      <c r="BS690" t="s">
        <v>139</v>
      </c>
      <c r="BT690">
        <v>29</v>
      </c>
      <c r="BU690" t="s">
        <v>75</v>
      </c>
      <c r="BV690" t="s">
        <v>26</v>
      </c>
    </row>
    <row r="691" spans="71:74" x14ac:dyDescent="0.25">
      <c r="BS691" t="s">
        <v>139</v>
      </c>
      <c r="BT691">
        <v>30</v>
      </c>
      <c r="BU691" t="s">
        <v>76</v>
      </c>
      <c r="BV691" t="s">
        <v>26</v>
      </c>
    </row>
    <row r="692" spans="71:74" x14ac:dyDescent="0.25">
      <c r="BS692" t="s">
        <v>140</v>
      </c>
      <c r="BT692">
        <v>1</v>
      </c>
      <c r="BU692" t="s">
        <v>75</v>
      </c>
      <c r="BV692" t="s">
        <v>83</v>
      </c>
    </row>
    <row r="693" spans="71:74" x14ac:dyDescent="0.25">
      <c r="BS693" t="s">
        <v>140</v>
      </c>
      <c r="BT693">
        <v>2</v>
      </c>
      <c r="BU693" t="s">
        <v>76</v>
      </c>
      <c r="BV693" t="s">
        <v>31</v>
      </c>
    </row>
    <row r="694" spans="71:74" x14ac:dyDescent="0.25">
      <c r="BS694" t="s">
        <v>140</v>
      </c>
      <c r="BT694">
        <v>3</v>
      </c>
      <c r="BU694" t="s">
        <v>77</v>
      </c>
      <c r="BV694" t="s">
        <v>26</v>
      </c>
    </row>
    <row r="695" spans="71:74" x14ac:dyDescent="0.25">
      <c r="BS695" t="s">
        <v>140</v>
      </c>
      <c r="BT695">
        <v>4</v>
      </c>
      <c r="BU695" t="s">
        <v>78</v>
      </c>
      <c r="BV695" t="s">
        <v>31</v>
      </c>
    </row>
    <row r="696" spans="71:74" x14ac:dyDescent="0.25">
      <c r="BS696" t="s">
        <v>140</v>
      </c>
      <c r="BT696">
        <v>5</v>
      </c>
      <c r="BU696" t="s">
        <v>72</v>
      </c>
      <c r="BV696" t="s">
        <v>53</v>
      </c>
    </row>
    <row r="697" spans="71:74" x14ac:dyDescent="0.25">
      <c r="BS697" t="s">
        <v>140</v>
      </c>
      <c r="BT697">
        <v>6</v>
      </c>
      <c r="BU697" t="s">
        <v>73</v>
      </c>
      <c r="BV697" t="s">
        <v>65</v>
      </c>
    </row>
    <row r="698" spans="71:74" x14ac:dyDescent="0.25">
      <c r="BS698" t="s">
        <v>140</v>
      </c>
      <c r="BT698">
        <v>7</v>
      </c>
      <c r="BU698" t="s">
        <v>74</v>
      </c>
      <c r="BV698" t="s">
        <v>83</v>
      </c>
    </row>
    <row r="699" spans="71:74" x14ac:dyDescent="0.25">
      <c r="BS699" t="s">
        <v>140</v>
      </c>
      <c r="BT699">
        <v>8</v>
      </c>
      <c r="BU699" t="s">
        <v>75</v>
      </c>
      <c r="BV699" t="s">
        <v>83</v>
      </c>
    </row>
    <row r="700" spans="71:74" x14ac:dyDescent="0.25">
      <c r="BS700" t="s">
        <v>140</v>
      </c>
      <c r="BT700">
        <v>9</v>
      </c>
      <c r="BU700" t="s">
        <v>76</v>
      </c>
      <c r="BV700" t="s">
        <v>53</v>
      </c>
    </row>
    <row r="701" spans="71:74" x14ac:dyDescent="0.25">
      <c r="BS701" t="s">
        <v>140</v>
      </c>
      <c r="BT701">
        <v>10</v>
      </c>
      <c r="BU701" t="s">
        <v>77</v>
      </c>
      <c r="BV701" t="s">
        <v>65</v>
      </c>
    </row>
    <row r="702" spans="71:74" x14ac:dyDescent="0.25">
      <c r="BS702" t="s">
        <v>140</v>
      </c>
      <c r="BT702">
        <v>11</v>
      </c>
      <c r="BU702" t="s">
        <v>78</v>
      </c>
      <c r="BV702" t="s">
        <v>168</v>
      </c>
    </row>
    <row r="703" spans="71:74" x14ac:dyDescent="0.25">
      <c r="BS703" t="s">
        <v>140</v>
      </c>
      <c r="BT703">
        <v>12</v>
      </c>
      <c r="BU703" t="s">
        <v>72</v>
      </c>
      <c r="BV703" t="s">
        <v>26</v>
      </c>
    </row>
    <row r="704" spans="71:74" x14ac:dyDescent="0.25">
      <c r="BS704" t="s">
        <v>140</v>
      </c>
      <c r="BT704">
        <v>13</v>
      </c>
      <c r="BU704" t="s">
        <v>73</v>
      </c>
      <c r="BV704" t="s">
        <v>26</v>
      </c>
    </row>
    <row r="705" spans="71:74" x14ac:dyDescent="0.25">
      <c r="BS705" t="s">
        <v>140</v>
      </c>
      <c r="BT705">
        <v>14</v>
      </c>
      <c r="BU705" t="s">
        <v>74</v>
      </c>
      <c r="BV705" t="s">
        <v>26</v>
      </c>
    </row>
    <row r="706" spans="71:74" x14ac:dyDescent="0.25">
      <c r="BS706" t="s">
        <v>140</v>
      </c>
      <c r="BT706">
        <v>15</v>
      </c>
      <c r="BU706" t="s">
        <v>75</v>
      </c>
      <c r="BV706" t="s">
        <v>26</v>
      </c>
    </row>
    <row r="707" spans="71:74" x14ac:dyDescent="0.25">
      <c r="BS707" t="s">
        <v>140</v>
      </c>
      <c r="BT707">
        <v>16</v>
      </c>
      <c r="BU707" t="s">
        <v>76</v>
      </c>
      <c r="BV707" t="s">
        <v>26</v>
      </c>
    </row>
    <row r="708" spans="71:74" x14ac:dyDescent="0.25">
      <c r="BS708" t="s">
        <v>140</v>
      </c>
      <c r="BT708">
        <v>17</v>
      </c>
      <c r="BU708" t="s">
        <v>77</v>
      </c>
      <c r="BV708" t="s">
        <v>53</v>
      </c>
    </row>
    <row r="709" spans="71:74" x14ac:dyDescent="0.25">
      <c r="BS709" t="s">
        <v>140</v>
      </c>
      <c r="BT709">
        <v>18</v>
      </c>
      <c r="BU709" t="s">
        <v>78</v>
      </c>
      <c r="BV709" t="s">
        <v>65</v>
      </c>
    </row>
    <row r="710" spans="71:74" x14ac:dyDescent="0.25">
      <c r="BS710" t="s">
        <v>140</v>
      </c>
      <c r="BT710">
        <v>19</v>
      </c>
      <c r="BU710" t="s">
        <v>72</v>
      </c>
      <c r="BV710" t="s">
        <v>83</v>
      </c>
    </row>
    <row r="711" spans="71:74" x14ac:dyDescent="0.25">
      <c r="BS711" t="s">
        <v>140</v>
      </c>
      <c r="BT711">
        <v>20</v>
      </c>
      <c r="BU711" t="s">
        <v>73</v>
      </c>
      <c r="BV711" t="s">
        <v>83</v>
      </c>
    </row>
    <row r="712" spans="71:74" x14ac:dyDescent="0.25">
      <c r="BS712" t="s">
        <v>140</v>
      </c>
      <c r="BT712">
        <v>21</v>
      </c>
      <c r="BU712" t="s">
        <v>74</v>
      </c>
      <c r="BV712" t="s">
        <v>83</v>
      </c>
    </row>
    <row r="713" spans="71:74" x14ac:dyDescent="0.25">
      <c r="BS713" t="s">
        <v>140</v>
      </c>
      <c r="BT713">
        <v>22</v>
      </c>
      <c r="BU713" t="s">
        <v>75</v>
      </c>
      <c r="BV713" t="s">
        <v>83</v>
      </c>
    </row>
    <row r="714" spans="71:74" x14ac:dyDescent="0.25">
      <c r="BS714" t="s">
        <v>140</v>
      </c>
      <c r="BT714">
        <v>23</v>
      </c>
      <c r="BU714" t="s">
        <v>76</v>
      </c>
      <c r="BV714" t="s">
        <v>17</v>
      </c>
    </row>
    <row r="715" spans="71:74" x14ac:dyDescent="0.25">
      <c r="BS715" t="s">
        <v>140</v>
      </c>
      <c r="BT715">
        <v>24</v>
      </c>
      <c r="BU715" t="s">
        <v>77</v>
      </c>
      <c r="BV715" t="s">
        <v>65</v>
      </c>
    </row>
    <row r="716" spans="71:74" x14ac:dyDescent="0.25">
      <c r="BS716" t="s">
        <v>140</v>
      </c>
      <c r="BT716">
        <v>25</v>
      </c>
      <c r="BU716" t="s">
        <v>78</v>
      </c>
      <c r="BV716" t="s">
        <v>31</v>
      </c>
    </row>
    <row r="717" spans="71:74" x14ac:dyDescent="0.25">
      <c r="BS717" t="s">
        <v>140</v>
      </c>
      <c r="BT717">
        <v>26</v>
      </c>
      <c r="BU717" t="s">
        <v>72</v>
      </c>
      <c r="BV717" t="s">
        <v>43</v>
      </c>
    </row>
    <row r="718" spans="71:74" x14ac:dyDescent="0.25">
      <c r="BS718" t="s">
        <v>140</v>
      </c>
      <c r="BT718">
        <v>27</v>
      </c>
      <c r="BU718" t="s">
        <v>73</v>
      </c>
      <c r="BV718" t="s">
        <v>31</v>
      </c>
    </row>
    <row r="719" spans="71:74" x14ac:dyDescent="0.25">
      <c r="BS719" t="s">
        <v>140</v>
      </c>
      <c r="BT719">
        <v>28</v>
      </c>
      <c r="BU719" t="s">
        <v>74</v>
      </c>
      <c r="BV719" t="s">
        <v>83</v>
      </c>
    </row>
    <row r="720" spans="71:74" x14ac:dyDescent="0.25">
      <c r="BS720" t="s">
        <v>140</v>
      </c>
      <c r="BT720">
        <v>29</v>
      </c>
      <c r="BU720" t="s">
        <v>75</v>
      </c>
      <c r="BV720" t="s">
        <v>83</v>
      </c>
    </row>
    <row r="721" spans="71:74" x14ac:dyDescent="0.25">
      <c r="BS721" t="s">
        <v>140</v>
      </c>
      <c r="BT721">
        <v>30</v>
      </c>
      <c r="BU721" t="s">
        <v>76</v>
      </c>
      <c r="BV721" t="s">
        <v>17</v>
      </c>
    </row>
    <row r="722" spans="71:74" x14ac:dyDescent="0.25">
      <c r="BS722" t="s">
        <v>141</v>
      </c>
      <c r="BT722">
        <v>1</v>
      </c>
      <c r="BU722" t="s">
        <v>75</v>
      </c>
      <c r="BV722" t="s">
        <v>83</v>
      </c>
    </row>
    <row r="723" spans="71:74" x14ac:dyDescent="0.25">
      <c r="BS723" t="s">
        <v>141</v>
      </c>
      <c r="BT723">
        <v>2</v>
      </c>
      <c r="BU723" t="s">
        <v>76</v>
      </c>
      <c r="BV723" t="s">
        <v>43</v>
      </c>
    </row>
    <row r="724" spans="71:74" x14ac:dyDescent="0.25">
      <c r="BS724" t="s">
        <v>141</v>
      </c>
      <c r="BT724">
        <v>3</v>
      </c>
      <c r="BU724" t="s">
        <v>77</v>
      </c>
      <c r="BV724" t="s">
        <v>31</v>
      </c>
    </row>
    <row r="725" spans="71:74" x14ac:dyDescent="0.25">
      <c r="BS725" t="s">
        <v>141</v>
      </c>
      <c r="BT725">
        <v>4</v>
      </c>
      <c r="BU725" t="s">
        <v>78</v>
      </c>
      <c r="BV725" t="s">
        <v>31</v>
      </c>
    </row>
    <row r="726" spans="71:74" x14ac:dyDescent="0.25">
      <c r="BS726" t="s">
        <v>141</v>
      </c>
      <c r="BT726">
        <v>5</v>
      </c>
      <c r="BU726" t="s">
        <v>72</v>
      </c>
      <c r="BV726" t="s">
        <v>364</v>
      </c>
    </row>
    <row r="727" spans="71:74" x14ac:dyDescent="0.25">
      <c r="BS727" t="s">
        <v>141</v>
      </c>
      <c r="BT727">
        <v>6</v>
      </c>
      <c r="BU727" t="s">
        <v>73</v>
      </c>
      <c r="BV727" t="s">
        <v>65</v>
      </c>
    </row>
    <row r="728" spans="71:74" x14ac:dyDescent="0.25">
      <c r="BS728" t="s">
        <v>141</v>
      </c>
      <c r="BT728">
        <v>7</v>
      </c>
      <c r="BU728" t="s">
        <v>74</v>
      </c>
      <c r="BV728" t="s">
        <v>83</v>
      </c>
    </row>
    <row r="729" spans="71:74" x14ac:dyDescent="0.25">
      <c r="BS729" t="s">
        <v>141</v>
      </c>
      <c r="BT729">
        <v>8</v>
      </c>
      <c r="BU729" t="s">
        <v>75</v>
      </c>
      <c r="BV729" t="s">
        <v>83</v>
      </c>
    </row>
    <row r="730" spans="71:74" x14ac:dyDescent="0.25">
      <c r="BS730" t="s">
        <v>141</v>
      </c>
      <c r="BT730">
        <v>9</v>
      </c>
      <c r="BU730" t="s">
        <v>76</v>
      </c>
      <c r="BV730" t="s">
        <v>31</v>
      </c>
    </row>
    <row r="731" spans="71:74" x14ac:dyDescent="0.25">
      <c r="BS731" t="s">
        <v>141</v>
      </c>
      <c r="BT731">
        <v>10</v>
      </c>
      <c r="BU731" t="s">
        <v>77</v>
      </c>
      <c r="BV731" t="s">
        <v>365</v>
      </c>
    </row>
    <row r="732" spans="71:74" x14ac:dyDescent="0.25">
      <c r="BS732" t="s">
        <v>141</v>
      </c>
      <c r="BT732">
        <v>11</v>
      </c>
      <c r="BU732" t="s">
        <v>78</v>
      </c>
      <c r="BV732" t="s">
        <v>31</v>
      </c>
    </row>
    <row r="733" spans="71:74" x14ac:dyDescent="0.25">
      <c r="BS733" t="s">
        <v>141</v>
      </c>
      <c r="BT733">
        <v>12</v>
      </c>
      <c r="BU733" t="s">
        <v>72</v>
      </c>
      <c r="BV733" t="s">
        <v>31</v>
      </c>
    </row>
    <row r="734" spans="71:74" x14ac:dyDescent="0.25">
      <c r="BS734" t="s">
        <v>141</v>
      </c>
      <c r="BT734">
        <v>13</v>
      </c>
      <c r="BU734" t="s">
        <v>73</v>
      </c>
      <c r="BV734" t="s">
        <v>69</v>
      </c>
    </row>
    <row r="735" spans="71:74" x14ac:dyDescent="0.25">
      <c r="BS735" t="s">
        <v>141</v>
      </c>
      <c r="BT735">
        <v>14</v>
      </c>
      <c r="BU735" t="s">
        <v>74</v>
      </c>
      <c r="BV735" t="s">
        <v>69</v>
      </c>
    </row>
    <row r="736" spans="71:74" x14ac:dyDescent="0.25">
      <c r="BS736" t="s">
        <v>141</v>
      </c>
      <c r="BT736">
        <v>15</v>
      </c>
      <c r="BU736" t="s">
        <v>75</v>
      </c>
      <c r="BV736" t="s">
        <v>370</v>
      </c>
    </row>
    <row r="737" spans="71:74" x14ac:dyDescent="0.25">
      <c r="BS737" t="s">
        <v>141</v>
      </c>
      <c r="BT737">
        <v>16</v>
      </c>
      <c r="BU737" t="s">
        <v>76</v>
      </c>
      <c r="BV737" t="s">
        <v>65</v>
      </c>
    </row>
    <row r="738" spans="71:74" x14ac:dyDescent="0.25">
      <c r="BS738" t="s">
        <v>141</v>
      </c>
      <c r="BT738">
        <v>17</v>
      </c>
      <c r="BU738" t="s">
        <v>77</v>
      </c>
      <c r="BV738" t="s">
        <v>83</v>
      </c>
    </row>
    <row r="739" spans="71:74" x14ac:dyDescent="0.25">
      <c r="BS739" t="s">
        <v>141</v>
      </c>
      <c r="BT739">
        <v>18</v>
      </c>
      <c r="BU739" t="s">
        <v>78</v>
      </c>
      <c r="BV739" t="s">
        <v>168</v>
      </c>
    </row>
    <row r="740" spans="71:74" x14ac:dyDescent="0.25">
      <c r="BS740" t="s">
        <v>141</v>
      </c>
      <c r="BT740">
        <v>19</v>
      </c>
      <c r="BU740" t="s">
        <v>72</v>
      </c>
      <c r="BV740" t="s">
        <v>26</v>
      </c>
    </row>
    <row r="741" spans="71:74" x14ac:dyDescent="0.25">
      <c r="BS741" t="s">
        <v>141</v>
      </c>
      <c r="BT741">
        <v>20</v>
      </c>
      <c r="BU741" t="s">
        <v>73</v>
      </c>
      <c r="BV741" t="s">
        <v>26</v>
      </c>
    </row>
    <row r="742" spans="71:74" x14ac:dyDescent="0.25">
      <c r="BS742" t="s">
        <v>141</v>
      </c>
      <c r="BT742">
        <v>21</v>
      </c>
      <c r="BU742" t="s">
        <v>74</v>
      </c>
      <c r="BV742" t="s">
        <v>26</v>
      </c>
    </row>
    <row r="743" spans="71:74" x14ac:dyDescent="0.25">
      <c r="BS743" t="s">
        <v>141</v>
      </c>
      <c r="BT743">
        <v>22</v>
      </c>
      <c r="BU743" t="s">
        <v>75</v>
      </c>
      <c r="BV743" t="s">
        <v>26</v>
      </c>
    </row>
    <row r="744" spans="71:74" x14ac:dyDescent="0.25">
      <c r="BS744" t="s">
        <v>141</v>
      </c>
      <c r="BT744">
        <v>23</v>
      </c>
      <c r="BU744" t="s">
        <v>76</v>
      </c>
      <c r="BV744" t="s">
        <v>26</v>
      </c>
    </row>
    <row r="745" spans="71:74" x14ac:dyDescent="0.25">
      <c r="BS745" t="s">
        <v>141</v>
      </c>
      <c r="BT745">
        <v>24</v>
      </c>
      <c r="BU745" t="s">
        <v>77</v>
      </c>
      <c r="BV745" t="s">
        <v>53</v>
      </c>
    </row>
    <row r="746" spans="71:74" x14ac:dyDescent="0.25">
      <c r="BS746" t="s">
        <v>141</v>
      </c>
      <c r="BT746">
        <v>25</v>
      </c>
      <c r="BU746" t="s">
        <v>78</v>
      </c>
      <c r="BV746" t="s">
        <v>65</v>
      </c>
    </row>
    <row r="747" spans="71:74" x14ac:dyDescent="0.25">
      <c r="BS747" t="s">
        <v>141</v>
      </c>
      <c r="BT747">
        <v>26</v>
      </c>
      <c r="BU747" t="s">
        <v>72</v>
      </c>
      <c r="BV747" t="s">
        <v>83</v>
      </c>
    </row>
    <row r="748" spans="71:74" x14ac:dyDescent="0.25">
      <c r="BS748" t="s">
        <v>141</v>
      </c>
      <c r="BT748">
        <v>27</v>
      </c>
      <c r="BU748" t="s">
        <v>73</v>
      </c>
      <c r="BV748" t="s">
        <v>83</v>
      </c>
    </row>
    <row r="749" spans="71:74" x14ac:dyDescent="0.25">
      <c r="BS749" t="s">
        <v>141</v>
      </c>
      <c r="BT749">
        <v>28</v>
      </c>
      <c r="BU749" t="s">
        <v>74</v>
      </c>
      <c r="BV749" t="s">
        <v>83</v>
      </c>
    </row>
    <row r="750" spans="71:74" x14ac:dyDescent="0.25">
      <c r="BS750" t="s">
        <v>141</v>
      </c>
      <c r="BT750">
        <v>29</v>
      </c>
      <c r="BU750" t="s">
        <v>75</v>
      </c>
      <c r="BV750" t="s">
        <v>83</v>
      </c>
    </row>
    <row r="751" spans="71:74" x14ac:dyDescent="0.25">
      <c r="BS751" t="s">
        <v>141</v>
      </c>
      <c r="BT751">
        <v>30</v>
      </c>
      <c r="BU751" t="s">
        <v>76</v>
      </c>
      <c r="BV751" t="s">
        <v>31</v>
      </c>
    </row>
    <row r="752" spans="71:74" x14ac:dyDescent="0.25">
      <c r="BS752" t="s">
        <v>335</v>
      </c>
      <c r="BT752">
        <v>1</v>
      </c>
      <c r="BU752" t="s">
        <v>75</v>
      </c>
      <c r="BV752" t="s">
        <v>19</v>
      </c>
    </row>
    <row r="753" spans="71:74" x14ac:dyDescent="0.25">
      <c r="BS753" t="s">
        <v>335</v>
      </c>
      <c r="BT753">
        <v>2</v>
      </c>
      <c r="BU753" t="s">
        <v>76</v>
      </c>
      <c r="BV753" t="s">
        <v>65</v>
      </c>
    </row>
    <row r="754" spans="71:74" x14ac:dyDescent="0.25">
      <c r="BS754" t="s">
        <v>335</v>
      </c>
      <c r="BT754">
        <v>3</v>
      </c>
      <c r="BU754" t="s">
        <v>77</v>
      </c>
      <c r="BV754" t="s">
        <v>43</v>
      </c>
    </row>
    <row r="755" spans="71:74" x14ac:dyDescent="0.25">
      <c r="BS755" t="s">
        <v>335</v>
      </c>
      <c r="BT755">
        <v>4</v>
      </c>
      <c r="BU755" t="s">
        <v>78</v>
      </c>
      <c r="BV755" t="s">
        <v>31</v>
      </c>
    </row>
    <row r="756" spans="71:74" x14ac:dyDescent="0.25">
      <c r="BS756" t="s">
        <v>335</v>
      </c>
      <c r="BT756">
        <v>5</v>
      </c>
      <c r="BU756" t="s">
        <v>72</v>
      </c>
      <c r="BV756" t="s">
        <v>31</v>
      </c>
    </row>
    <row r="757" spans="71:74" x14ac:dyDescent="0.25">
      <c r="BS757" t="s">
        <v>335</v>
      </c>
      <c r="BT757">
        <v>6</v>
      </c>
      <c r="BU757" t="s">
        <v>73</v>
      </c>
      <c r="BV757" t="s">
        <v>31</v>
      </c>
    </row>
    <row r="758" spans="71:74" x14ac:dyDescent="0.25">
      <c r="BS758" t="s">
        <v>335</v>
      </c>
      <c r="BT758">
        <v>7</v>
      </c>
      <c r="BU758" t="s">
        <v>74</v>
      </c>
      <c r="BV758" t="s">
        <v>83</v>
      </c>
    </row>
    <row r="759" spans="71:74" x14ac:dyDescent="0.25">
      <c r="BS759" t="s">
        <v>335</v>
      </c>
      <c r="BT759">
        <v>8</v>
      </c>
      <c r="BU759" t="s">
        <v>75</v>
      </c>
      <c r="BV759" t="s">
        <v>83</v>
      </c>
    </row>
    <row r="760" spans="71:74" x14ac:dyDescent="0.25">
      <c r="BS760" t="s">
        <v>335</v>
      </c>
      <c r="BT760">
        <v>9</v>
      </c>
      <c r="BU760" t="s">
        <v>76</v>
      </c>
      <c r="BV760" t="s">
        <v>17</v>
      </c>
    </row>
    <row r="761" spans="71:74" x14ac:dyDescent="0.25">
      <c r="BS761" t="s">
        <v>335</v>
      </c>
      <c r="BT761">
        <v>10</v>
      </c>
      <c r="BU761" t="s">
        <v>77</v>
      </c>
      <c r="BV761" t="s">
        <v>65</v>
      </c>
    </row>
    <row r="762" spans="71:74" x14ac:dyDescent="0.25">
      <c r="BS762" t="s">
        <v>335</v>
      </c>
      <c r="BT762">
        <v>11</v>
      </c>
      <c r="BU762" t="s">
        <v>78</v>
      </c>
      <c r="BV762" t="s">
        <v>31</v>
      </c>
    </row>
    <row r="763" spans="71:74" x14ac:dyDescent="0.25">
      <c r="BS763" t="s">
        <v>335</v>
      </c>
      <c r="BT763">
        <v>12</v>
      </c>
      <c r="BU763" t="s">
        <v>72</v>
      </c>
      <c r="BV763" t="s">
        <v>43</v>
      </c>
    </row>
    <row r="764" spans="71:74" x14ac:dyDescent="0.25">
      <c r="BS764" t="s">
        <v>335</v>
      </c>
      <c r="BT764">
        <v>13</v>
      </c>
      <c r="BU764" t="s">
        <v>73</v>
      </c>
      <c r="BV764" t="s">
        <v>17</v>
      </c>
    </row>
    <row r="765" spans="71:74" x14ac:dyDescent="0.25">
      <c r="BS765" t="s">
        <v>335</v>
      </c>
      <c r="BT765">
        <v>14</v>
      </c>
      <c r="BU765" t="s">
        <v>74</v>
      </c>
      <c r="BV765" t="s">
        <v>83</v>
      </c>
    </row>
    <row r="766" spans="71:74" x14ac:dyDescent="0.25">
      <c r="BS766" t="s">
        <v>335</v>
      </c>
      <c r="BT766">
        <v>15</v>
      </c>
      <c r="BU766" t="s">
        <v>75</v>
      </c>
      <c r="BV766" t="s">
        <v>83</v>
      </c>
    </row>
    <row r="767" spans="71:74" x14ac:dyDescent="0.25">
      <c r="BS767" t="s">
        <v>335</v>
      </c>
      <c r="BT767">
        <v>16</v>
      </c>
      <c r="BU767" t="s">
        <v>76</v>
      </c>
      <c r="BV767" t="s">
        <v>31</v>
      </c>
    </row>
    <row r="768" spans="71:74" x14ac:dyDescent="0.25">
      <c r="BS768" t="s">
        <v>335</v>
      </c>
      <c r="BT768">
        <v>17</v>
      </c>
      <c r="BU768" t="s">
        <v>77</v>
      </c>
      <c r="BV768" t="s">
        <v>17</v>
      </c>
    </row>
    <row r="769" spans="71:74" x14ac:dyDescent="0.25">
      <c r="BS769" t="s">
        <v>335</v>
      </c>
      <c r="BT769">
        <v>18</v>
      </c>
      <c r="BU769" t="s">
        <v>78</v>
      </c>
      <c r="BV769" t="s">
        <v>65</v>
      </c>
    </row>
    <row r="770" spans="71:74" x14ac:dyDescent="0.25">
      <c r="BS770" t="s">
        <v>335</v>
      </c>
      <c r="BT770">
        <v>19</v>
      </c>
      <c r="BU770" t="s">
        <v>72</v>
      </c>
      <c r="BV770" t="s">
        <v>31</v>
      </c>
    </row>
    <row r="771" spans="71:74" x14ac:dyDescent="0.25">
      <c r="BS771" t="s">
        <v>335</v>
      </c>
      <c r="BT771">
        <v>20</v>
      </c>
      <c r="BU771" t="s">
        <v>73</v>
      </c>
      <c r="BV771" t="s">
        <v>31</v>
      </c>
    </row>
    <row r="772" spans="71:74" x14ac:dyDescent="0.25">
      <c r="BS772" t="s">
        <v>335</v>
      </c>
      <c r="BT772">
        <v>21</v>
      </c>
      <c r="BU772" t="s">
        <v>74</v>
      </c>
      <c r="BV772" t="s">
        <v>83</v>
      </c>
    </row>
    <row r="773" spans="71:74" x14ac:dyDescent="0.25">
      <c r="BS773" t="s">
        <v>335</v>
      </c>
      <c r="BT773">
        <v>22</v>
      </c>
      <c r="BU773" t="s">
        <v>75</v>
      </c>
      <c r="BV773" t="s">
        <v>83</v>
      </c>
    </row>
    <row r="774" spans="71:74" x14ac:dyDescent="0.25">
      <c r="BS774" t="s">
        <v>335</v>
      </c>
      <c r="BT774">
        <v>23</v>
      </c>
      <c r="BU774" t="s">
        <v>76</v>
      </c>
      <c r="BV774" t="s">
        <v>43</v>
      </c>
    </row>
    <row r="775" spans="71:74" x14ac:dyDescent="0.25">
      <c r="BS775" t="s">
        <v>335</v>
      </c>
      <c r="BT775">
        <v>24</v>
      </c>
      <c r="BU775" t="s">
        <v>77</v>
      </c>
      <c r="BV775" t="s">
        <v>31</v>
      </c>
    </row>
    <row r="776" spans="71:74" x14ac:dyDescent="0.25">
      <c r="BS776" t="s">
        <v>335</v>
      </c>
      <c r="BT776">
        <v>25</v>
      </c>
      <c r="BU776" t="s">
        <v>78</v>
      </c>
      <c r="BV776" t="s">
        <v>43</v>
      </c>
    </row>
    <row r="777" spans="71:74" x14ac:dyDescent="0.25">
      <c r="BS777" t="s">
        <v>335</v>
      </c>
      <c r="BT777">
        <v>26</v>
      </c>
      <c r="BU777" t="s">
        <v>72</v>
      </c>
      <c r="BV777" t="s">
        <v>31</v>
      </c>
    </row>
    <row r="778" spans="71:74" x14ac:dyDescent="0.25">
      <c r="BS778" t="s">
        <v>335</v>
      </c>
      <c r="BT778">
        <v>27</v>
      </c>
      <c r="BU778" t="s">
        <v>73</v>
      </c>
      <c r="BV778" t="s">
        <v>31</v>
      </c>
    </row>
    <row r="779" spans="71:74" x14ac:dyDescent="0.25">
      <c r="BS779" t="s">
        <v>335</v>
      </c>
      <c r="BT779">
        <v>28</v>
      </c>
      <c r="BU779" t="s">
        <v>74</v>
      </c>
      <c r="BV779" t="s">
        <v>19</v>
      </c>
    </row>
    <row r="780" spans="71:74" x14ac:dyDescent="0.25">
      <c r="BS780" t="s">
        <v>335</v>
      </c>
      <c r="BT780">
        <v>29</v>
      </c>
      <c r="BU780" t="s">
        <v>75</v>
      </c>
      <c r="BV780" t="s">
        <v>83</v>
      </c>
    </row>
    <row r="781" spans="71:74" x14ac:dyDescent="0.25">
      <c r="BS781" t="s">
        <v>335</v>
      </c>
      <c r="BT781">
        <v>30</v>
      </c>
      <c r="BU781" t="s">
        <v>76</v>
      </c>
      <c r="BV781" t="s">
        <v>31</v>
      </c>
    </row>
    <row r="782" spans="71:74" x14ac:dyDescent="0.25">
      <c r="BS782" t="s">
        <v>142</v>
      </c>
      <c r="BT782">
        <v>1</v>
      </c>
      <c r="BU782" t="s">
        <v>75</v>
      </c>
      <c r="BV782" t="s">
        <v>83</v>
      </c>
    </row>
    <row r="783" spans="71:74" x14ac:dyDescent="0.25">
      <c r="BS783" t="s">
        <v>142</v>
      </c>
      <c r="BT783">
        <v>2</v>
      </c>
      <c r="BU783" t="s">
        <v>76</v>
      </c>
      <c r="BV783" t="s">
        <v>5</v>
      </c>
    </row>
    <row r="784" spans="71:74" x14ac:dyDescent="0.25">
      <c r="BS784" t="s">
        <v>142</v>
      </c>
      <c r="BT784">
        <v>3</v>
      </c>
      <c r="BU784" t="s">
        <v>77</v>
      </c>
      <c r="BV784" t="s">
        <v>5</v>
      </c>
    </row>
    <row r="785" spans="71:74" x14ac:dyDescent="0.25">
      <c r="BS785" t="s">
        <v>142</v>
      </c>
      <c r="BT785">
        <v>4</v>
      </c>
      <c r="BU785" t="s">
        <v>78</v>
      </c>
      <c r="BV785" t="s">
        <v>53</v>
      </c>
    </row>
    <row r="786" spans="71:74" x14ac:dyDescent="0.25">
      <c r="BS786" t="s">
        <v>142</v>
      </c>
      <c r="BT786">
        <v>5</v>
      </c>
      <c r="BU786" t="s">
        <v>72</v>
      </c>
      <c r="BV786" t="s">
        <v>65</v>
      </c>
    </row>
    <row r="787" spans="71:74" x14ac:dyDescent="0.25">
      <c r="BS787" t="s">
        <v>142</v>
      </c>
      <c r="BT787">
        <v>6</v>
      </c>
      <c r="BU787" t="s">
        <v>73</v>
      </c>
      <c r="BV787" t="s">
        <v>80</v>
      </c>
    </row>
    <row r="788" spans="71:74" x14ac:dyDescent="0.25">
      <c r="BS788" t="s">
        <v>142</v>
      </c>
      <c r="BT788">
        <v>7</v>
      </c>
      <c r="BU788" t="s">
        <v>74</v>
      </c>
      <c r="BV788" t="s">
        <v>83</v>
      </c>
    </row>
    <row r="789" spans="71:74" x14ac:dyDescent="0.25">
      <c r="BS789" t="s">
        <v>142</v>
      </c>
      <c r="BT789">
        <v>8</v>
      </c>
      <c r="BU789" t="s">
        <v>75</v>
      </c>
      <c r="BV789" t="s">
        <v>53</v>
      </c>
    </row>
    <row r="790" spans="71:74" x14ac:dyDescent="0.25">
      <c r="BS790" t="s">
        <v>142</v>
      </c>
      <c r="BT790">
        <v>9</v>
      </c>
      <c r="BU790" t="s">
        <v>76</v>
      </c>
      <c r="BV790" t="s">
        <v>65</v>
      </c>
    </row>
    <row r="791" spans="71:74" x14ac:dyDescent="0.25">
      <c r="BS791" t="s">
        <v>142</v>
      </c>
      <c r="BT791">
        <v>10</v>
      </c>
      <c r="BU791" t="s">
        <v>77</v>
      </c>
      <c r="BV791" t="s">
        <v>83</v>
      </c>
    </row>
    <row r="792" spans="71:74" x14ac:dyDescent="0.25">
      <c r="BS792" t="s">
        <v>142</v>
      </c>
      <c r="BT792">
        <v>11</v>
      </c>
      <c r="BU792" t="s">
        <v>78</v>
      </c>
      <c r="BV792" t="s">
        <v>31</v>
      </c>
    </row>
    <row r="793" spans="71:74" x14ac:dyDescent="0.25">
      <c r="BS793" t="s">
        <v>142</v>
      </c>
      <c r="BT793">
        <v>12</v>
      </c>
      <c r="BU793" t="s">
        <v>72</v>
      </c>
      <c r="BV793" t="s">
        <v>5</v>
      </c>
    </row>
    <row r="794" spans="71:74" x14ac:dyDescent="0.25">
      <c r="BS794" t="s">
        <v>142</v>
      </c>
      <c r="BT794">
        <v>13</v>
      </c>
      <c r="BU794" t="s">
        <v>73</v>
      </c>
      <c r="BV794" t="s">
        <v>31</v>
      </c>
    </row>
    <row r="795" spans="71:74" x14ac:dyDescent="0.25">
      <c r="BS795" t="s">
        <v>142</v>
      </c>
      <c r="BT795">
        <v>14</v>
      </c>
      <c r="BU795" t="s">
        <v>74</v>
      </c>
      <c r="BV795" t="s">
        <v>83</v>
      </c>
    </row>
    <row r="796" spans="71:74" x14ac:dyDescent="0.25">
      <c r="BS796" t="s">
        <v>142</v>
      </c>
      <c r="BT796">
        <v>15</v>
      </c>
      <c r="BU796" t="s">
        <v>75</v>
      </c>
      <c r="BV796" t="s">
        <v>83</v>
      </c>
    </row>
    <row r="797" spans="71:74" x14ac:dyDescent="0.25">
      <c r="BS797" t="s">
        <v>142</v>
      </c>
      <c r="BT797">
        <v>16</v>
      </c>
      <c r="BU797" t="s">
        <v>76</v>
      </c>
      <c r="BV797" t="s">
        <v>31</v>
      </c>
    </row>
    <row r="798" spans="71:74" x14ac:dyDescent="0.25">
      <c r="BS798" t="s">
        <v>142</v>
      </c>
      <c r="BT798">
        <v>17</v>
      </c>
      <c r="BU798" t="s">
        <v>77</v>
      </c>
      <c r="BV798" t="s">
        <v>83</v>
      </c>
    </row>
    <row r="799" spans="71:74" x14ac:dyDescent="0.25">
      <c r="BS799" t="s">
        <v>142</v>
      </c>
      <c r="BT799">
        <v>18</v>
      </c>
      <c r="BU799" t="s">
        <v>78</v>
      </c>
      <c r="BV799" t="s">
        <v>5</v>
      </c>
    </row>
    <row r="800" spans="71:74" x14ac:dyDescent="0.25">
      <c r="BS800" t="s">
        <v>142</v>
      </c>
      <c r="BT800">
        <v>19</v>
      </c>
      <c r="BU800" t="s">
        <v>72</v>
      </c>
      <c r="BV800" t="s">
        <v>31</v>
      </c>
    </row>
    <row r="801" spans="71:74" x14ac:dyDescent="0.25">
      <c r="BS801" t="s">
        <v>142</v>
      </c>
      <c r="BT801">
        <v>20</v>
      </c>
      <c r="BU801" t="s">
        <v>73</v>
      </c>
      <c r="BV801" t="s">
        <v>31</v>
      </c>
    </row>
    <row r="802" spans="71:74" x14ac:dyDescent="0.25">
      <c r="BS802" t="s">
        <v>142</v>
      </c>
      <c r="BT802">
        <v>21</v>
      </c>
      <c r="BU802" t="s">
        <v>74</v>
      </c>
      <c r="BV802" t="s">
        <v>53</v>
      </c>
    </row>
    <row r="803" spans="71:74" x14ac:dyDescent="0.25">
      <c r="BS803" t="s">
        <v>142</v>
      </c>
      <c r="BT803">
        <v>22</v>
      </c>
      <c r="BU803" t="s">
        <v>75</v>
      </c>
      <c r="BV803" t="s">
        <v>83</v>
      </c>
    </row>
    <row r="804" spans="71:74" x14ac:dyDescent="0.25">
      <c r="BS804" t="s">
        <v>142</v>
      </c>
      <c r="BT804">
        <v>23</v>
      </c>
      <c r="BU804" t="s">
        <v>76</v>
      </c>
      <c r="BV804" t="s">
        <v>83</v>
      </c>
    </row>
    <row r="805" spans="71:74" x14ac:dyDescent="0.25">
      <c r="BS805" t="s">
        <v>142</v>
      </c>
      <c r="BT805">
        <v>24</v>
      </c>
      <c r="BU805" t="s">
        <v>77</v>
      </c>
      <c r="BV805" t="s">
        <v>31</v>
      </c>
    </row>
    <row r="806" spans="71:74" x14ac:dyDescent="0.25">
      <c r="BS806" t="s">
        <v>142</v>
      </c>
      <c r="BT806">
        <v>25</v>
      </c>
      <c r="BU806" t="s">
        <v>78</v>
      </c>
      <c r="BV806" t="s">
        <v>31</v>
      </c>
    </row>
    <row r="807" spans="71:74" x14ac:dyDescent="0.25">
      <c r="BS807" t="s">
        <v>142</v>
      </c>
      <c r="BT807">
        <v>26</v>
      </c>
      <c r="BU807" t="s">
        <v>72</v>
      </c>
      <c r="BV807" t="s">
        <v>6</v>
      </c>
    </row>
    <row r="808" spans="71:74" x14ac:dyDescent="0.25">
      <c r="BS808" t="s">
        <v>142</v>
      </c>
      <c r="BT808">
        <v>27</v>
      </c>
      <c r="BU808" t="s">
        <v>73</v>
      </c>
      <c r="BV808" t="s">
        <v>32</v>
      </c>
    </row>
    <row r="809" spans="71:74" x14ac:dyDescent="0.25">
      <c r="BS809" t="s">
        <v>142</v>
      </c>
      <c r="BT809">
        <v>28</v>
      </c>
      <c r="BU809" t="s">
        <v>74</v>
      </c>
      <c r="BV809" t="s">
        <v>83</v>
      </c>
    </row>
    <row r="810" spans="71:74" x14ac:dyDescent="0.25">
      <c r="BS810" t="s">
        <v>142</v>
      </c>
      <c r="BT810">
        <v>29</v>
      </c>
      <c r="BU810" t="s">
        <v>75</v>
      </c>
      <c r="BV810" t="s">
        <v>83</v>
      </c>
    </row>
    <row r="811" spans="71:74" x14ac:dyDescent="0.25">
      <c r="BS811" t="s">
        <v>142</v>
      </c>
      <c r="BT811">
        <v>30</v>
      </c>
      <c r="BU811" t="s">
        <v>76</v>
      </c>
      <c r="BV811" t="s">
        <v>31</v>
      </c>
    </row>
    <row r="812" spans="71:74" x14ac:dyDescent="0.25">
      <c r="BS812" t="s">
        <v>336</v>
      </c>
      <c r="BT812">
        <v>1</v>
      </c>
      <c r="BU812" t="s">
        <v>75</v>
      </c>
      <c r="BV812" t="s">
        <v>83</v>
      </c>
    </row>
    <row r="813" spans="71:74" x14ac:dyDescent="0.25">
      <c r="BS813" t="s">
        <v>336</v>
      </c>
      <c r="BT813">
        <v>2</v>
      </c>
      <c r="BU813" t="s">
        <v>76</v>
      </c>
      <c r="BV813" t="s">
        <v>31</v>
      </c>
    </row>
    <row r="814" spans="71:74" x14ac:dyDescent="0.25">
      <c r="BS814" t="s">
        <v>336</v>
      </c>
      <c r="BT814">
        <v>3</v>
      </c>
      <c r="BU814" t="s">
        <v>77</v>
      </c>
      <c r="BV814" t="s">
        <v>31</v>
      </c>
    </row>
    <row r="815" spans="71:74" x14ac:dyDescent="0.25">
      <c r="BS815" t="s">
        <v>336</v>
      </c>
      <c r="BT815">
        <v>4</v>
      </c>
      <c r="BU815" t="s">
        <v>78</v>
      </c>
      <c r="BV815" t="s">
        <v>31</v>
      </c>
    </row>
    <row r="816" spans="71:74" x14ac:dyDescent="0.25">
      <c r="BS816" t="s">
        <v>336</v>
      </c>
      <c r="BT816">
        <v>5</v>
      </c>
      <c r="BU816" t="s">
        <v>72</v>
      </c>
      <c r="BV816" t="s">
        <v>31</v>
      </c>
    </row>
    <row r="817" spans="71:74" x14ac:dyDescent="0.25">
      <c r="BS817" t="s">
        <v>336</v>
      </c>
      <c r="BT817">
        <v>6</v>
      </c>
      <c r="BU817" t="s">
        <v>73</v>
      </c>
      <c r="BV817" t="s">
        <v>31</v>
      </c>
    </row>
    <row r="818" spans="71:74" x14ac:dyDescent="0.25">
      <c r="BS818" t="s">
        <v>336</v>
      </c>
      <c r="BT818">
        <v>7</v>
      </c>
      <c r="BU818" t="s">
        <v>74</v>
      </c>
      <c r="BV818" t="s">
        <v>83</v>
      </c>
    </row>
    <row r="819" spans="71:74" x14ac:dyDescent="0.25">
      <c r="BS819" t="s">
        <v>336</v>
      </c>
      <c r="BT819">
        <v>8</v>
      </c>
      <c r="BU819" t="s">
        <v>75</v>
      </c>
      <c r="BV819" t="s">
        <v>83</v>
      </c>
    </row>
    <row r="820" spans="71:74" x14ac:dyDescent="0.25">
      <c r="BS820" t="s">
        <v>336</v>
      </c>
      <c r="BT820">
        <v>9</v>
      </c>
      <c r="BU820" t="s">
        <v>76</v>
      </c>
      <c r="BV820" t="s">
        <v>31</v>
      </c>
    </row>
    <row r="821" spans="71:74" x14ac:dyDescent="0.25">
      <c r="BS821" t="s">
        <v>336</v>
      </c>
      <c r="BT821">
        <v>10</v>
      </c>
      <c r="BU821" t="s">
        <v>77</v>
      </c>
      <c r="BV821" t="s">
        <v>31</v>
      </c>
    </row>
    <row r="822" spans="71:74" x14ac:dyDescent="0.25">
      <c r="BS822" t="s">
        <v>336</v>
      </c>
      <c r="BT822">
        <v>11</v>
      </c>
      <c r="BU822" t="s">
        <v>78</v>
      </c>
      <c r="BV822" t="s">
        <v>31</v>
      </c>
    </row>
    <row r="823" spans="71:74" x14ac:dyDescent="0.25">
      <c r="BS823" t="s">
        <v>336</v>
      </c>
      <c r="BT823">
        <v>12</v>
      </c>
      <c r="BU823" t="s">
        <v>72</v>
      </c>
      <c r="BV823" t="s">
        <v>31</v>
      </c>
    </row>
    <row r="824" spans="71:74" x14ac:dyDescent="0.25">
      <c r="BS824" t="s">
        <v>336</v>
      </c>
      <c r="BT824">
        <v>13</v>
      </c>
      <c r="BU824" t="s">
        <v>73</v>
      </c>
      <c r="BV824" t="s">
        <v>80</v>
      </c>
    </row>
    <row r="825" spans="71:74" x14ac:dyDescent="0.25">
      <c r="BS825" t="s">
        <v>336</v>
      </c>
      <c r="BT825">
        <v>14</v>
      </c>
      <c r="BU825" t="s">
        <v>74</v>
      </c>
      <c r="BV825" t="s">
        <v>19</v>
      </c>
    </row>
    <row r="826" spans="71:74" x14ac:dyDescent="0.25">
      <c r="BS826" t="s">
        <v>336</v>
      </c>
      <c r="BT826">
        <v>15</v>
      </c>
      <c r="BU826" t="s">
        <v>75</v>
      </c>
      <c r="BV826" t="s">
        <v>83</v>
      </c>
    </row>
    <row r="827" spans="71:74" x14ac:dyDescent="0.25">
      <c r="BS827" t="s">
        <v>336</v>
      </c>
      <c r="BT827">
        <v>16</v>
      </c>
      <c r="BU827" t="s">
        <v>76</v>
      </c>
      <c r="BV827" t="s">
        <v>31</v>
      </c>
    </row>
    <row r="828" spans="71:74" x14ac:dyDescent="0.25">
      <c r="BS828" t="s">
        <v>336</v>
      </c>
      <c r="BT828">
        <v>17</v>
      </c>
      <c r="BU828" t="s">
        <v>77</v>
      </c>
      <c r="BV828" t="s">
        <v>6</v>
      </c>
    </row>
    <row r="829" spans="71:74" x14ac:dyDescent="0.25">
      <c r="BS829" t="s">
        <v>336</v>
      </c>
      <c r="BT829">
        <v>18</v>
      </c>
      <c r="BU829" t="s">
        <v>78</v>
      </c>
      <c r="BV829" t="s">
        <v>17</v>
      </c>
    </row>
    <row r="830" spans="71:74" x14ac:dyDescent="0.25">
      <c r="BS830" t="s">
        <v>336</v>
      </c>
      <c r="BT830">
        <v>19</v>
      </c>
      <c r="BU830" t="s">
        <v>72</v>
      </c>
      <c r="BV830" t="s">
        <v>65</v>
      </c>
    </row>
    <row r="831" spans="71:74" x14ac:dyDescent="0.25">
      <c r="BS831" t="s">
        <v>336</v>
      </c>
      <c r="BT831">
        <v>20</v>
      </c>
      <c r="BU831" t="s">
        <v>73</v>
      </c>
      <c r="BV831" t="s">
        <v>31</v>
      </c>
    </row>
    <row r="832" spans="71:74" x14ac:dyDescent="0.25">
      <c r="BS832" t="s">
        <v>336</v>
      </c>
      <c r="BT832">
        <v>21</v>
      </c>
      <c r="BU832" t="s">
        <v>74</v>
      </c>
      <c r="BV832" t="s">
        <v>83</v>
      </c>
    </row>
    <row r="833" spans="71:74" x14ac:dyDescent="0.25">
      <c r="BS833" t="s">
        <v>336</v>
      </c>
      <c r="BT833">
        <v>22</v>
      </c>
      <c r="BU833" t="s">
        <v>75</v>
      </c>
      <c r="BV833" t="s">
        <v>83</v>
      </c>
    </row>
    <row r="834" spans="71:74" x14ac:dyDescent="0.25">
      <c r="BS834" t="s">
        <v>336</v>
      </c>
      <c r="BT834">
        <v>23</v>
      </c>
      <c r="BU834" t="s">
        <v>76</v>
      </c>
      <c r="BV834" t="s">
        <v>31</v>
      </c>
    </row>
    <row r="835" spans="71:74" x14ac:dyDescent="0.25">
      <c r="BS835" t="s">
        <v>336</v>
      </c>
      <c r="BT835">
        <v>24</v>
      </c>
      <c r="BU835" t="s">
        <v>77</v>
      </c>
      <c r="BV835" t="s">
        <v>31</v>
      </c>
    </row>
    <row r="836" spans="71:74" x14ac:dyDescent="0.25">
      <c r="BS836" t="s">
        <v>336</v>
      </c>
      <c r="BT836">
        <v>25</v>
      </c>
      <c r="BU836" t="s">
        <v>78</v>
      </c>
      <c r="BV836" t="s">
        <v>31</v>
      </c>
    </row>
    <row r="837" spans="71:74" x14ac:dyDescent="0.25">
      <c r="BS837" t="s">
        <v>336</v>
      </c>
      <c r="BT837">
        <v>26</v>
      </c>
      <c r="BU837" t="s">
        <v>72</v>
      </c>
      <c r="BV837" t="s">
        <v>31</v>
      </c>
    </row>
    <row r="838" spans="71:74" x14ac:dyDescent="0.25">
      <c r="BS838" t="s">
        <v>336</v>
      </c>
      <c r="BT838">
        <v>27</v>
      </c>
      <c r="BU838" t="s">
        <v>73</v>
      </c>
      <c r="BV838" t="s">
        <v>80</v>
      </c>
    </row>
    <row r="839" spans="71:74" x14ac:dyDescent="0.25">
      <c r="BS839" t="s">
        <v>336</v>
      </c>
      <c r="BT839">
        <v>28</v>
      </c>
      <c r="BU839" t="s">
        <v>74</v>
      </c>
      <c r="BV839" t="s">
        <v>83</v>
      </c>
    </row>
    <row r="840" spans="71:74" x14ac:dyDescent="0.25">
      <c r="BS840" t="s">
        <v>336</v>
      </c>
      <c r="BT840">
        <v>29</v>
      </c>
      <c r="BU840" t="s">
        <v>75</v>
      </c>
      <c r="BV840" t="s">
        <v>372</v>
      </c>
    </row>
    <row r="841" spans="71:74" x14ac:dyDescent="0.25">
      <c r="BS841" t="s">
        <v>336</v>
      </c>
      <c r="BT841">
        <v>30</v>
      </c>
      <c r="BU841" t="s">
        <v>76</v>
      </c>
      <c r="BV841" t="s">
        <v>65</v>
      </c>
    </row>
    <row r="842" spans="71:74" x14ac:dyDescent="0.25">
      <c r="BS842" t="s">
        <v>143</v>
      </c>
      <c r="BT842">
        <v>1</v>
      </c>
      <c r="BU842" t="s">
        <v>75</v>
      </c>
      <c r="BV842" t="s">
        <v>83</v>
      </c>
    </row>
    <row r="843" spans="71:74" x14ac:dyDescent="0.25">
      <c r="BS843" t="s">
        <v>143</v>
      </c>
      <c r="BT843">
        <v>2</v>
      </c>
      <c r="BU843" t="s">
        <v>76</v>
      </c>
      <c r="BV843" t="s">
        <v>31</v>
      </c>
    </row>
    <row r="844" spans="71:74" x14ac:dyDescent="0.25">
      <c r="BS844" t="s">
        <v>143</v>
      </c>
      <c r="BT844">
        <v>3</v>
      </c>
      <c r="BU844" t="s">
        <v>77</v>
      </c>
      <c r="BV844" t="s">
        <v>364</v>
      </c>
    </row>
    <row r="845" spans="71:74" x14ac:dyDescent="0.25">
      <c r="BS845" t="s">
        <v>143</v>
      </c>
      <c r="BT845">
        <v>4</v>
      </c>
      <c r="BU845" t="s">
        <v>78</v>
      </c>
      <c r="BV845" t="s">
        <v>65</v>
      </c>
    </row>
    <row r="846" spans="71:74" x14ac:dyDescent="0.25">
      <c r="BS846" t="s">
        <v>143</v>
      </c>
      <c r="BT846">
        <v>5</v>
      </c>
      <c r="BU846" t="s">
        <v>72</v>
      </c>
      <c r="BV846" t="s">
        <v>6</v>
      </c>
    </row>
    <row r="847" spans="71:74" x14ac:dyDescent="0.25">
      <c r="BS847" t="s">
        <v>143</v>
      </c>
      <c r="BT847">
        <v>6</v>
      </c>
      <c r="BU847" t="s">
        <v>73</v>
      </c>
      <c r="BV847" t="s">
        <v>6</v>
      </c>
    </row>
    <row r="848" spans="71:74" x14ac:dyDescent="0.25">
      <c r="BS848" t="s">
        <v>143</v>
      </c>
      <c r="BT848">
        <v>7</v>
      </c>
      <c r="BU848" t="s">
        <v>74</v>
      </c>
      <c r="BV848" t="s">
        <v>83</v>
      </c>
    </row>
    <row r="849" spans="71:74" x14ac:dyDescent="0.25">
      <c r="BS849" t="s">
        <v>143</v>
      </c>
      <c r="BT849">
        <v>8</v>
      </c>
      <c r="BU849" t="s">
        <v>75</v>
      </c>
      <c r="BV849" t="s">
        <v>83</v>
      </c>
    </row>
    <row r="850" spans="71:74" x14ac:dyDescent="0.25">
      <c r="BS850" t="s">
        <v>143</v>
      </c>
      <c r="BT850">
        <v>9</v>
      </c>
      <c r="BU850" t="s">
        <v>76</v>
      </c>
      <c r="BV850" t="s">
        <v>31</v>
      </c>
    </row>
    <row r="851" spans="71:74" x14ac:dyDescent="0.25">
      <c r="BS851" t="s">
        <v>143</v>
      </c>
      <c r="BT851">
        <v>10</v>
      </c>
      <c r="BU851" t="s">
        <v>77</v>
      </c>
      <c r="BV851" t="s">
        <v>364</v>
      </c>
    </row>
    <row r="852" spans="71:74" x14ac:dyDescent="0.25">
      <c r="BS852" t="s">
        <v>143</v>
      </c>
      <c r="BT852">
        <v>11</v>
      </c>
      <c r="BU852" t="s">
        <v>78</v>
      </c>
      <c r="BV852" t="s">
        <v>65</v>
      </c>
    </row>
    <row r="853" spans="71:74" x14ac:dyDescent="0.25">
      <c r="BS853" t="s">
        <v>143</v>
      </c>
      <c r="BT853">
        <v>12</v>
      </c>
      <c r="BU853" t="s">
        <v>72</v>
      </c>
      <c r="BV853" t="s">
        <v>31</v>
      </c>
    </row>
    <row r="854" spans="71:74" x14ac:dyDescent="0.25">
      <c r="BS854" t="s">
        <v>143</v>
      </c>
      <c r="BT854">
        <v>13</v>
      </c>
      <c r="BU854" t="s">
        <v>73</v>
      </c>
      <c r="BV854" t="s">
        <v>31</v>
      </c>
    </row>
    <row r="855" spans="71:74" x14ac:dyDescent="0.25">
      <c r="BS855" t="s">
        <v>143</v>
      </c>
      <c r="BT855">
        <v>14</v>
      </c>
      <c r="BU855" t="s">
        <v>74</v>
      </c>
      <c r="BV855" t="s">
        <v>83</v>
      </c>
    </row>
    <row r="856" spans="71:74" x14ac:dyDescent="0.25">
      <c r="BS856" t="s">
        <v>143</v>
      </c>
      <c r="BT856">
        <v>15</v>
      </c>
      <c r="BU856" t="s">
        <v>75</v>
      </c>
      <c r="BV856" t="s">
        <v>83</v>
      </c>
    </row>
    <row r="857" spans="71:74" x14ac:dyDescent="0.25">
      <c r="BS857" t="s">
        <v>143</v>
      </c>
      <c r="BT857">
        <v>16</v>
      </c>
      <c r="BU857" t="s">
        <v>76</v>
      </c>
      <c r="BV857" t="s">
        <v>365</v>
      </c>
    </row>
    <row r="858" spans="71:74" x14ac:dyDescent="0.25">
      <c r="BS858" t="s">
        <v>143</v>
      </c>
      <c r="BT858">
        <v>17</v>
      </c>
      <c r="BU858" t="s">
        <v>77</v>
      </c>
      <c r="BV858" t="s">
        <v>31</v>
      </c>
    </row>
    <row r="859" spans="71:74" x14ac:dyDescent="0.25">
      <c r="BS859" t="s">
        <v>143</v>
      </c>
      <c r="BT859">
        <v>18</v>
      </c>
      <c r="BU859" t="s">
        <v>78</v>
      </c>
      <c r="BV859" t="s">
        <v>31</v>
      </c>
    </row>
    <row r="860" spans="71:74" x14ac:dyDescent="0.25">
      <c r="BS860" t="s">
        <v>143</v>
      </c>
      <c r="BT860">
        <v>19</v>
      </c>
      <c r="BU860" t="s">
        <v>72</v>
      </c>
      <c r="BV860" t="s">
        <v>31</v>
      </c>
    </row>
    <row r="861" spans="71:74" x14ac:dyDescent="0.25">
      <c r="BS861" t="s">
        <v>143</v>
      </c>
      <c r="BT861">
        <v>20</v>
      </c>
      <c r="BU861" t="s">
        <v>73</v>
      </c>
      <c r="BV861" t="s">
        <v>31</v>
      </c>
    </row>
    <row r="862" spans="71:74" x14ac:dyDescent="0.25">
      <c r="BS862" t="s">
        <v>143</v>
      </c>
      <c r="BT862">
        <v>21</v>
      </c>
      <c r="BU862" t="s">
        <v>74</v>
      </c>
      <c r="BV862" t="s">
        <v>83</v>
      </c>
    </row>
    <row r="863" spans="71:74" x14ac:dyDescent="0.25">
      <c r="BS863" t="s">
        <v>143</v>
      </c>
      <c r="BT863">
        <v>22</v>
      </c>
      <c r="BU863" t="s">
        <v>75</v>
      </c>
      <c r="BV863" t="s">
        <v>370</v>
      </c>
    </row>
    <row r="864" spans="71:74" x14ac:dyDescent="0.25">
      <c r="BS864" t="s">
        <v>143</v>
      </c>
      <c r="BT864">
        <v>23</v>
      </c>
      <c r="BU864" t="s">
        <v>76</v>
      </c>
      <c r="BV864" t="s">
        <v>65</v>
      </c>
    </row>
    <row r="865" spans="71:74" x14ac:dyDescent="0.25">
      <c r="BS865" t="s">
        <v>143</v>
      </c>
      <c r="BT865">
        <v>24</v>
      </c>
      <c r="BU865" t="s">
        <v>77</v>
      </c>
      <c r="BV865" t="s">
        <v>31</v>
      </c>
    </row>
    <row r="866" spans="71:74" x14ac:dyDescent="0.25">
      <c r="BS866" t="s">
        <v>143</v>
      </c>
      <c r="BT866">
        <v>25</v>
      </c>
      <c r="BU866" t="s">
        <v>78</v>
      </c>
      <c r="BV866" t="s">
        <v>31</v>
      </c>
    </row>
    <row r="867" spans="71:74" x14ac:dyDescent="0.25">
      <c r="BS867" t="s">
        <v>143</v>
      </c>
      <c r="BT867">
        <v>26</v>
      </c>
      <c r="BU867" t="s">
        <v>72</v>
      </c>
      <c r="BV867" t="s">
        <v>364</v>
      </c>
    </row>
    <row r="868" spans="71:74" x14ac:dyDescent="0.25">
      <c r="BS868" t="s">
        <v>143</v>
      </c>
      <c r="BT868">
        <v>27</v>
      </c>
      <c r="BU868" t="s">
        <v>73</v>
      </c>
      <c r="BV868" t="s">
        <v>65</v>
      </c>
    </row>
    <row r="869" spans="71:74" x14ac:dyDescent="0.25">
      <c r="BS869" t="s">
        <v>143</v>
      </c>
      <c r="BT869">
        <v>28</v>
      </c>
      <c r="BU869" t="s">
        <v>74</v>
      </c>
      <c r="BV869" t="s">
        <v>84</v>
      </c>
    </row>
    <row r="870" spans="71:74" x14ac:dyDescent="0.25">
      <c r="BS870" s="27" t="s">
        <v>143</v>
      </c>
      <c r="BT870" s="27">
        <v>29</v>
      </c>
      <c r="BU870" s="27" t="s">
        <v>75</v>
      </c>
      <c r="BV870" s="27" t="s">
        <v>84</v>
      </c>
    </row>
    <row r="871" spans="71:74" x14ac:dyDescent="0.25">
      <c r="BS871" s="27" t="s">
        <v>143</v>
      </c>
      <c r="BT871" s="27">
        <v>30</v>
      </c>
      <c r="BU871" s="27" t="s">
        <v>76</v>
      </c>
      <c r="BV871" s="27" t="s">
        <v>63</v>
      </c>
    </row>
    <row r="872" spans="71:74" x14ac:dyDescent="0.25">
      <c r="BS872" s="27" t="s">
        <v>144</v>
      </c>
      <c r="BT872" s="27">
        <v>1</v>
      </c>
      <c r="BU872" s="27" t="s">
        <v>75</v>
      </c>
      <c r="BV872" s="27" t="s">
        <v>83</v>
      </c>
    </row>
    <row r="873" spans="71:74" x14ac:dyDescent="0.25">
      <c r="BS873" s="27" t="s">
        <v>144</v>
      </c>
      <c r="BT873" s="27">
        <v>2</v>
      </c>
      <c r="BU873" s="27" t="s">
        <v>76</v>
      </c>
      <c r="BV873" s="27" t="s">
        <v>6</v>
      </c>
    </row>
    <row r="874" spans="71:74" x14ac:dyDescent="0.25">
      <c r="BS874" s="27" t="s">
        <v>144</v>
      </c>
      <c r="BT874" s="27">
        <v>3</v>
      </c>
      <c r="BU874" s="27" t="s">
        <v>77</v>
      </c>
      <c r="BV874" s="27" t="s">
        <v>6</v>
      </c>
    </row>
    <row r="875" spans="71:74" x14ac:dyDescent="0.25">
      <c r="BS875" s="27" t="s">
        <v>144</v>
      </c>
      <c r="BT875" s="27">
        <v>4</v>
      </c>
      <c r="BU875" s="27" t="s">
        <v>78</v>
      </c>
      <c r="BV875" s="27" t="s">
        <v>43</v>
      </c>
    </row>
    <row r="876" spans="71:74" x14ac:dyDescent="0.25">
      <c r="BS876" s="27" t="s">
        <v>144</v>
      </c>
      <c r="BT876" s="27">
        <v>5</v>
      </c>
      <c r="BU876" s="27" t="s">
        <v>72</v>
      </c>
      <c r="BV876" s="27" t="s">
        <v>31</v>
      </c>
    </row>
    <row r="877" spans="71:74" x14ac:dyDescent="0.25">
      <c r="BS877" s="27" t="s">
        <v>144</v>
      </c>
      <c r="BT877" s="27">
        <v>6</v>
      </c>
      <c r="BU877" s="27" t="s">
        <v>73</v>
      </c>
      <c r="BV877" s="27" t="s">
        <v>31</v>
      </c>
    </row>
    <row r="878" spans="71:74" x14ac:dyDescent="0.25">
      <c r="BS878" s="27" t="s">
        <v>144</v>
      </c>
      <c r="BT878" s="27">
        <v>7</v>
      </c>
      <c r="BU878" s="27" t="s">
        <v>74</v>
      </c>
      <c r="BV878" s="27" t="s">
        <v>83</v>
      </c>
    </row>
    <row r="879" spans="71:74" x14ac:dyDescent="0.25">
      <c r="BS879" s="27" t="s">
        <v>144</v>
      </c>
      <c r="BT879" s="27">
        <v>8</v>
      </c>
      <c r="BU879" s="27" t="s">
        <v>75</v>
      </c>
      <c r="BV879" s="27" t="s">
        <v>83</v>
      </c>
    </row>
    <row r="880" spans="71:74" x14ac:dyDescent="0.25">
      <c r="BS880" s="27" t="s">
        <v>144</v>
      </c>
      <c r="BT880" s="27">
        <v>9</v>
      </c>
      <c r="BU880" s="27" t="s">
        <v>76</v>
      </c>
      <c r="BV880" s="27" t="s">
        <v>31</v>
      </c>
    </row>
    <row r="881" spans="71:74" x14ac:dyDescent="0.25">
      <c r="BS881" s="27" t="s">
        <v>144</v>
      </c>
      <c r="BT881" s="27">
        <v>10</v>
      </c>
      <c r="BU881" s="27" t="s">
        <v>77</v>
      </c>
      <c r="BV881" s="27" t="s">
        <v>31</v>
      </c>
    </row>
    <row r="882" spans="71:74" x14ac:dyDescent="0.25">
      <c r="BS882" s="27" t="s">
        <v>144</v>
      </c>
      <c r="BT882" s="27">
        <v>11</v>
      </c>
      <c r="BU882" s="27" t="s">
        <v>78</v>
      </c>
      <c r="BV882" s="27" t="s">
        <v>31</v>
      </c>
    </row>
    <row r="883" spans="71:74" x14ac:dyDescent="0.25">
      <c r="BS883" s="27" t="s">
        <v>144</v>
      </c>
      <c r="BT883" s="27">
        <v>12</v>
      </c>
      <c r="BU883" s="27" t="s">
        <v>72</v>
      </c>
      <c r="BV883" s="27" t="s">
        <v>31</v>
      </c>
    </row>
    <row r="884" spans="71:74" x14ac:dyDescent="0.25">
      <c r="BS884" s="27" t="s">
        <v>144</v>
      </c>
      <c r="BT884" s="27">
        <v>13</v>
      </c>
      <c r="BU884" s="27" t="s">
        <v>73</v>
      </c>
      <c r="BV884" s="27" t="s">
        <v>31</v>
      </c>
    </row>
    <row r="885" spans="71:74" x14ac:dyDescent="0.25">
      <c r="BS885" s="27" t="s">
        <v>144</v>
      </c>
      <c r="BT885" s="27">
        <v>14</v>
      </c>
      <c r="BU885" s="27" t="s">
        <v>74</v>
      </c>
      <c r="BV885" s="27" t="s">
        <v>35</v>
      </c>
    </row>
    <row r="886" spans="71:74" x14ac:dyDescent="0.25">
      <c r="BS886" s="27" t="s">
        <v>144</v>
      </c>
      <c r="BT886" s="27">
        <v>15</v>
      </c>
      <c r="BU886" s="27" t="s">
        <v>75</v>
      </c>
      <c r="BV886" s="27" t="s">
        <v>83</v>
      </c>
    </row>
    <row r="887" spans="71:74" x14ac:dyDescent="0.25">
      <c r="BS887" s="27" t="s">
        <v>144</v>
      </c>
      <c r="BT887" s="27">
        <v>16</v>
      </c>
      <c r="BU887" s="27" t="s">
        <v>76</v>
      </c>
      <c r="BV887" s="27" t="s">
        <v>31</v>
      </c>
    </row>
    <row r="888" spans="71:74" x14ac:dyDescent="0.25">
      <c r="BS888" s="27" t="s">
        <v>144</v>
      </c>
      <c r="BT888" s="27">
        <v>17</v>
      </c>
      <c r="BU888" s="27" t="s">
        <v>77</v>
      </c>
      <c r="BV888" s="27" t="s">
        <v>31</v>
      </c>
    </row>
    <row r="889" spans="71:74" x14ac:dyDescent="0.25">
      <c r="BS889" s="27" t="s">
        <v>144</v>
      </c>
      <c r="BT889" s="27">
        <v>18</v>
      </c>
      <c r="BU889" s="27" t="s">
        <v>78</v>
      </c>
      <c r="BV889" s="27" t="s">
        <v>31</v>
      </c>
    </row>
    <row r="890" spans="71:74" x14ac:dyDescent="0.25">
      <c r="BS890" s="27" t="s">
        <v>144</v>
      </c>
      <c r="BT890" s="27">
        <v>19</v>
      </c>
      <c r="BU890" s="27" t="s">
        <v>72</v>
      </c>
      <c r="BV890" s="27" t="s">
        <v>32</v>
      </c>
    </row>
    <row r="891" spans="71:74" x14ac:dyDescent="0.25">
      <c r="BS891" s="27" t="s">
        <v>144</v>
      </c>
      <c r="BT891" s="27">
        <v>20</v>
      </c>
      <c r="BU891" s="27" t="s">
        <v>73</v>
      </c>
      <c r="BV891" s="27" t="s">
        <v>31</v>
      </c>
    </row>
    <row r="892" spans="71:74" x14ac:dyDescent="0.25">
      <c r="BS892" s="27" t="s">
        <v>144</v>
      </c>
      <c r="BT892" s="27">
        <v>21</v>
      </c>
      <c r="BU892" s="27" t="s">
        <v>74</v>
      </c>
      <c r="BV892" s="27" t="s">
        <v>84</v>
      </c>
    </row>
    <row r="893" spans="71:74" x14ac:dyDescent="0.25">
      <c r="BS893" s="27" t="s">
        <v>144</v>
      </c>
      <c r="BT893" s="27">
        <v>22</v>
      </c>
      <c r="BU893" s="27" t="s">
        <v>75</v>
      </c>
      <c r="BV893" s="27" t="s">
        <v>84</v>
      </c>
    </row>
    <row r="894" spans="71:74" x14ac:dyDescent="0.25">
      <c r="BS894" s="27" t="s">
        <v>144</v>
      </c>
      <c r="BT894" s="27">
        <v>23</v>
      </c>
      <c r="BU894" s="27" t="s">
        <v>76</v>
      </c>
      <c r="BV894" s="27" t="s">
        <v>63</v>
      </c>
    </row>
    <row r="895" spans="71:74" x14ac:dyDescent="0.25">
      <c r="BS895" s="27" t="s">
        <v>144</v>
      </c>
      <c r="BT895" s="27">
        <v>24</v>
      </c>
      <c r="BU895" s="27" t="s">
        <v>77</v>
      </c>
      <c r="BV895" s="27" t="s">
        <v>63</v>
      </c>
    </row>
    <row r="896" spans="71:74" x14ac:dyDescent="0.25">
      <c r="BS896" s="27" t="s">
        <v>144</v>
      </c>
      <c r="BT896" s="27">
        <v>25</v>
      </c>
      <c r="BU896" s="27" t="s">
        <v>78</v>
      </c>
      <c r="BV896" s="27" t="s">
        <v>63</v>
      </c>
    </row>
    <row r="897" spans="71:74" x14ac:dyDescent="0.25">
      <c r="BS897" s="27" t="s">
        <v>144</v>
      </c>
      <c r="BT897" s="27">
        <v>26</v>
      </c>
      <c r="BU897" s="27" t="s">
        <v>72</v>
      </c>
      <c r="BV897" s="27" t="s">
        <v>63</v>
      </c>
    </row>
    <row r="898" spans="71:74" x14ac:dyDescent="0.25">
      <c r="BS898" s="27" t="s">
        <v>144</v>
      </c>
      <c r="BT898" s="27">
        <v>27</v>
      </c>
      <c r="BU898" s="27" t="s">
        <v>73</v>
      </c>
      <c r="BV898" s="27" t="s">
        <v>63</v>
      </c>
    </row>
    <row r="899" spans="71:74" x14ac:dyDescent="0.25">
      <c r="BS899" s="27" t="s">
        <v>144</v>
      </c>
      <c r="BT899" s="27">
        <v>28</v>
      </c>
      <c r="BU899" s="27" t="s">
        <v>74</v>
      </c>
      <c r="BV899" s="27" t="s">
        <v>84</v>
      </c>
    </row>
    <row r="900" spans="71:74" x14ac:dyDescent="0.25">
      <c r="BS900" s="27" t="s">
        <v>144</v>
      </c>
      <c r="BT900" s="27">
        <v>29</v>
      </c>
      <c r="BU900" s="27" t="s">
        <v>75</v>
      </c>
      <c r="BV900" s="27" t="s">
        <v>84</v>
      </c>
    </row>
    <row r="901" spans="71:74" x14ac:dyDescent="0.25">
      <c r="BS901" s="27" t="s">
        <v>144</v>
      </c>
      <c r="BT901" s="27">
        <v>30</v>
      </c>
      <c r="BU901" s="27" t="s">
        <v>76</v>
      </c>
      <c r="BV901" s="27" t="s">
        <v>63</v>
      </c>
    </row>
    <row r="902" spans="71:74" x14ac:dyDescent="0.25">
      <c r="BS902" s="27" t="s">
        <v>145</v>
      </c>
      <c r="BT902" s="27">
        <v>1</v>
      </c>
      <c r="BU902" s="27" t="s">
        <v>75</v>
      </c>
      <c r="BV902" s="27" t="s">
        <v>83</v>
      </c>
    </row>
    <row r="903" spans="71:74" x14ac:dyDescent="0.25">
      <c r="BS903" s="27" t="s">
        <v>145</v>
      </c>
      <c r="BT903" s="27">
        <v>2</v>
      </c>
      <c r="BU903" s="27" t="s">
        <v>76</v>
      </c>
      <c r="BV903" s="27" t="s">
        <v>58</v>
      </c>
    </row>
    <row r="904" spans="71:74" x14ac:dyDescent="0.25">
      <c r="BS904" s="27" t="s">
        <v>145</v>
      </c>
      <c r="BT904" s="27">
        <v>3</v>
      </c>
      <c r="BU904" s="27" t="s">
        <v>77</v>
      </c>
      <c r="BV904" s="27" t="s">
        <v>31</v>
      </c>
    </row>
    <row r="905" spans="71:74" x14ac:dyDescent="0.25">
      <c r="BS905" s="27" t="s">
        <v>145</v>
      </c>
      <c r="BT905" s="27">
        <v>4</v>
      </c>
      <c r="BU905" s="27" t="s">
        <v>78</v>
      </c>
      <c r="BV905" s="27" t="s">
        <v>58</v>
      </c>
    </row>
    <row r="906" spans="71:74" x14ac:dyDescent="0.25">
      <c r="BS906" s="27" t="s">
        <v>145</v>
      </c>
      <c r="BT906" s="27">
        <v>5</v>
      </c>
      <c r="BU906" s="27" t="s">
        <v>72</v>
      </c>
      <c r="BV906" s="27" t="s">
        <v>58</v>
      </c>
    </row>
    <row r="907" spans="71:74" x14ac:dyDescent="0.25">
      <c r="BS907" s="27" t="s">
        <v>145</v>
      </c>
      <c r="BT907" s="27">
        <v>6</v>
      </c>
      <c r="BU907" s="27" t="s">
        <v>73</v>
      </c>
      <c r="BV907" s="27" t="s">
        <v>31</v>
      </c>
    </row>
    <row r="908" spans="71:74" x14ac:dyDescent="0.25">
      <c r="BS908" s="27" t="s">
        <v>145</v>
      </c>
      <c r="BT908" s="27">
        <v>7</v>
      </c>
      <c r="BU908" s="27" t="s">
        <v>74</v>
      </c>
      <c r="BV908" s="27" t="s">
        <v>83</v>
      </c>
    </row>
    <row r="909" spans="71:74" x14ac:dyDescent="0.25">
      <c r="BS909" s="27" t="s">
        <v>145</v>
      </c>
      <c r="BT909" s="27">
        <v>8</v>
      </c>
      <c r="BU909" s="27" t="s">
        <v>75</v>
      </c>
      <c r="BV909" s="27" t="s">
        <v>83</v>
      </c>
    </row>
    <row r="910" spans="71:74" x14ac:dyDescent="0.25">
      <c r="BS910" s="27" t="s">
        <v>145</v>
      </c>
      <c r="BT910" s="27">
        <v>9</v>
      </c>
      <c r="BU910" s="27" t="s">
        <v>76</v>
      </c>
      <c r="BV910" s="27" t="s">
        <v>31</v>
      </c>
    </row>
    <row r="911" spans="71:74" x14ac:dyDescent="0.25">
      <c r="BS911" s="27" t="s">
        <v>145</v>
      </c>
      <c r="BT911" s="27">
        <v>10</v>
      </c>
      <c r="BU911" s="27" t="s">
        <v>77</v>
      </c>
      <c r="BV911" s="27" t="s">
        <v>58</v>
      </c>
    </row>
    <row r="912" spans="71:74" x14ac:dyDescent="0.25">
      <c r="BS912" s="27" t="s">
        <v>145</v>
      </c>
      <c r="BT912" s="27">
        <v>11</v>
      </c>
      <c r="BU912" s="27" t="s">
        <v>78</v>
      </c>
      <c r="BV912" s="27" t="s">
        <v>31</v>
      </c>
    </row>
    <row r="913" spans="71:74" x14ac:dyDescent="0.25">
      <c r="BS913" s="27" t="s">
        <v>145</v>
      </c>
      <c r="BT913" s="27">
        <v>12</v>
      </c>
      <c r="BU913" s="27" t="s">
        <v>72</v>
      </c>
      <c r="BV913" s="27" t="s">
        <v>31</v>
      </c>
    </row>
    <row r="914" spans="71:74" x14ac:dyDescent="0.25">
      <c r="BS914" s="27" t="s">
        <v>145</v>
      </c>
      <c r="BT914" s="27">
        <v>13</v>
      </c>
      <c r="BU914" s="27" t="s">
        <v>73</v>
      </c>
      <c r="BV914" s="27" t="s">
        <v>58</v>
      </c>
    </row>
    <row r="915" spans="71:74" x14ac:dyDescent="0.25">
      <c r="BS915" s="27" t="s">
        <v>145</v>
      </c>
      <c r="BT915" s="27">
        <v>14</v>
      </c>
      <c r="BU915" s="27" t="s">
        <v>74</v>
      </c>
      <c r="BV915" s="27" t="s">
        <v>83</v>
      </c>
    </row>
    <row r="916" spans="71:74" x14ac:dyDescent="0.25">
      <c r="BS916" s="27" t="s">
        <v>145</v>
      </c>
      <c r="BT916" s="27">
        <v>15</v>
      </c>
      <c r="BU916" s="27" t="s">
        <v>75</v>
      </c>
      <c r="BV916" s="27" t="s">
        <v>83</v>
      </c>
    </row>
    <row r="917" spans="71:74" x14ac:dyDescent="0.25">
      <c r="BS917" s="27" t="s">
        <v>145</v>
      </c>
      <c r="BT917" s="27">
        <v>16</v>
      </c>
      <c r="BU917" s="27" t="s">
        <v>76</v>
      </c>
      <c r="BV917" s="27" t="s">
        <v>31</v>
      </c>
    </row>
    <row r="918" spans="71:74" x14ac:dyDescent="0.25">
      <c r="BS918" s="27" t="s">
        <v>145</v>
      </c>
      <c r="BT918" s="27">
        <v>17</v>
      </c>
      <c r="BU918" s="27" t="s">
        <v>77</v>
      </c>
      <c r="BV918" s="27" t="s">
        <v>31</v>
      </c>
    </row>
    <row r="919" spans="71:74" x14ac:dyDescent="0.25">
      <c r="BS919" s="27" t="s">
        <v>145</v>
      </c>
      <c r="BT919" s="27">
        <v>18</v>
      </c>
      <c r="BU919" s="27" t="s">
        <v>78</v>
      </c>
      <c r="BV919" s="27" t="s">
        <v>31</v>
      </c>
    </row>
    <row r="920" spans="71:74" x14ac:dyDescent="0.25">
      <c r="BS920" s="27" t="s">
        <v>145</v>
      </c>
      <c r="BT920" s="27">
        <v>19</v>
      </c>
      <c r="BU920" s="27" t="s">
        <v>72</v>
      </c>
      <c r="BV920" s="27" t="s">
        <v>31</v>
      </c>
    </row>
    <row r="921" spans="71:74" x14ac:dyDescent="0.25">
      <c r="BS921" s="27" t="s">
        <v>145</v>
      </c>
      <c r="BT921" s="27">
        <v>20</v>
      </c>
      <c r="BU921" s="27" t="s">
        <v>73</v>
      </c>
      <c r="BV921" s="27" t="s">
        <v>31</v>
      </c>
    </row>
    <row r="922" spans="71:74" x14ac:dyDescent="0.25">
      <c r="BS922" s="27" t="s">
        <v>145</v>
      </c>
      <c r="BT922" s="27">
        <v>21</v>
      </c>
      <c r="BU922" s="27" t="s">
        <v>74</v>
      </c>
      <c r="BV922" s="27" t="s">
        <v>83</v>
      </c>
    </row>
    <row r="923" spans="71:74" x14ac:dyDescent="0.25">
      <c r="BS923" s="27" t="s">
        <v>145</v>
      </c>
      <c r="BT923" s="27">
        <v>22</v>
      </c>
      <c r="BU923" s="27" t="s">
        <v>75</v>
      </c>
      <c r="BV923" s="27" t="s">
        <v>83</v>
      </c>
    </row>
    <row r="924" spans="71:74" x14ac:dyDescent="0.25">
      <c r="BS924" s="27" t="s">
        <v>145</v>
      </c>
      <c r="BT924" s="27">
        <v>23</v>
      </c>
      <c r="BU924" s="27" t="s">
        <v>76</v>
      </c>
      <c r="BV924" s="27" t="s">
        <v>31</v>
      </c>
    </row>
    <row r="925" spans="71:74" x14ac:dyDescent="0.25">
      <c r="BS925" s="27" t="s">
        <v>145</v>
      </c>
      <c r="BT925" s="27">
        <v>24</v>
      </c>
      <c r="BU925" s="27" t="s">
        <v>77</v>
      </c>
      <c r="BV925" s="27" t="s">
        <v>58</v>
      </c>
    </row>
    <row r="926" spans="71:74" x14ac:dyDescent="0.25">
      <c r="BS926" s="27" t="s">
        <v>145</v>
      </c>
      <c r="BT926" s="27">
        <v>25</v>
      </c>
      <c r="BU926" s="27" t="s">
        <v>78</v>
      </c>
      <c r="BV926" s="27" t="s">
        <v>58</v>
      </c>
    </row>
    <row r="927" spans="71:74" x14ac:dyDescent="0.25">
      <c r="BS927" s="27" t="s">
        <v>145</v>
      </c>
      <c r="BT927" s="27">
        <v>26</v>
      </c>
      <c r="BU927" s="27" t="s">
        <v>72</v>
      </c>
      <c r="BV927" s="27" t="s">
        <v>31</v>
      </c>
    </row>
    <row r="928" spans="71:74" x14ac:dyDescent="0.25">
      <c r="BS928" s="27" t="s">
        <v>145</v>
      </c>
      <c r="BT928" s="27">
        <v>27</v>
      </c>
      <c r="BU928" s="27" t="s">
        <v>73</v>
      </c>
      <c r="BV928" s="27" t="s">
        <v>31</v>
      </c>
    </row>
    <row r="929" spans="71:74" x14ac:dyDescent="0.25">
      <c r="BS929" s="27" t="s">
        <v>145</v>
      </c>
      <c r="BT929" s="27">
        <v>28</v>
      </c>
      <c r="BU929" s="27" t="s">
        <v>74</v>
      </c>
      <c r="BV929" s="27" t="s">
        <v>83</v>
      </c>
    </row>
    <row r="930" spans="71:74" x14ac:dyDescent="0.25">
      <c r="BS930" s="27" t="s">
        <v>145</v>
      </c>
      <c r="BT930" s="27">
        <v>29</v>
      </c>
      <c r="BU930" s="27" t="s">
        <v>75</v>
      </c>
      <c r="BV930" s="27" t="s">
        <v>83</v>
      </c>
    </row>
    <row r="931" spans="71:74" x14ac:dyDescent="0.25">
      <c r="BS931" s="27" t="s">
        <v>145</v>
      </c>
      <c r="BT931" s="27">
        <v>30</v>
      </c>
      <c r="BU931" s="27" t="s">
        <v>76</v>
      </c>
      <c r="BV931" s="27" t="s">
        <v>58</v>
      </c>
    </row>
    <row r="932" spans="71:74" x14ac:dyDescent="0.25">
      <c r="BS932" s="27" t="s">
        <v>143</v>
      </c>
      <c r="BT932" s="27">
        <v>1</v>
      </c>
      <c r="BU932" s="27" t="s">
        <v>77</v>
      </c>
      <c r="BV932" s="27" t="s">
        <v>65</v>
      </c>
    </row>
    <row r="933" spans="71:74" x14ac:dyDescent="0.25">
      <c r="BS933" s="27" t="s">
        <v>143</v>
      </c>
      <c r="BT933" s="27">
        <v>2</v>
      </c>
      <c r="BU933" s="27" t="s">
        <v>78</v>
      </c>
      <c r="BV933" s="27" t="s">
        <v>83</v>
      </c>
    </row>
    <row r="934" spans="71:74" x14ac:dyDescent="0.25">
      <c r="BS934" s="27" t="s">
        <v>143</v>
      </c>
      <c r="BT934" s="27">
        <v>3</v>
      </c>
      <c r="BU934" s="27" t="s">
        <v>72</v>
      </c>
      <c r="BV934" s="27" t="s">
        <v>31</v>
      </c>
    </row>
    <row r="935" spans="71:74" x14ac:dyDescent="0.25">
      <c r="BS935" s="27" t="s">
        <v>143</v>
      </c>
      <c r="BT935" s="27">
        <v>4</v>
      </c>
      <c r="BU935" s="27" t="s">
        <v>73</v>
      </c>
      <c r="BV935" s="27" t="s">
        <v>31</v>
      </c>
    </row>
    <row r="936" spans="71:74" x14ac:dyDescent="0.25">
      <c r="BS936" s="27" t="s">
        <v>143</v>
      </c>
      <c r="BT936" s="27">
        <v>5</v>
      </c>
      <c r="BU936" s="27" t="s">
        <v>74</v>
      </c>
      <c r="BV936" s="27" t="s">
        <v>41</v>
      </c>
    </row>
    <row r="937" spans="71:74" x14ac:dyDescent="0.25">
      <c r="BS937" s="27" t="s">
        <v>143</v>
      </c>
      <c r="BT937" s="27">
        <v>6</v>
      </c>
      <c r="BU937" s="27" t="s">
        <v>75</v>
      </c>
      <c r="BV937" s="27" t="s">
        <v>83</v>
      </c>
    </row>
    <row r="938" spans="71:74" x14ac:dyDescent="0.25">
      <c r="BS938" s="27" t="s">
        <v>143</v>
      </c>
      <c r="BT938" s="27">
        <v>7</v>
      </c>
      <c r="BU938" s="27" t="s">
        <v>76</v>
      </c>
      <c r="BV938" s="27" t="s">
        <v>31</v>
      </c>
    </row>
    <row r="939" spans="71:74" x14ac:dyDescent="0.25">
      <c r="BS939" s="27" t="s">
        <v>143</v>
      </c>
      <c r="BT939" s="27">
        <v>8</v>
      </c>
      <c r="BU939" s="27" t="s">
        <v>77</v>
      </c>
      <c r="BV939" s="27" t="s">
        <v>31</v>
      </c>
    </row>
    <row r="940" spans="71:74" x14ac:dyDescent="0.25">
      <c r="BS940" s="27" t="s">
        <v>143</v>
      </c>
      <c r="BT940" s="27">
        <v>9</v>
      </c>
      <c r="BU940" s="27" t="s">
        <v>78</v>
      </c>
      <c r="BV940" s="27" t="s">
        <v>31</v>
      </c>
    </row>
    <row r="941" spans="71:74" x14ac:dyDescent="0.25">
      <c r="BS941" s="27" t="s">
        <v>143</v>
      </c>
      <c r="BT941" s="27">
        <v>10</v>
      </c>
      <c r="BU941" s="27" t="s">
        <v>72</v>
      </c>
      <c r="BV941" s="27" t="s">
        <v>41</v>
      </c>
    </row>
    <row r="942" spans="71:74" x14ac:dyDescent="0.25">
      <c r="BS942" s="27" t="s">
        <v>143</v>
      </c>
      <c r="BT942" s="27">
        <v>11</v>
      </c>
      <c r="BU942" s="27" t="s">
        <v>73</v>
      </c>
      <c r="BV942" s="27" t="s">
        <v>65</v>
      </c>
    </row>
    <row r="943" spans="71:74" x14ac:dyDescent="0.25">
      <c r="BS943" s="27" t="s">
        <v>143</v>
      </c>
      <c r="BT943" s="27">
        <v>12</v>
      </c>
      <c r="BU943" s="27" t="s">
        <v>74</v>
      </c>
      <c r="BV943" s="27" t="s">
        <v>83</v>
      </c>
    </row>
    <row r="944" spans="71:74" x14ac:dyDescent="0.25">
      <c r="BS944" s="27" t="s">
        <v>143</v>
      </c>
      <c r="BT944" s="27">
        <v>13</v>
      </c>
      <c r="BU944" s="27" t="s">
        <v>75</v>
      </c>
      <c r="BV944" s="27" t="s">
        <v>83</v>
      </c>
    </row>
    <row r="945" spans="71:74" x14ac:dyDescent="0.25">
      <c r="BS945" s="27" t="s">
        <v>143</v>
      </c>
      <c r="BT945" s="27">
        <v>14</v>
      </c>
      <c r="BU945" s="27" t="s">
        <v>76</v>
      </c>
      <c r="BV945" s="27" t="s">
        <v>31</v>
      </c>
    </row>
    <row r="946" spans="71:74" x14ac:dyDescent="0.25">
      <c r="BS946" s="27" t="s">
        <v>143</v>
      </c>
      <c r="BT946" s="27">
        <v>15</v>
      </c>
      <c r="BU946" s="27" t="s">
        <v>77</v>
      </c>
      <c r="BV946" s="27" t="s">
        <v>31</v>
      </c>
    </row>
    <row r="947" spans="71:74" x14ac:dyDescent="0.25">
      <c r="BS947" s="27" t="s">
        <v>143</v>
      </c>
      <c r="BT947" s="27">
        <v>16</v>
      </c>
      <c r="BU947" s="27" t="s">
        <v>78</v>
      </c>
      <c r="BV947" s="27" t="s">
        <v>31</v>
      </c>
    </row>
    <row r="948" spans="71:74" x14ac:dyDescent="0.25">
      <c r="BS948" s="27" t="s">
        <v>143</v>
      </c>
      <c r="BT948" s="27">
        <v>17</v>
      </c>
      <c r="BU948" s="27" t="s">
        <v>72</v>
      </c>
      <c r="BV948" s="27" t="s">
        <v>31</v>
      </c>
    </row>
    <row r="949" spans="71:74" x14ac:dyDescent="0.25">
      <c r="BS949" s="27" t="s">
        <v>143</v>
      </c>
      <c r="BT949" s="27">
        <v>18</v>
      </c>
      <c r="BU949" s="27" t="s">
        <v>73</v>
      </c>
      <c r="BV949" s="27" t="s">
        <v>31</v>
      </c>
    </row>
    <row r="950" spans="71:74" x14ac:dyDescent="0.25">
      <c r="BS950" s="27" t="s">
        <v>143</v>
      </c>
      <c r="BT950" s="27">
        <v>19</v>
      </c>
      <c r="BU950" s="27" t="s">
        <v>74</v>
      </c>
      <c r="BV950" s="27" t="s">
        <v>83</v>
      </c>
    </row>
    <row r="951" spans="71:74" x14ac:dyDescent="0.25">
      <c r="BS951" s="27" t="s">
        <v>143</v>
      </c>
      <c r="BT951" s="27">
        <v>20</v>
      </c>
      <c r="BU951" s="27" t="s">
        <v>75</v>
      </c>
      <c r="BV951" s="27" t="s">
        <v>23</v>
      </c>
    </row>
    <row r="952" spans="71:74" x14ac:dyDescent="0.25">
      <c r="BS952" s="27" t="s">
        <v>143</v>
      </c>
      <c r="BT952" s="27">
        <v>21</v>
      </c>
      <c r="BU952" s="27" t="s">
        <v>76</v>
      </c>
      <c r="BV952" s="27" t="s">
        <v>65</v>
      </c>
    </row>
    <row r="953" spans="71:74" x14ac:dyDescent="0.25">
      <c r="BS953" s="27" t="s">
        <v>143</v>
      </c>
      <c r="BT953" s="27">
        <v>22</v>
      </c>
      <c r="BU953" s="27" t="s">
        <v>77</v>
      </c>
      <c r="BV953" s="27" t="s">
        <v>31</v>
      </c>
    </row>
    <row r="954" spans="71:74" x14ac:dyDescent="0.25">
      <c r="BS954" s="27" t="s">
        <v>143</v>
      </c>
      <c r="BT954" s="27">
        <v>23</v>
      </c>
      <c r="BU954" s="27" t="s">
        <v>78</v>
      </c>
      <c r="BV954" s="27" t="s">
        <v>31</v>
      </c>
    </row>
    <row r="955" spans="71:74" x14ac:dyDescent="0.25">
      <c r="BS955" s="27" t="s">
        <v>143</v>
      </c>
      <c r="BT955" s="27">
        <v>24</v>
      </c>
      <c r="BU955" s="27" t="s">
        <v>72</v>
      </c>
      <c r="BV955" s="27" t="s">
        <v>31</v>
      </c>
    </row>
    <row r="956" spans="71:74" x14ac:dyDescent="0.25">
      <c r="BS956" s="27" t="s">
        <v>143</v>
      </c>
      <c r="BT956" s="27">
        <v>25</v>
      </c>
      <c r="BU956" s="27" t="s">
        <v>73</v>
      </c>
      <c r="BV956" s="27" t="s">
        <v>32</v>
      </c>
    </row>
    <row r="957" spans="71:74" x14ac:dyDescent="0.25">
      <c r="BS957" s="27" t="s">
        <v>143</v>
      </c>
      <c r="BT957" s="27">
        <v>26</v>
      </c>
      <c r="BU957" s="27" t="s">
        <v>74</v>
      </c>
      <c r="BV957" s="27" t="s">
        <v>83</v>
      </c>
    </row>
    <row r="958" spans="71:74" x14ac:dyDescent="0.25">
      <c r="BS958" s="27" t="s">
        <v>143</v>
      </c>
      <c r="BT958" s="27">
        <v>27</v>
      </c>
      <c r="BU958" s="27" t="s">
        <v>75</v>
      </c>
      <c r="BV958" s="27" t="s">
        <v>83</v>
      </c>
    </row>
    <row r="959" spans="71:74" x14ac:dyDescent="0.25">
      <c r="BS959" s="27" t="s">
        <v>143</v>
      </c>
      <c r="BT959" s="27">
        <v>28</v>
      </c>
      <c r="BU959" s="27" t="s">
        <v>76</v>
      </c>
      <c r="BV959" s="27" t="s">
        <v>31</v>
      </c>
    </row>
    <row r="960" spans="71:74" x14ac:dyDescent="0.25">
      <c r="BS960" s="27" t="s">
        <v>143</v>
      </c>
      <c r="BT960" s="27">
        <v>29</v>
      </c>
      <c r="BU960" s="27" t="s">
        <v>77</v>
      </c>
      <c r="BV960" s="27" t="s">
        <v>31</v>
      </c>
    </row>
    <row r="961" spans="71:74" x14ac:dyDescent="0.25">
      <c r="BS961" s="27" t="s">
        <v>143</v>
      </c>
      <c r="BT961" s="27">
        <v>30</v>
      </c>
      <c r="BU961" s="27" t="s">
        <v>78</v>
      </c>
      <c r="BV961" s="27" t="s">
        <v>31</v>
      </c>
    </row>
    <row r="962" spans="71:74" x14ac:dyDescent="0.25">
      <c r="BS962" s="27" t="s">
        <v>144</v>
      </c>
      <c r="BT962" s="27">
        <v>1</v>
      </c>
      <c r="BU962" s="27" t="s">
        <v>77</v>
      </c>
      <c r="BV962" s="27" t="s">
        <v>43</v>
      </c>
    </row>
    <row r="963" spans="71:74" x14ac:dyDescent="0.25">
      <c r="BS963" s="27" t="s">
        <v>144</v>
      </c>
      <c r="BT963" s="27">
        <v>2</v>
      </c>
      <c r="BU963" s="27" t="s">
        <v>78</v>
      </c>
      <c r="BV963" s="27" t="s">
        <v>31</v>
      </c>
    </row>
    <row r="964" spans="71:74" x14ac:dyDescent="0.25">
      <c r="BS964" s="27" t="s">
        <v>144</v>
      </c>
      <c r="BT964" s="27">
        <v>3</v>
      </c>
      <c r="BU964" s="27" t="s">
        <v>72</v>
      </c>
      <c r="BV964" s="27" t="s">
        <v>31</v>
      </c>
    </row>
    <row r="965" spans="71:74" x14ac:dyDescent="0.25">
      <c r="BS965" s="27" t="s">
        <v>144</v>
      </c>
      <c r="BT965" s="27">
        <v>4</v>
      </c>
      <c r="BU965" s="27" t="s">
        <v>73</v>
      </c>
      <c r="BV965" s="27" t="s">
        <v>31</v>
      </c>
    </row>
    <row r="966" spans="71:74" x14ac:dyDescent="0.25">
      <c r="BS966" s="27" t="s">
        <v>144</v>
      </c>
      <c r="BT966" s="27">
        <v>5</v>
      </c>
      <c r="BU966" s="27" t="s">
        <v>74</v>
      </c>
      <c r="BV966" s="27" t="s">
        <v>83</v>
      </c>
    </row>
    <row r="967" spans="71:74" x14ac:dyDescent="0.25">
      <c r="BS967" s="27" t="s">
        <v>144</v>
      </c>
      <c r="BT967" s="27">
        <v>6</v>
      </c>
      <c r="BU967" s="27" t="s">
        <v>75</v>
      </c>
      <c r="BV967" s="27" t="s">
        <v>83</v>
      </c>
    </row>
    <row r="968" spans="71:74" x14ac:dyDescent="0.25">
      <c r="BS968" s="27" t="s">
        <v>144</v>
      </c>
      <c r="BT968" s="27">
        <v>7</v>
      </c>
      <c r="BU968" s="27" t="s">
        <v>76</v>
      </c>
      <c r="BV968" s="27" t="s">
        <v>31</v>
      </c>
    </row>
    <row r="969" spans="71:74" x14ac:dyDescent="0.25">
      <c r="BS969" s="27" t="s">
        <v>144</v>
      </c>
      <c r="BT969" s="27">
        <v>8</v>
      </c>
      <c r="BU969" s="27" t="s">
        <v>77</v>
      </c>
      <c r="BV969" s="27" t="s">
        <v>31</v>
      </c>
    </row>
    <row r="970" spans="71:74" x14ac:dyDescent="0.25">
      <c r="BS970" s="27" t="s">
        <v>144</v>
      </c>
      <c r="BT970" s="27">
        <v>9</v>
      </c>
      <c r="BU970" s="27" t="s">
        <v>78</v>
      </c>
      <c r="BV970" s="27" t="s">
        <v>31</v>
      </c>
    </row>
    <row r="971" spans="71:74" x14ac:dyDescent="0.25">
      <c r="BS971" s="27" t="s">
        <v>144</v>
      </c>
      <c r="BT971" s="27">
        <v>10</v>
      </c>
      <c r="BU971" s="27" t="s">
        <v>72</v>
      </c>
      <c r="BV971" s="27" t="s">
        <v>31</v>
      </c>
    </row>
    <row r="972" spans="71:74" x14ac:dyDescent="0.25">
      <c r="BS972" s="27" t="s">
        <v>144</v>
      </c>
      <c r="BT972" s="27">
        <v>11</v>
      </c>
      <c r="BU972" s="27" t="s">
        <v>73</v>
      </c>
      <c r="BV972" s="27" t="s">
        <v>31</v>
      </c>
    </row>
    <row r="973" spans="71:74" x14ac:dyDescent="0.25">
      <c r="BS973" s="27" t="s">
        <v>144</v>
      </c>
      <c r="BT973" s="27">
        <v>12</v>
      </c>
      <c r="BU973" s="27" t="s">
        <v>74</v>
      </c>
      <c r="BV973" s="27" t="s">
        <v>83</v>
      </c>
    </row>
    <row r="974" spans="71:74" x14ac:dyDescent="0.25">
      <c r="BS974" s="27" t="s">
        <v>144</v>
      </c>
      <c r="BT974" s="27">
        <v>13</v>
      </c>
      <c r="BU974" s="27" t="s">
        <v>75</v>
      </c>
      <c r="BV974" s="27" t="s">
        <v>83</v>
      </c>
    </row>
    <row r="975" spans="71:74" x14ac:dyDescent="0.25">
      <c r="BS975" s="27" t="s">
        <v>144</v>
      </c>
      <c r="BT975" s="27">
        <v>14</v>
      </c>
      <c r="BU975" s="27" t="s">
        <v>76</v>
      </c>
      <c r="BV975" s="27" t="s">
        <v>31</v>
      </c>
    </row>
    <row r="976" spans="71:74" x14ac:dyDescent="0.25">
      <c r="BS976" s="27" t="s">
        <v>144</v>
      </c>
      <c r="BT976" s="27">
        <v>15</v>
      </c>
      <c r="BU976" s="27" t="s">
        <v>77</v>
      </c>
      <c r="BV976" s="27" t="s">
        <v>32</v>
      </c>
    </row>
    <row r="977" spans="71:74" x14ac:dyDescent="0.25">
      <c r="BS977" s="27" t="s">
        <v>144</v>
      </c>
      <c r="BT977" s="27">
        <v>16</v>
      </c>
      <c r="BU977" s="27" t="s">
        <v>78</v>
      </c>
      <c r="BV977" s="27" t="s">
        <v>6</v>
      </c>
    </row>
    <row r="978" spans="71:74" x14ac:dyDescent="0.25">
      <c r="BS978" s="27" t="s">
        <v>144</v>
      </c>
      <c r="BT978" s="27">
        <v>17</v>
      </c>
      <c r="BU978" s="27" t="s">
        <v>72</v>
      </c>
      <c r="BV978" s="27" t="s">
        <v>31</v>
      </c>
    </row>
    <row r="979" spans="71:74" x14ac:dyDescent="0.25">
      <c r="BS979" s="27" t="s">
        <v>144</v>
      </c>
      <c r="BT979" s="27">
        <v>18</v>
      </c>
      <c r="BU979" s="27" t="s">
        <v>73</v>
      </c>
      <c r="BV979" s="27" t="s">
        <v>31</v>
      </c>
    </row>
    <row r="980" spans="71:74" x14ac:dyDescent="0.25">
      <c r="BS980" s="27" t="s">
        <v>144</v>
      </c>
      <c r="BT980" s="27">
        <v>19</v>
      </c>
      <c r="BU980" s="27" t="s">
        <v>74</v>
      </c>
      <c r="BV980" s="27" t="s">
        <v>83</v>
      </c>
    </row>
    <row r="981" spans="71:74" x14ac:dyDescent="0.25">
      <c r="BS981" s="27" t="s">
        <v>144</v>
      </c>
      <c r="BT981" s="27">
        <v>20</v>
      </c>
      <c r="BU981" s="27" t="s">
        <v>75</v>
      </c>
      <c r="BV981" s="27" t="s">
        <v>83</v>
      </c>
    </row>
    <row r="982" spans="71:74" x14ac:dyDescent="0.25">
      <c r="BS982" s="27" t="s">
        <v>144</v>
      </c>
      <c r="BT982" s="27">
        <v>21</v>
      </c>
      <c r="BU982" s="27" t="s">
        <v>76</v>
      </c>
      <c r="BV982" s="27" t="s">
        <v>6</v>
      </c>
    </row>
    <row r="983" spans="71:74" x14ac:dyDescent="0.25">
      <c r="BS983" s="27" t="s">
        <v>144</v>
      </c>
      <c r="BT983" s="27">
        <v>22</v>
      </c>
      <c r="BU983" s="27" t="s">
        <v>77</v>
      </c>
      <c r="BV983" s="27" t="s">
        <v>31</v>
      </c>
    </row>
    <row r="984" spans="71:74" x14ac:dyDescent="0.25">
      <c r="BS984" s="27" t="s">
        <v>144</v>
      </c>
      <c r="BT984" s="27">
        <v>23</v>
      </c>
      <c r="BU984" s="27" t="s">
        <v>78</v>
      </c>
      <c r="BV984" s="27" t="s">
        <v>31</v>
      </c>
    </row>
    <row r="985" spans="71:74" x14ac:dyDescent="0.25">
      <c r="BS985" s="27" t="s">
        <v>144</v>
      </c>
      <c r="BT985" s="27">
        <v>24</v>
      </c>
      <c r="BU985" s="27" t="s">
        <v>72</v>
      </c>
      <c r="BV985" s="27" t="s">
        <v>31</v>
      </c>
    </row>
    <row r="986" spans="71:74" x14ac:dyDescent="0.25">
      <c r="BS986" s="27" t="s">
        <v>144</v>
      </c>
      <c r="BT986" s="27">
        <v>25</v>
      </c>
      <c r="BU986" s="27" t="s">
        <v>73</v>
      </c>
      <c r="BV986" s="27" t="s">
        <v>31</v>
      </c>
    </row>
    <row r="987" spans="71:74" x14ac:dyDescent="0.25">
      <c r="BS987" s="27" t="s">
        <v>144</v>
      </c>
      <c r="BT987" s="27">
        <v>26</v>
      </c>
      <c r="BU987" s="27" t="s">
        <v>74</v>
      </c>
      <c r="BV987" s="27" t="s">
        <v>83</v>
      </c>
    </row>
    <row r="988" spans="71:74" x14ac:dyDescent="0.25">
      <c r="BS988" s="27" t="s">
        <v>144</v>
      </c>
      <c r="BT988" s="27">
        <v>27</v>
      </c>
      <c r="BU988" s="27" t="s">
        <v>75</v>
      </c>
      <c r="BV988" s="27" t="s">
        <v>83</v>
      </c>
    </row>
    <row r="989" spans="71:74" x14ac:dyDescent="0.25">
      <c r="BS989" s="27" t="s">
        <v>144</v>
      </c>
      <c r="BT989" s="27">
        <v>28</v>
      </c>
      <c r="BU989" s="27" t="s">
        <v>76</v>
      </c>
      <c r="BV989" s="27" t="s">
        <v>43</v>
      </c>
    </row>
    <row r="990" spans="71:74" x14ac:dyDescent="0.25">
      <c r="BS990" s="27" t="s">
        <v>144</v>
      </c>
      <c r="BT990" s="27">
        <v>29</v>
      </c>
      <c r="BU990" s="27" t="s">
        <v>77</v>
      </c>
      <c r="BV990" s="27" t="s">
        <v>31</v>
      </c>
    </row>
    <row r="991" spans="71:74" x14ac:dyDescent="0.25">
      <c r="BS991" s="27" t="s">
        <v>144</v>
      </c>
      <c r="BT991" s="27">
        <v>30</v>
      </c>
      <c r="BU991" s="27" t="s">
        <v>78</v>
      </c>
      <c r="BV991" s="27" t="s">
        <v>31</v>
      </c>
    </row>
    <row r="992" spans="71:74" x14ac:dyDescent="0.25">
      <c r="BS992" s="27"/>
      <c r="BT992" s="27"/>
      <c r="BU992" s="27"/>
      <c r="BV992" s="27"/>
    </row>
    <row r="993" spans="71:74" x14ac:dyDescent="0.25">
      <c r="BS993" s="27"/>
      <c r="BT993" s="27"/>
      <c r="BU993" s="27"/>
      <c r="BV993" s="27"/>
    </row>
    <row r="994" spans="71:74" x14ac:dyDescent="0.25">
      <c r="BS994" s="27"/>
      <c r="BT994" s="27"/>
      <c r="BU994" s="27"/>
      <c r="BV994" s="27"/>
    </row>
    <row r="995" spans="71:74" x14ac:dyDescent="0.25">
      <c r="BS995" s="27"/>
      <c r="BT995" s="27"/>
      <c r="BU995" s="27"/>
      <c r="BV995" s="27"/>
    </row>
    <row r="996" spans="71:74" x14ac:dyDescent="0.25">
      <c r="BS996" s="27"/>
      <c r="BT996" s="27"/>
      <c r="BU996" s="27"/>
      <c r="BV996" s="27"/>
    </row>
    <row r="997" spans="71:74" x14ac:dyDescent="0.25">
      <c r="BS997" s="27"/>
      <c r="BT997" s="27"/>
      <c r="BU997" s="27"/>
      <c r="BV997" s="27"/>
    </row>
    <row r="998" spans="71:74" x14ac:dyDescent="0.25">
      <c r="BS998" s="27"/>
      <c r="BT998" s="27"/>
      <c r="BU998" s="27"/>
      <c r="BV998" s="27"/>
    </row>
    <row r="999" spans="71:74" x14ac:dyDescent="0.25">
      <c r="BS999" s="27"/>
      <c r="BT999" s="27"/>
      <c r="BU999" s="27"/>
      <c r="BV999" s="27"/>
    </row>
    <row r="1000" spans="71:74" x14ac:dyDescent="0.25">
      <c r="BS1000" s="27"/>
      <c r="BT1000" s="27"/>
      <c r="BU1000" s="27"/>
      <c r="BV1000" s="27"/>
    </row>
    <row r="1001" spans="71:74" x14ac:dyDescent="0.25">
      <c r="BS1001" s="27"/>
      <c r="BT1001" s="27"/>
      <c r="BU1001" s="27"/>
      <c r="BV1001" s="27"/>
    </row>
    <row r="1002" spans="71:74" x14ac:dyDescent="0.25">
      <c r="BS1002" s="27"/>
      <c r="BT1002" s="27"/>
      <c r="BU1002" s="27"/>
      <c r="BV1002" s="27"/>
    </row>
    <row r="1003" spans="71:74" x14ac:dyDescent="0.25">
      <c r="BS1003" s="27"/>
      <c r="BT1003" s="27"/>
      <c r="BU1003" s="27"/>
      <c r="BV1003" s="27"/>
    </row>
    <row r="1004" spans="71:74" x14ac:dyDescent="0.25">
      <c r="BS1004" s="27"/>
      <c r="BT1004" s="27"/>
      <c r="BU1004" s="27"/>
      <c r="BV1004" s="27"/>
    </row>
    <row r="1005" spans="71:74" x14ac:dyDescent="0.25">
      <c r="BS1005" s="27"/>
      <c r="BT1005" s="27"/>
      <c r="BU1005" s="27"/>
      <c r="BV1005" s="27"/>
    </row>
    <row r="1006" spans="71:74" x14ac:dyDescent="0.25">
      <c r="BS1006" s="27"/>
      <c r="BT1006" s="27"/>
      <c r="BU1006" s="27"/>
      <c r="BV1006" s="27"/>
    </row>
    <row r="1007" spans="71:74" x14ac:dyDescent="0.25">
      <c r="BS1007" s="27"/>
      <c r="BT1007" s="27"/>
      <c r="BU1007" s="27"/>
      <c r="BV1007" s="27"/>
    </row>
    <row r="1008" spans="71:74" x14ac:dyDescent="0.25">
      <c r="BS1008" s="27"/>
      <c r="BT1008" s="27"/>
      <c r="BU1008" s="27"/>
      <c r="BV1008" s="27"/>
    </row>
    <row r="1009" spans="71:74" x14ac:dyDescent="0.25">
      <c r="BS1009" s="27"/>
      <c r="BT1009" s="27"/>
      <c r="BU1009" s="27"/>
      <c r="BV1009" s="27"/>
    </row>
    <row r="1010" spans="71:74" x14ac:dyDescent="0.25">
      <c r="BS1010" s="27"/>
      <c r="BT1010" s="27"/>
      <c r="BU1010" s="27"/>
      <c r="BV1010" s="27"/>
    </row>
    <row r="1011" spans="71:74" x14ac:dyDescent="0.25">
      <c r="BS1011" s="27"/>
      <c r="BT1011" s="27"/>
      <c r="BU1011" s="27"/>
      <c r="BV1011" s="27"/>
    </row>
    <row r="1012" spans="71:74" x14ac:dyDescent="0.25">
      <c r="BS1012" s="27"/>
      <c r="BT1012" s="27"/>
      <c r="BU1012" s="27"/>
      <c r="BV1012" s="27"/>
    </row>
    <row r="1013" spans="71:74" x14ac:dyDescent="0.25">
      <c r="BS1013" s="27"/>
      <c r="BT1013" s="27"/>
      <c r="BU1013" s="27"/>
      <c r="BV1013" s="27"/>
    </row>
    <row r="1014" spans="71:74" x14ac:dyDescent="0.25">
      <c r="BS1014" s="27"/>
      <c r="BT1014" s="27"/>
      <c r="BU1014" s="27"/>
      <c r="BV1014" s="27"/>
    </row>
    <row r="1015" spans="71:74" x14ac:dyDescent="0.25">
      <c r="BS1015" s="27"/>
      <c r="BT1015" s="27"/>
      <c r="BU1015" s="27"/>
      <c r="BV1015" s="27"/>
    </row>
    <row r="1016" spans="71:74" x14ac:dyDescent="0.25">
      <c r="BS1016" s="27"/>
      <c r="BT1016" s="27"/>
      <c r="BU1016" s="27"/>
      <c r="BV1016" s="27"/>
    </row>
    <row r="1017" spans="71:74" x14ac:dyDescent="0.25">
      <c r="BS1017" s="27"/>
      <c r="BT1017" s="27"/>
      <c r="BU1017" s="27"/>
      <c r="BV1017" s="27"/>
    </row>
    <row r="1018" spans="71:74" x14ac:dyDescent="0.25">
      <c r="BS1018" s="27"/>
      <c r="BT1018" s="27"/>
      <c r="BU1018" s="27"/>
      <c r="BV1018" s="27"/>
    </row>
    <row r="1019" spans="71:74" x14ac:dyDescent="0.25">
      <c r="BS1019" s="27"/>
      <c r="BT1019" s="27"/>
      <c r="BU1019" s="27"/>
      <c r="BV1019" s="27"/>
    </row>
    <row r="1020" spans="71:74" x14ac:dyDescent="0.25">
      <c r="BS1020" s="27"/>
      <c r="BT1020" s="27"/>
      <c r="BU1020" s="27"/>
      <c r="BV1020" s="27"/>
    </row>
    <row r="1021" spans="71:74" x14ac:dyDescent="0.25">
      <c r="BS1021" s="27"/>
      <c r="BT1021" s="27"/>
      <c r="BU1021" s="27"/>
      <c r="BV1021" s="27"/>
    </row>
    <row r="1022" spans="71:74" x14ac:dyDescent="0.25">
      <c r="BS1022" s="27"/>
      <c r="BT1022" s="27"/>
      <c r="BU1022" s="27"/>
      <c r="BV1022" s="27"/>
    </row>
    <row r="1023" spans="71:74" x14ac:dyDescent="0.25">
      <c r="BS1023" s="27"/>
      <c r="BT1023" s="27"/>
      <c r="BU1023" s="27"/>
      <c r="BV1023" s="27"/>
    </row>
    <row r="1024" spans="71:74" x14ac:dyDescent="0.25">
      <c r="BS1024" s="27"/>
      <c r="BT1024" s="27"/>
      <c r="BU1024" s="27"/>
      <c r="BV1024" s="27"/>
    </row>
    <row r="1025" spans="71:74" x14ac:dyDescent="0.25">
      <c r="BS1025" s="27"/>
      <c r="BT1025" s="27"/>
      <c r="BU1025" s="27"/>
      <c r="BV1025" s="27"/>
    </row>
    <row r="1026" spans="71:74" x14ac:dyDescent="0.25">
      <c r="BS1026" s="27"/>
      <c r="BT1026" s="27"/>
      <c r="BU1026" s="27"/>
      <c r="BV1026" s="27"/>
    </row>
    <row r="1027" spans="71:74" x14ac:dyDescent="0.25">
      <c r="BS1027" s="27"/>
      <c r="BT1027" s="27"/>
      <c r="BU1027" s="27"/>
      <c r="BV1027" s="27"/>
    </row>
    <row r="1028" spans="71:74" x14ac:dyDescent="0.25">
      <c r="BS1028" s="27"/>
      <c r="BT1028" s="27"/>
      <c r="BU1028" s="27"/>
      <c r="BV1028" s="27"/>
    </row>
    <row r="1029" spans="71:74" x14ac:dyDescent="0.25">
      <c r="BS1029" s="27"/>
      <c r="BT1029" s="27"/>
      <c r="BU1029" s="27"/>
      <c r="BV1029" s="27"/>
    </row>
    <row r="1030" spans="71:74" x14ac:dyDescent="0.25">
      <c r="BS1030" s="27"/>
      <c r="BT1030" s="27"/>
      <c r="BU1030" s="27"/>
      <c r="BV1030" s="27"/>
    </row>
    <row r="1031" spans="71:74" x14ac:dyDescent="0.25">
      <c r="BS1031" s="27"/>
      <c r="BT1031" s="27"/>
      <c r="BU1031" s="27"/>
      <c r="BV1031" s="27"/>
    </row>
    <row r="1032" spans="71:74" x14ac:dyDescent="0.25">
      <c r="BS1032" s="27"/>
      <c r="BT1032" s="27"/>
      <c r="BU1032" s="27"/>
      <c r="BV1032" s="27"/>
    </row>
    <row r="1033" spans="71:74" x14ac:dyDescent="0.25">
      <c r="BS1033" s="27"/>
      <c r="BT1033" s="27"/>
      <c r="BU1033" s="27"/>
      <c r="BV1033" s="27"/>
    </row>
    <row r="1034" spans="71:74" x14ac:dyDescent="0.25">
      <c r="BS1034" s="27"/>
      <c r="BT1034" s="27"/>
      <c r="BU1034" s="27"/>
      <c r="BV1034" s="27"/>
    </row>
    <row r="1035" spans="71:74" x14ac:dyDescent="0.25">
      <c r="BS1035" s="27"/>
      <c r="BT1035" s="27"/>
      <c r="BU1035" s="27"/>
      <c r="BV1035" s="27"/>
    </row>
    <row r="1036" spans="71:74" x14ac:dyDescent="0.25">
      <c r="BS1036" s="27"/>
      <c r="BT1036" s="27"/>
      <c r="BU1036" s="27"/>
      <c r="BV1036" s="27"/>
    </row>
    <row r="1037" spans="71:74" x14ac:dyDescent="0.25">
      <c r="BS1037" s="27"/>
      <c r="BT1037" s="27"/>
      <c r="BU1037" s="27"/>
      <c r="BV1037" s="27"/>
    </row>
    <row r="1038" spans="71:74" x14ac:dyDescent="0.25">
      <c r="BS1038" s="27"/>
      <c r="BT1038" s="27"/>
      <c r="BU1038" s="27"/>
      <c r="BV1038" s="27"/>
    </row>
    <row r="1039" spans="71:74" x14ac:dyDescent="0.25">
      <c r="BS1039" s="27"/>
      <c r="BT1039" s="27"/>
      <c r="BU1039" s="27"/>
      <c r="BV1039" s="27"/>
    </row>
    <row r="1040" spans="71:74" x14ac:dyDescent="0.25">
      <c r="BS1040" s="27"/>
      <c r="BT1040" s="27"/>
      <c r="BU1040" s="27"/>
      <c r="BV1040" s="27"/>
    </row>
    <row r="1041" spans="71:74" x14ac:dyDescent="0.25">
      <c r="BS1041" s="27"/>
      <c r="BT1041" s="27"/>
      <c r="BU1041" s="27"/>
      <c r="BV1041" s="27"/>
    </row>
    <row r="1042" spans="71:74" x14ac:dyDescent="0.25">
      <c r="BS1042" s="27"/>
      <c r="BT1042" s="27"/>
      <c r="BU1042" s="27"/>
      <c r="BV1042" s="27"/>
    </row>
    <row r="1043" spans="71:74" x14ac:dyDescent="0.25">
      <c r="BS1043" s="27"/>
      <c r="BT1043" s="27"/>
      <c r="BU1043" s="27"/>
      <c r="BV1043" s="27"/>
    </row>
    <row r="1044" spans="71:74" x14ac:dyDescent="0.25">
      <c r="BS1044" s="27"/>
      <c r="BT1044" s="27"/>
      <c r="BU1044" s="27"/>
      <c r="BV1044" s="27"/>
    </row>
    <row r="1045" spans="71:74" x14ac:dyDescent="0.25">
      <c r="BS1045" s="27"/>
      <c r="BT1045" s="27"/>
      <c r="BU1045" s="27"/>
      <c r="BV1045" s="27"/>
    </row>
    <row r="1046" spans="71:74" x14ac:dyDescent="0.25">
      <c r="BS1046" s="27"/>
      <c r="BT1046" s="27"/>
      <c r="BU1046" s="27"/>
      <c r="BV1046" s="27"/>
    </row>
    <row r="1047" spans="71:74" x14ac:dyDescent="0.25">
      <c r="BS1047" s="27"/>
      <c r="BT1047" s="27"/>
      <c r="BU1047" s="27"/>
      <c r="BV1047" s="27"/>
    </row>
    <row r="1048" spans="71:74" x14ac:dyDescent="0.25">
      <c r="BS1048" s="27"/>
      <c r="BT1048" s="27"/>
      <c r="BU1048" s="27"/>
      <c r="BV1048" s="27"/>
    </row>
    <row r="1049" spans="71:74" x14ac:dyDescent="0.25">
      <c r="BS1049" s="27"/>
      <c r="BT1049" s="27"/>
      <c r="BU1049" s="27"/>
      <c r="BV1049" s="27"/>
    </row>
    <row r="1050" spans="71:74" x14ac:dyDescent="0.25">
      <c r="BS1050" s="27"/>
      <c r="BT1050" s="27"/>
      <c r="BU1050" s="27"/>
      <c r="BV1050" s="27"/>
    </row>
    <row r="1051" spans="71:74" x14ac:dyDescent="0.25">
      <c r="BS1051" s="27"/>
      <c r="BT1051" s="27"/>
      <c r="BU1051" s="27"/>
      <c r="BV1051" s="27"/>
    </row>
    <row r="1052" spans="71:74" x14ac:dyDescent="0.25">
      <c r="BS1052" s="27"/>
      <c r="BT1052" s="27"/>
      <c r="BU1052" s="27"/>
      <c r="BV1052" s="27"/>
    </row>
    <row r="1053" spans="71:74" x14ac:dyDescent="0.25">
      <c r="BS1053" s="27"/>
      <c r="BT1053" s="27"/>
      <c r="BU1053" s="27"/>
      <c r="BV1053" s="27"/>
    </row>
    <row r="1054" spans="71:74" x14ac:dyDescent="0.25">
      <c r="BS1054" s="27"/>
      <c r="BT1054" s="27"/>
      <c r="BU1054" s="27"/>
      <c r="BV1054" s="27"/>
    </row>
    <row r="1055" spans="71:74" x14ac:dyDescent="0.25">
      <c r="BS1055" s="27"/>
      <c r="BT1055" s="27"/>
      <c r="BU1055" s="27"/>
      <c r="BV1055" s="27"/>
    </row>
    <row r="1056" spans="71:74" x14ac:dyDescent="0.25">
      <c r="BS1056" s="27"/>
      <c r="BT1056" s="27"/>
      <c r="BU1056" s="27"/>
      <c r="BV1056" s="27"/>
    </row>
    <row r="1057" spans="71:74" x14ac:dyDescent="0.25">
      <c r="BS1057" s="27"/>
      <c r="BT1057" s="27"/>
      <c r="BU1057" s="27"/>
      <c r="BV1057" s="27"/>
    </row>
    <row r="1058" spans="71:74" x14ac:dyDescent="0.25">
      <c r="BS1058" s="27"/>
      <c r="BT1058" s="27"/>
      <c r="BU1058" s="27"/>
      <c r="BV1058" s="27"/>
    </row>
    <row r="1059" spans="71:74" x14ac:dyDescent="0.25">
      <c r="BS1059" s="27"/>
      <c r="BT1059" s="27"/>
      <c r="BU1059" s="27"/>
      <c r="BV1059" s="27"/>
    </row>
    <row r="1060" spans="71:74" x14ac:dyDescent="0.25">
      <c r="BS1060" s="27"/>
      <c r="BT1060" s="27"/>
      <c r="BU1060" s="27"/>
      <c r="BV1060" s="27"/>
    </row>
    <row r="1061" spans="71:74" x14ac:dyDescent="0.25">
      <c r="BS1061" s="27"/>
      <c r="BT1061" s="27"/>
      <c r="BU1061" s="27"/>
      <c r="BV1061" s="27"/>
    </row>
    <row r="1062" spans="71:74" x14ac:dyDescent="0.25">
      <c r="BS1062" s="27"/>
      <c r="BT1062" s="27"/>
      <c r="BU1062" s="27"/>
      <c r="BV1062" s="27"/>
    </row>
    <row r="1063" spans="71:74" x14ac:dyDescent="0.25">
      <c r="BS1063" s="27"/>
      <c r="BT1063" s="27"/>
      <c r="BU1063" s="27"/>
      <c r="BV1063" s="27"/>
    </row>
    <row r="1064" spans="71:74" x14ac:dyDescent="0.25">
      <c r="BS1064" s="27"/>
      <c r="BT1064" s="27"/>
      <c r="BU1064" s="27"/>
      <c r="BV1064" s="27"/>
    </row>
    <row r="1065" spans="71:74" x14ac:dyDescent="0.25">
      <c r="BS1065" s="27"/>
      <c r="BT1065" s="27"/>
      <c r="BU1065" s="27"/>
      <c r="BV1065" s="27"/>
    </row>
    <row r="1066" spans="71:74" x14ac:dyDescent="0.25">
      <c r="BS1066" s="27"/>
      <c r="BT1066" s="27"/>
      <c r="BU1066" s="27"/>
      <c r="BV1066" s="27"/>
    </row>
    <row r="1067" spans="71:74" x14ac:dyDescent="0.25">
      <c r="BS1067" s="27"/>
      <c r="BT1067" s="27"/>
      <c r="BU1067" s="27"/>
      <c r="BV1067" s="27"/>
    </row>
    <row r="1068" spans="71:74" x14ac:dyDescent="0.25">
      <c r="BS1068" s="27"/>
      <c r="BT1068" s="27"/>
      <c r="BU1068" s="27"/>
      <c r="BV1068" s="27"/>
    </row>
    <row r="1069" spans="71:74" x14ac:dyDescent="0.25">
      <c r="BS1069" s="27"/>
      <c r="BT1069" s="27"/>
      <c r="BU1069" s="27"/>
      <c r="BV1069" s="27"/>
    </row>
    <row r="1070" spans="71:74" x14ac:dyDescent="0.25">
      <c r="BS1070" s="27"/>
      <c r="BT1070" s="27"/>
      <c r="BU1070" s="27"/>
      <c r="BV1070" s="27"/>
    </row>
    <row r="1071" spans="71:74" x14ac:dyDescent="0.25">
      <c r="BS1071" s="27"/>
      <c r="BT1071" s="27"/>
      <c r="BU1071" s="27"/>
      <c r="BV1071" s="27"/>
    </row>
    <row r="1072" spans="71:74" x14ac:dyDescent="0.25">
      <c r="BS1072" s="27"/>
      <c r="BT1072" s="27"/>
      <c r="BU1072" s="27"/>
      <c r="BV1072" s="27"/>
    </row>
    <row r="1073" spans="71:74" x14ac:dyDescent="0.25">
      <c r="BS1073" s="27"/>
      <c r="BT1073" s="27"/>
      <c r="BU1073" s="27"/>
      <c r="BV1073" s="27"/>
    </row>
    <row r="1074" spans="71:74" x14ac:dyDescent="0.25">
      <c r="BS1074" s="27"/>
      <c r="BT1074" s="27"/>
      <c r="BU1074" s="27"/>
      <c r="BV1074" s="27"/>
    </row>
    <row r="1075" spans="71:74" x14ac:dyDescent="0.25">
      <c r="BS1075" s="27"/>
      <c r="BT1075" s="27"/>
      <c r="BU1075" s="27"/>
      <c r="BV1075" s="27"/>
    </row>
    <row r="1076" spans="71:74" x14ac:dyDescent="0.25">
      <c r="BS1076" s="27"/>
      <c r="BT1076" s="27"/>
      <c r="BU1076" s="27"/>
      <c r="BV1076" s="27"/>
    </row>
    <row r="1077" spans="71:74" x14ac:dyDescent="0.25">
      <c r="BS1077" s="27"/>
      <c r="BT1077" s="27"/>
      <c r="BU1077" s="27"/>
      <c r="BV1077" s="27"/>
    </row>
    <row r="1078" spans="71:74" x14ac:dyDescent="0.25">
      <c r="BS1078" s="27"/>
      <c r="BT1078" s="27"/>
      <c r="BU1078" s="27"/>
      <c r="BV1078" s="27"/>
    </row>
    <row r="1079" spans="71:74" x14ac:dyDescent="0.25">
      <c r="BS1079" s="27"/>
      <c r="BT1079" s="27"/>
      <c r="BU1079" s="27"/>
      <c r="BV1079" s="27"/>
    </row>
    <row r="1080" spans="71:74" x14ac:dyDescent="0.25">
      <c r="BS1080" s="27"/>
      <c r="BT1080" s="27"/>
      <c r="BU1080" s="27"/>
      <c r="BV1080" s="27"/>
    </row>
    <row r="1081" spans="71:74" x14ac:dyDescent="0.25">
      <c r="BS1081" s="27"/>
      <c r="BT1081" s="27"/>
      <c r="BU1081" s="27"/>
      <c r="BV1081" s="27"/>
    </row>
    <row r="1082" spans="71:74" x14ac:dyDescent="0.25">
      <c r="BS1082" s="27"/>
      <c r="BT1082" s="27"/>
      <c r="BU1082" s="27"/>
      <c r="BV1082" s="27"/>
    </row>
    <row r="1083" spans="71:74" x14ac:dyDescent="0.25">
      <c r="BS1083" s="27"/>
      <c r="BT1083" s="27"/>
      <c r="BU1083" s="27"/>
      <c r="BV1083" s="27"/>
    </row>
    <row r="1084" spans="71:74" x14ac:dyDescent="0.25">
      <c r="BS1084" s="27"/>
      <c r="BT1084" s="27"/>
      <c r="BU1084" s="27"/>
      <c r="BV1084" s="27"/>
    </row>
    <row r="1085" spans="71:74" x14ac:dyDescent="0.25">
      <c r="BS1085" s="27"/>
      <c r="BT1085" s="27"/>
      <c r="BU1085" s="27"/>
      <c r="BV1085" s="27"/>
    </row>
    <row r="1086" spans="71:74" x14ac:dyDescent="0.25">
      <c r="BS1086" s="27"/>
      <c r="BT1086" s="27"/>
      <c r="BU1086" s="27"/>
      <c r="BV1086" s="27"/>
    </row>
    <row r="1087" spans="71:74" x14ac:dyDescent="0.25">
      <c r="BS1087" s="27"/>
      <c r="BT1087" s="27"/>
      <c r="BU1087" s="27"/>
      <c r="BV1087" s="27"/>
    </row>
    <row r="1088" spans="71:74" x14ac:dyDescent="0.25">
      <c r="BS1088" s="27"/>
      <c r="BT1088" s="27"/>
      <c r="BU1088" s="27"/>
      <c r="BV1088" s="27"/>
    </row>
    <row r="1089" spans="71:74" x14ac:dyDescent="0.25">
      <c r="BS1089" s="27"/>
      <c r="BT1089" s="27"/>
      <c r="BU1089" s="27"/>
      <c r="BV1089" s="27"/>
    </row>
    <row r="1090" spans="71:74" x14ac:dyDescent="0.25">
      <c r="BS1090" s="27"/>
      <c r="BT1090" s="27"/>
      <c r="BU1090" s="27"/>
      <c r="BV1090" s="27"/>
    </row>
    <row r="1091" spans="71:74" x14ac:dyDescent="0.25">
      <c r="BS1091" s="27"/>
      <c r="BT1091" s="27"/>
      <c r="BU1091" s="27"/>
      <c r="BV1091" s="27"/>
    </row>
    <row r="1092" spans="71:74" x14ac:dyDescent="0.25">
      <c r="BS1092" s="27"/>
      <c r="BT1092" s="27"/>
      <c r="BU1092" s="27"/>
      <c r="BV1092" s="27"/>
    </row>
    <row r="1093" spans="71:74" x14ac:dyDescent="0.25">
      <c r="BS1093" s="27"/>
      <c r="BT1093" s="27"/>
      <c r="BU1093" s="27"/>
      <c r="BV1093" s="27"/>
    </row>
    <row r="1094" spans="71:74" x14ac:dyDescent="0.25">
      <c r="BS1094" s="27"/>
      <c r="BT1094" s="27"/>
      <c r="BU1094" s="27"/>
      <c r="BV1094" s="27"/>
    </row>
    <row r="1095" spans="71:74" x14ac:dyDescent="0.25">
      <c r="BS1095" s="27"/>
      <c r="BT1095" s="27"/>
      <c r="BU1095" s="27"/>
      <c r="BV1095" s="27"/>
    </row>
    <row r="1096" spans="71:74" x14ac:dyDescent="0.25">
      <c r="BS1096" s="27"/>
      <c r="BT1096" s="27"/>
      <c r="BU1096" s="27"/>
      <c r="BV1096" s="27"/>
    </row>
    <row r="1097" spans="71:74" x14ac:dyDescent="0.25">
      <c r="BS1097" s="27"/>
      <c r="BT1097" s="27"/>
      <c r="BU1097" s="27"/>
      <c r="BV1097" s="27"/>
    </row>
    <row r="1098" spans="71:74" x14ac:dyDescent="0.25">
      <c r="BS1098" s="27"/>
      <c r="BT1098" s="27"/>
      <c r="BU1098" s="27"/>
      <c r="BV1098" s="27"/>
    </row>
    <row r="1099" spans="71:74" x14ac:dyDescent="0.25">
      <c r="BS1099" s="27"/>
      <c r="BT1099" s="27"/>
      <c r="BU1099" s="27"/>
      <c r="BV1099" s="27"/>
    </row>
    <row r="1100" spans="71:74" x14ac:dyDescent="0.25">
      <c r="BS1100" s="27"/>
      <c r="BT1100" s="27"/>
      <c r="BU1100" s="27"/>
      <c r="BV1100" s="27"/>
    </row>
    <row r="1101" spans="71:74" x14ac:dyDescent="0.25">
      <c r="BS1101" s="27"/>
      <c r="BT1101" s="27"/>
      <c r="BU1101" s="27"/>
      <c r="BV1101" s="27"/>
    </row>
    <row r="1102" spans="71:74" x14ac:dyDescent="0.25">
      <c r="BS1102" s="27"/>
      <c r="BT1102" s="27"/>
      <c r="BU1102" s="27"/>
      <c r="BV1102" s="27"/>
    </row>
    <row r="1103" spans="71:74" x14ac:dyDescent="0.25">
      <c r="BS1103" s="27"/>
      <c r="BT1103" s="27"/>
      <c r="BU1103" s="27"/>
      <c r="BV1103" s="27"/>
    </row>
    <row r="1104" spans="71:74" x14ac:dyDescent="0.25">
      <c r="BS1104" s="27"/>
      <c r="BT1104" s="27"/>
      <c r="BU1104" s="27"/>
      <c r="BV1104" s="27"/>
    </row>
    <row r="1105" spans="71:74" x14ac:dyDescent="0.25">
      <c r="BS1105" s="27"/>
      <c r="BT1105" s="27"/>
      <c r="BU1105" s="27"/>
      <c r="BV1105" s="27"/>
    </row>
    <row r="1106" spans="71:74" x14ac:dyDescent="0.25">
      <c r="BS1106" s="27"/>
      <c r="BT1106" s="27"/>
      <c r="BU1106" s="27"/>
      <c r="BV1106" s="27"/>
    </row>
    <row r="1107" spans="71:74" x14ac:dyDescent="0.25">
      <c r="BS1107" s="27"/>
      <c r="BT1107" s="27"/>
      <c r="BU1107" s="27"/>
      <c r="BV1107" s="27"/>
    </row>
    <row r="1108" spans="71:74" x14ac:dyDescent="0.25">
      <c r="BS1108" s="27"/>
      <c r="BT1108" s="27"/>
      <c r="BU1108" s="27"/>
      <c r="BV1108" s="27"/>
    </row>
    <row r="1109" spans="71:74" x14ac:dyDescent="0.25">
      <c r="BS1109" s="27"/>
      <c r="BT1109" s="27"/>
      <c r="BU1109" s="27"/>
      <c r="BV1109" s="27"/>
    </row>
    <row r="1110" spans="71:74" x14ac:dyDescent="0.25">
      <c r="BS1110" s="27"/>
      <c r="BT1110" s="27"/>
      <c r="BU1110" s="27"/>
      <c r="BV1110" s="27"/>
    </row>
    <row r="1111" spans="71:74" x14ac:dyDescent="0.25">
      <c r="BS1111" s="27"/>
      <c r="BT1111" s="27"/>
      <c r="BU1111" s="27"/>
      <c r="BV1111" s="27"/>
    </row>
    <row r="1112" spans="71:74" x14ac:dyDescent="0.25">
      <c r="BS1112" s="27"/>
      <c r="BT1112" s="27"/>
      <c r="BU1112" s="27"/>
      <c r="BV1112" s="27"/>
    </row>
    <row r="1113" spans="71:74" x14ac:dyDescent="0.25">
      <c r="BS1113" s="27"/>
      <c r="BT1113" s="27"/>
      <c r="BU1113" s="27"/>
      <c r="BV1113" s="27"/>
    </row>
    <row r="1114" spans="71:74" x14ac:dyDescent="0.25">
      <c r="BS1114" s="27"/>
      <c r="BT1114" s="27"/>
      <c r="BU1114" s="27"/>
      <c r="BV1114" s="27"/>
    </row>
    <row r="1115" spans="71:74" x14ac:dyDescent="0.25">
      <c r="BS1115" s="27"/>
      <c r="BT1115" s="27"/>
      <c r="BU1115" s="27"/>
      <c r="BV1115" s="27"/>
    </row>
    <row r="1116" spans="71:74" x14ac:dyDescent="0.25">
      <c r="BS1116" s="27"/>
      <c r="BT1116" s="27"/>
      <c r="BU1116" s="27"/>
      <c r="BV1116" s="27"/>
    </row>
    <row r="1117" spans="71:74" x14ac:dyDescent="0.25">
      <c r="BS1117" s="27"/>
      <c r="BT1117" s="27"/>
      <c r="BU1117" s="27"/>
      <c r="BV1117" s="27"/>
    </row>
    <row r="1118" spans="71:74" x14ac:dyDescent="0.25">
      <c r="BS1118" s="27"/>
      <c r="BT1118" s="27"/>
      <c r="BU1118" s="27"/>
      <c r="BV1118" s="27"/>
    </row>
    <row r="1119" spans="71:74" x14ac:dyDescent="0.25">
      <c r="BS1119" s="27"/>
      <c r="BT1119" s="27"/>
      <c r="BU1119" s="27"/>
      <c r="BV1119" s="27"/>
    </row>
    <row r="1120" spans="71:74" x14ac:dyDescent="0.25">
      <c r="BS1120" s="27"/>
      <c r="BT1120" s="27"/>
      <c r="BU1120" s="27"/>
      <c r="BV1120" s="27"/>
    </row>
    <row r="1121" spans="71:74" x14ac:dyDescent="0.25">
      <c r="BS1121" s="27"/>
      <c r="BT1121" s="27"/>
      <c r="BU1121" s="27"/>
      <c r="BV1121" s="27"/>
    </row>
    <row r="1122" spans="71:74" x14ac:dyDescent="0.25">
      <c r="BS1122" s="27"/>
      <c r="BT1122" s="27"/>
      <c r="BU1122" s="27"/>
      <c r="BV1122" s="27"/>
    </row>
    <row r="1123" spans="71:74" x14ac:dyDescent="0.25">
      <c r="BS1123" s="27"/>
      <c r="BT1123" s="27"/>
      <c r="BU1123" s="27"/>
      <c r="BV1123" s="27"/>
    </row>
    <row r="1124" spans="71:74" x14ac:dyDescent="0.25">
      <c r="BS1124" s="27"/>
      <c r="BT1124" s="27"/>
      <c r="BU1124" s="27"/>
      <c r="BV1124" s="27"/>
    </row>
    <row r="1125" spans="71:74" x14ac:dyDescent="0.25">
      <c r="BS1125" s="27"/>
      <c r="BT1125" s="27"/>
      <c r="BU1125" s="27"/>
      <c r="BV1125" s="27"/>
    </row>
    <row r="1126" spans="71:74" x14ac:dyDescent="0.25">
      <c r="BS1126" s="27"/>
      <c r="BT1126" s="27"/>
      <c r="BU1126" s="27"/>
      <c r="BV1126" s="27"/>
    </row>
    <row r="1127" spans="71:74" x14ac:dyDescent="0.25">
      <c r="BS1127" s="27"/>
      <c r="BT1127" s="27"/>
      <c r="BU1127" s="27"/>
      <c r="BV1127" s="27"/>
    </row>
    <row r="1128" spans="71:74" x14ac:dyDescent="0.25">
      <c r="BS1128" s="27"/>
      <c r="BT1128" s="27"/>
      <c r="BU1128" s="27"/>
      <c r="BV1128" s="27"/>
    </row>
    <row r="1129" spans="71:74" x14ac:dyDescent="0.25">
      <c r="BS1129" s="27"/>
      <c r="BT1129" s="27"/>
      <c r="BU1129" s="27"/>
      <c r="BV1129" s="27"/>
    </row>
    <row r="1130" spans="71:74" x14ac:dyDescent="0.25">
      <c r="BS1130" s="27"/>
      <c r="BT1130" s="27"/>
      <c r="BU1130" s="27"/>
      <c r="BV1130" s="27"/>
    </row>
    <row r="1131" spans="71:74" x14ac:dyDescent="0.25">
      <c r="BS1131" s="27"/>
      <c r="BT1131" s="27"/>
      <c r="BU1131" s="27"/>
      <c r="BV1131" s="27"/>
    </row>
    <row r="1132" spans="71:74" x14ac:dyDescent="0.25">
      <c r="BS1132" s="27"/>
      <c r="BT1132" s="27"/>
      <c r="BU1132" s="27"/>
      <c r="BV1132" s="27"/>
    </row>
    <row r="1133" spans="71:74" x14ac:dyDescent="0.25">
      <c r="BS1133" s="27"/>
      <c r="BT1133" s="27"/>
      <c r="BU1133" s="27"/>
      <c r="BV1133" s="27"/>
    </row>
    <row r="1134" spans="71:74" x14ac:dyDescent="0.25">
      <c r="BS1134" s="27"/>
      <c r="BT1134" s="27"/>
      <c r="BU1134" s="27"/>
      <c r="BV1134" s="27"/>
    </row>
    <row r="1135" spans="71:74" x14ac:dyDescent="0.25">
      <c r="BS1135" s="27"/>
      <c r="BT1135" s="27"/>
      <c r="BU1135" s="27"/>
      <c r="BV1135" s="27"/>
    </row>
    <row r="1136" spans="71:74" x14ac:dyDescent="0.25">
      <c r="BS1136" s="27"/>
      <c r="BT1136" s="27"/>
      <c r="BU1136" s="27"/>
      <c r="BV1136" s="27"/>
    </row>
    <row r="1137" spans="71:74" x14ac:dyDescent="0.25">
      <c r="BS1137" s="27"/>
      <c r="BT1137" s="27"/>
      <c r="BU1137" s="27"/>
      <c r="BV1137" s="27"/>
    </row>
    <row r="1138" spans="71:74" x14ac:dyDescent="0.25">
      <c r="BS1138" s="27"/>
      <c r="BT1138" s="27"/>
      <c r="BU1138" s="27"/>
      <c r="BV1138" s="27"/>
    </row>
    <row r="1139" spans="71:74" x14ac:dyDescent="0.25">
      <c r="BS1139" s="27"/>
      <c r="BT1139" s="27"/>
      <c r="BU1139" s="27"/>
      <c r="BV1139" s="27"/>
    </row>
    <row r="1140" spans="71:74" x14ac:dyDescent="0.25">
      <c r="BS1140" s="27"/>
      <c r="BT1140" s="27"/>
      <c r="BU1140" s="27"/>
      <c r="BV1140" s="27"/>
    </row>
    <row r="1141" spans="71:74" x14ac:dyDescent="0.25">
      <c r="BS1141" s="27"/>
      <c r="BT1141" s="27"/>
      <c r="BU1141" s="27"/>
      <c r="BV1141" s="27"/>
    </row>
    <row r="1142" spans="71:74" x14ac:dyDescent="0.25">
      <c r="BS1142" s="27"/>
      <c r="BT1142" s="27"/>
      <c r="BU1142" s="27"/>
      <c r="BV1142" s="27"/>
    </row>
    <row r="1143" spans="71:74" x14ac:dyDescent="0.25">
      <c r="BS1143" s="27"/>
      <c r="BT1143" s="27"/>
      <c r="BU1143" s="27"/>
      <c r="BV1143" s="27"/>
    </row>
    <row r="1144" spans="71:74" x14ac:dyDescent="0.25">
      <c r="BS1144" s="27"/>
      <c r="BT1144" s="27"/>
      <c r="BU1144" s="27"/>
      <c r="BV1144" s="27"/>
    </row>
    <row r="1145" spans="71:74" x14ac:dyDescent="0.25">
      <c r="BS1145" s="27"/>
      <c r="BT1145" s="27"/>
      <c r="BU1145" s="27"/>
      <c r="BV1145" s="27"/>
    </row>
    <row r="1146" spans="71:74" x14ac:dyDescent="0.25">
      <c r="BS1146" s="27"/>
      <c r="BT1146" s="27"/>
      <c r="BU1146" s="27"/>
      <c r="BV1146" s="27"/>
    </row>
    <row r="1147" spans="71:74" x14ac:dyDescent="0.25">
      <c r="BS1147" s="27"/>
      <c r="BT1147" s="27"/>
      <c r="BU1147" s="27"/>
      <c r="BV1147" s="27"/>
    </row>
    <row r="1148" spans="71:74" x14ac:dyDescent="0.25">
      <c r="BS1148" s="27"/>
      <c r="BT1148" s="27"/>
      <c r="BU1148" s="27"/>
      <c r="BV1148" s="27"/>
    </row>
    <row r="1149" spans="71:74" x14ac:dyDescent="0.25">
      <c r="BS1149" s="27"/>
      <c r="BT1149" s="27"/>
      <c r="BU1149" s="27"/>
      <c r="BV1149" s="27"/>
    </row>
    <row r="1150" spans="71:74" x14ac:dyDescent="0.25">
      <c r="BS1150" s="27"/>
      <c r="BT1150" s="27"/>
      <c r="BU1150" s="27"/>
      <c r="BV1150" s="27"/>
    </row>
    <row r="1151" spans="71:74" x14ac:dyDescent="0.25">
      <c r="BS1151" s="27"/>
      <c r="BT1151" s="27"/>
      <c r="BU1151" s="27"/>
      <c r="BV1151" s="27"/>
    </row>
    <row r="1152" spans="71:74" x14ac:dyDescent="0.25">
      <c r="BS1152" s="27"/>
      <c r="BT1152" s="27"/>
      <c r="BU1152" s="27"/>
      <c r="BV1152" s="27"/>
    </row>
    <row r="1153" spans="71:74" x14ac:dyDescent="0.25">
      <c r="BS1153" s="27"/>
      <c r="BT1153" s="27"/>
      <c r="BU1153" s="27"/>
      <c r="BV1153" s="27"/>
    </row>
    <row r="1154" spans="71:74" x14ac:dyDescent="0.25">
      <c r="BS1154" s="27"/>
      <c r="BT1154" s="27"/>
      <c r="BU1154" s="27"/>
      <c r="BV1154" s="27"/>
    </row>
    <row r="1155" spans="71:74" x14ac:dyDescent="0.25">
      <c r="BS1155" s="27"/>
      <c r="BT1155" s="27"/>
      <c r="BU1155" s="27"/>
      <c r="BV1155" s="27"/>
    </row>
    <row r="1156" spans="71:74" x14ac:dyDescent="0.25">
      <c r="BS1156" s="27"/>
      <c r="BT1156" s="27"/>
      <c r="BU1156" s="27"/>
      <c r="BV1156" s="27"/>
    </row>
    <row r="1157" spans="71:74" x14ac:dyDescent="0.25">
      <c r="BS1157" s="27"/>
      <c r="BT1157" s="27"/>
      <c r="BU1157" s="27"/>
      <c r="BV1157" s="27"/>
    </row>
    <row r="1158" spans="71:74" x14ac:dyDescent="0.25">
      <c r="BS1158" s="27"/>
      <c r="BT1158" s="27"/>
      <c r="BU1158" s="27"/>
      <c r="BV1158" s="27"/>
    </row>
    <row r="1159" spans="71:74" x14ac:dyDescent="0.25">
      <c r="BS1159" s="27"/>
      <c r="BT1159" s="27"/>
      <c r="BU1159" s="27"/>
      <c r="BV1159" s="27"/>
    </row>
    <row r="1160" spans="71:74" x14ac:dyDescent="0.25">
      <c r="BS1160" s="27"/>
      <c r="BT1160" s="27"/>
      <c r="BU1160" s="27"/>
      <c r="BV1160" s="27"/>
    </row>
    <row r="1161" spans="71:74" x14ac:dyDescent="0.25">
      <c r="BS1161" s="27"/>
      <c r="BT1161" s="27"/>
      <c r="BU1161" s="27"/>
      <c r="BV1161" s="27"/>
    </row>
    <row r="1162" spans="71:74" x14ac:dyDescent="0.25">
      <c r="BS1162" s="27"/>
      <c r="BT1162" s="27"/>
      <c r="BU1162" s="27"/>
      <c r="BV1162" s="27"/>
    </row>
    <row r="1163" spans="71:74" x14ac:dyDescent="0.25">
      <c r="BS1163" s="27"/>
      <c r="BT1163" s="27"/>
      <c r="BU1163" s="27"/>
      <c r="BV1163" s="27"/>
    </row>
    <row r="1164" spans="71:74" x14ac:dyDescent="0.25">
      <c r="BS1164" s="27"/>
      <c r="BT1164" s="27"/>
      <c r="BU1164" s="27"/>
      <c r="BV1164" s="27"/>
    </row>
    <row r="1165" spans="71:74" x14ac:dyDescent="0.25">
      <c r="BS1165" s="27"/>
      <c r="BT1165" s="27"/>
      <c r="BU1165" s="27"/>
      <c r="BV1165" s="27"/>
    </row>
    <row r="1166" spans="71:74" x14ac:dyDescent="0.25">
      <c r="BS1166" s="27"/>
      <c r="BT1166" s="27"/>
      <c r="BU1166" s="27"/>
      <c r="BV1166" s="27"/>
    </row>
    <row r="1167" spans="71:74" x14ac:dyDescent="0.25">
      <c r="BS1167" s="27"/>
      <c r="BT1167" s="27"/>
      <c r="BU1167" s="27"/>
      <c r="BV1167" s="27"/>
    </row>
    <row r="1168" spans="71:74" x14ac:dyDescent="0.25">
      <c r="BS1168" s="27"/>
      <c r="BT1168" s="27"/>
      <c r="BU1168" s="27"/>
      <c r="BV1168" s="27"/>
    </row>
    <row r="1169" spans="71:74" x14ac:dyDescent="0.25">
      <c r="BS1169" s="27"/>
      <c r="BT1169" s="27"/>
      <c r="BU1169" s="27"/>
      <c r="BV1169" s="27"/>
    </row>
    <row r="1170" spans="71:74" x14ac:dyDescent="0.25">
      <c r="BS1170" s="27"/>
      <c r="BT1170" s="27"/>
      <c r="BU1170" s="27"/>
      <c r="BV1170" s="27"/>
    </row>
    <row r="1171" spans="71:74" x14ac:dyDescent="0.25">
      <c r="BS1171" s="27"/>
      <c r="BT1171" s="27"/>
      <c r="BU1171" s="27"/>
      <c r="BV1171" s="27"/>
    </row>
    <row r="1172" spans="71:74" x14ac:dyDescent="0.25">
      <c r="BS1172" s="27"/>
      <c r="BT1172" s="27"/>
      <c r="BU1172" s="27"/>
      <c r="BV1172" s="27"/>
    </row>
    <row r="1173" spans="71:74" x14ac:dyDescent="0.25">
      <c r="BS1173" s="27"/>
      <c r="BT1173" s="27"/>
      <c r="BU1173" s="27"/>
      <c r="BV1173" s="27"/>
    </row>
    <row r="1174" spans="71:74" x14ac:dyDescent="0.25">
      <c r="BS1174" s="27"/>
      <c r="BT1174" s="27"/>
      <c r="BU1174" s="27"/>
      <c r="BV1174" s="27"/>
    </row>
    <row r="1175" spans="71:74" x14ac:dyDescent="0.25">
      <c r="BS1175" s="27"/>
      <c r="BT1175" s="27"/>
      <c r="BU1175" s="27"/>
      <c r="BV1175" s="27"/>
    </row>
    <row r="1176" spans="71:74" x14ac:dyDescent="0.25">
      <c r="BS1176" s="27"/>
      <c r="BT1176" s="27"/>
      <c r="BU1176" s="27"/>
      <c r="BV1176" s="27"/>
    </row>
    <row r="1177" spans="71:74" x14ac:dyDescent="0.25">
      <c r="BS1177" s="27"/>
      <c r="BT1177" s="27"/>
      <c r="BU1177" s="27"/>
      <c r="BV1177" s="27"/>
    </row>
    <row r="1178" spans="71:74" x14ac:dyDescent="0.25">
      <c r="BS1178" s="27"/>
      <c r="BT1178" s="27"/>
      <c r="BU1178" s="27"/>
      <c r="BV1178" s="27"/>
    </row>
    <row r="1179" spans="71:74" x14ac:dyDescent="0.25">
      <c r="BS1179" s="27"/>
      <c r="BT1179" s="27"/>
      <c r="BU1179" s="27"/>
      <c r="BV1179" s="27"/>
    </row>
    <row r="1180" spans="71:74" x14ac:dyDescent="0.25">
      <c r="BS1180" s="27"/>
      <c r="BT1180" s="27"/>
      <c r="BU1180" s="27"/>
      <c r="BV1180" s="27"/>
    </row>
    <row r="1181" spans="71:74" x14ac:dyDescent="0.25">
      <c r="BS1181" s="27"/>
      <c r="BT1181" s="27"/>
      <c r="BU1181" s="27"/>
      <c r="BV1181" s="27"/>
    </row>
    <row r="1182" spans="71:74" x14ac:dyDescent="0.25">
      <c r="BS1182" s="27"/>
      <c r="BT1182" s="27"/>
      <c r="BU1182" s="27"/>
      <c r="BV1182" s="27"/>
    </row>
    <row r="1183" spans="71:74" x14ac:dyDescent="0.25">
      <c r="BS1183" s="27"/>
      <c r="BT1183" s="27"/>
      <c r="BU1183" s="27"/>
      <c r="BV1183" s="27"/>
    </row>
    <row r="1184" spans="71:74" x14ac:dyDescent="0.25">
      <c r="BS1184" s="27"/>
      <c r="BT1184" s="27"/>
      <c r="BU1184" s="27"/>
      <c r="BV1184" s="27"/>
    </row>
    <row r="1185" spans="71:74" x14ac:dyDescent="0.25">
      <c r="BS1185" s="27"/>
      <c r="BT1185" s="27"/>
      <c r="BU1185" s="27"/>
      <c r="BV1185" s="27"/>
    </row>
    <row r="1186" spans="71:74" x14ac:dyDescent="0.25">
      <c r="BS1186" s="27"/>
      <c r="BT1186" s="27"/>
      <c r="BU1186" s="27"/>
      <c r="BV1186" s="27"/>
    </row>
    <row r="1187" spans="71:74" x14ac:dyDescent="0.25">
      <c r="BS1187" s="27"/>
      <c r="BT1187" s="27"/>
      <c r="BU1187" s="27"/>
      <c r="BV1187" s="27"/>
    </row>
    <row r="1188" spans="71:74" x14ac:dyDescent="0.25">
      <c r="BS1188" s="27"/>
      <c r="BT1188" s="27"/>
      <c r="BU1188" s="27"/>
      <c r="BV1188" s="27"/>
    </row>
    <row r="1189" spans="71:74" x14ac:dyDescent="0.25">
      <c r="BS1189" s="27"/>
      <c r="BT1189" s="27"/>
      <c r="BU1189" s="27"/>
      <c r="BV1189" s="27"/>
    </row>
    <row r="1190" spans="71:74" x14ac:dyDescent="0.25">
      <c r="BS1190" s="27"/>
      <c r="BT1190" s="27"/>
      <c r="BU1190" s="27"/>
      <c r="BV1190" s="27"/>
    </row>
    <row r="1191" spans="71:74" x14ac:dyDescent="0.25">
      <c r="BS1191" s="27"/>
      <c r="BT1191" s="27"/>
      <c r="BU1191" s="27"/>
      <c r="BV1191" s="27"/>
    </row>
    <row r="1192" spans="71:74" x14ac:dyDescent="0.25">
      <c r="BS1192" s="27"/>
      <c r="BT1192" s="27"/>
      <c r="BU1192" s="27"/>
      <c r="BV1192" s="27"/>
    </row>
    <row r="1193" spans="71:74" x14ac:dyDescent="0.25">
      <c r="BS1193" s="27"/>
      <c r="BT1193" s="27"/>
      <c r="BU1193" s="27"/>
      <c r="BV1193" s="27"/>
    </row>
    <row r="1194" spans="71:74" x14ac:dyDescent="0.25">
      <c r="BS1194" s="27"/>
      <c r="BT1194" s="27"/>
      <c r="BU1194" s="27"/>
      <c r="BV1194" s="27"/>
    </row>
    <row r="1195" spans="71:74" x14ac:dyDescent="0.25">
      <c r="BS1195" s="27"/>
      <c r="BT1195" s="27"/>
      <c r="BU1195" s="27"/>
      <c r="BV1195" s="27"/>
    </row>
    <row r="1196" spans="71:74" x14ac:dyDescent="0.25">
      <c r="BS1196" s="27"/>
      <c r="BT1196" s="27"/>
      <c r="BU1196" s="27"/>
      <c r="BV1196" s="27"/>
    </row>
    <row r="1197" spans="71:74" x14ac:dyDescent="0.25">
      <c r="BS1197" s="27"/>
      <c r="BT1197" s="27"/>
      <c r="BU1197" s="27"/>
      <c r="BV1197" s="27"/>
    </row>
    <row r="1198" spans="71:74" x14ac:dyDescent="0.25">
      <c r="BS1198" s="27"/>
      <c r="BT1198" s="27"/>
      <c r="BU1198" s="27"/>
      <c r="BV1198" s="27"/>
    </row>
    <row r="1199" spans="71:74" x14ac:dyDescent="0.25">
      <c r="BS1199" s="27"/>
      <c r="BT1199" s="27"/>
      <c r="BU1199" s="27"/>
      <c r="BV1199" s="27"/>
    </row>
    <row r="1200" spans="71:74" x14ac:dyDescent="0.25">
      <c r="BS1200" s="27"/>
      <c r="BT1200" s="27"/>
      <c r="BU1200" s="27"/>
      <c r="BV1200" s="27"/>
    </row>
    <row r="1201" spans="71:74" x14ac:dyDescent="0.25">
      <c r="BS1201" s="27"/>
      <c r="BT1201" s="27"/>
      <c r="BU1201" s="27"/>
      <c r="BV1201" s="27"/>
    </row>
    <row r="1202" spans="71:74" x14ac:dyDescent="0.25">
      <c r="BS1202" s="27"/>
      <c r="BT1202" s="27"/>
      <c r="BU1202" s="27"/>
      <c r="BV1202" s="27"/>
    </row>
    <row r="1203" spans="71:74" x14ac:dyDescent="0.25">
      <c r="BS1203" s="27"/>
      <c r="BT1203" s="27"/>
      <c r="BU1203" s="27"/>
      <c r="BV1203" s="27"/>
    </row>
    <row r="1204" spans="71:74" x14ac:dyDescent="0.25">
      <c r="BS1204" s="27"/>
      <c r="BT1204" s="27"/>
      <c r="BU1204" s="27"/>
      <c r="BV1204" s="27"/>
    </row>
    <row r="1205" spans="71:74" x14ac:dyDescent="0.25">
      <c r="BS1205" s="27"/>
      <c r="BT1205" s="27"/>
      <c r="BU1205" s="27"/>
      <c r="BV1205" s="27"/>
    </row>
    <row r="1206" spans="71:74" x14ac:dyDescent="0.25">
      <c r="BS1206" s="27"/>
      <c r="BT1206" s="27"/>
      <c r="BU1206" s="27"/>
      <c r="BV1206" s="27"/>
    </row>
    <row r="1207" spans="71:74" x14ac:dyDescent="0.25">
      <c r="BS1207" s="27"/>
      <c r="BT1207" s="27"/>
      <c r="BU1207" s="27"/>
      <c r="BV1207" s="27"/>
    </row>
    <row r="1208" spans="71:74" x14ac:dyDescent="0.25">
      <c r="BS1208" s="27"/>
      <c r="BT1208" s="27"/>
      <c r="BU1208" s="27"/>
      <c r="BV1208" s="27"/>
    </row>
    <row r="1209" spans="71:74" x14ac:dyDescent="0.25">
      <c r="BS1209" s="27"/>
      <c r="BT1209" s="27"/>
      <c r="BU1209" s="27"/>
      <c r="BV1209" s="27"/>
    </row>
    <row r="1210" spans="71:74" x14ac:dyDescent="0.25">
      <c r="BS1210" s="27"/>
      <c r="BT1210" s="27"/>
      <c r="BU1210" s="27"/>
      <c r="BV1210" s="27"/>
    </row>
    <row r="1211" spans="71:74" x14ac:dyDescent="0.25">
      <c r="BS1211" s="27"/>
      <c r="BT1211" s="27"/>
      <c r="BU1211" s="27"/>
      <c r="BV1211" s="27"/>
    </row>
    <row r="1212" spans="71:74" x14ac:dyDescent="0.25">
      <c r="BS1212" s="27"/>
      <c r="BT1212" s="27"/>
      <c r="BU1212" s="27"/>
      <c r="BV1212" s="27"/>
    </row>
    <row r="1213" spans="71:74" x14ac:dyDescent="0.25">
      <c r="BS1213" s="27"/>
      <c r="BT1213" s="27"/>
      <c r="BU1213" s="27"/>
      <c r="BV1213" s="27"/>
    </row>
    <row r="1214" spans="71:74" x14ac:dyDescent="0.25">
      <c r="BS1214" s="27"/>
      <c r="BT1214" s="27"/>
      <c r="BU1214" s="27"/>
      <c r="BV1214" s="27"/>
    </row>
    <row r="1215" spans="71:74" x14ac:dyDescent="0.25">
      <c r="BS1215" s="27"/>
      <c r="BT1215" s="27"/>
      <c r="BU1215" s="27"/>
      <c r="BV1215" s="27"/>
    </row>
    <row r="1216" spans="71:74" x14ac:dyDescent="0.25">
      <c r="BS1216" s="27"/>
      <c r="BT1216" s="27"/>
      <c r="BU1216" s="27"/>
      <c r="BV1216" s="27"/>
    </row>
    <row r="1217" spans="71:74" x14ac:dyDescent="0.25">
      <c r="BS1217" s="27"/>
      <c r="BT1217" s="27"/>
      <c r="BU1217" s="27"/>
      <c r="BV1217" s="27"/>
    </row>
    <row r="1218" spans="71:74" x14ac:dyDescent="0.25">
      <c r="BS1218" s="27"/>
      <c r="BT1218" s="27"/>
      <c r="BU1218" s="27"/>
      <c r="BV1218" s="27"/>
    </row>
    <row r="1219" spans="71:74" x14ac:dyDescent="0.25">
      <c r="BS1219" s="27"/>
      <c r="BT1219" s="27"/>
      <c r="BU1219" s="27"/>
      <c r="BV1219" s="27"/>
    </row>
    <row r="1220" spans="71:74" x14ac:dyDescent="0.25">
      <c r="BS1220" s="27"/>
      <c r="BT1220" s="27"/>
      <c r="BU1220" s="27"/>
      <c r="BV1220" s="27"/>
    </row>
    <row r="1221" spans="71:74" x14ac:dyDescent="0.25">
      <c r="BS1221" s="27"/>
      <c r="BT1221" s="27"/>
      <c r="BU1221" s="27"/>
      <c r="BV1221" s="27"/>
    </row>
    <row r="1222" spans="71:74" x14ac:dyDescent="0.25">
      <c r="BS1222" s="27"/>
      <c r="BT1222" s="27"/>
      <c r="BU1222" s="27"/>
      <c r="BV1222" s="27"/>
    </row>
    <row r="1223" spans="71:74" x14ac:dyDescent="0.25">
      <c r="BS1223" s="27"/>
      <c r="BT1223" s="27"/>
      <c r="BU1223" s="27"/>
      <c r="BV1223" s="27"/>
    </row>
    <row r="1224" spans="71:74" x14ac:dyDescent="0.25">
      <c r="BS1224" s="27"/>
      <c r="BT1224" s="27"/>
      <c r="BU1224" s="27"/>
      <c r="BV1224" s="27"/>
    </row>
    <row r="1225" spans="71:74" x14ac:dyDescent="0.25">
      <c r="BS1225" s="27"/>
      <c r="BT1225" s="27"/>
      <c r="BU1225" s="27"/>
      <c r="BV1225" s="27"/>
    </row>
    <row r="1226" spans="71:74" x14ac:dyDescent="0.25">
      <c r="BS1226" s="27"/>
      <c r="BT1226" s="27"/>
      <c r="BU1226" s="27"/>
      <c r="BV1226" s="27"/>
    </row>
    <row r="1227" spans="71:74" x14ac:dyDescent="0.25">
      <c r="BS1227" s="27"/>
      <c r="BT1227" s="27"/>
      <c r="BU1227" s="27"/>
      <c r="BV1227" s="27"/>
    </row>
    <row r="1228" spans="71:74" x14ac:dyDescent="0.25">
      <c r="BS1228" s="27"/>
      <c r="BT1228" s="27"/>
      <c r="BU1228" s="27"/>
      <c r="BV1228" s="27"/>
    </row>
    <row r="1229" spans="71:74" x14ac:dyDescent="0.25">
      <c r="BS1229" s="27"/>
      <c r="BT1229" s="27"/>
      <c r="BU1229" s="27"/>
      <c r="BV1229" s="27"/>
    </row>
    <row r="1230" spans="71:74" x14ac:dyDescent="0.25">
      <c r="BS1230" s="27"/>
      <c r="BT1230" s="27"/>
      <c r="BU1230" s="27"/>
      <c r="BV1230" s="27"/>
    </row>
    <row r="1231" spans="71:74" x14ac:dyDescent="0.25">
      <c r="BS1231" s="27"/>
      <c r="BT1231" s="27"/>
      <c r="BU1231" s="27"/>
      <c r="BV1231" s="27"/>
    </row>
    <row r="1232" spans="71:74" x14ac:dyDescent="0.25">
      <c r="BS1232" s="27"/>
      <c r="BT1232" s="27"/>
      <c r="BU1232" s="27"/>
      <c r="BV1232" s="27"/>
    </row>
    <row r="1233" spans="71:74" x14ac:dyDescent="0.25">
      <c r="BS1233" s="27"/>
      <c r="BT1233" s="27"/>
      <c r="BU1233" s="27"/>
      <c r="BV1233" s="27"/>
    </row>
    <row r="1234" spans="71:74" x14ac:dyDescent="0.25">
      <c r="BS1234" s="27"/>
      <c r="BT1234" s="27"/>
      <c r="BU1234" s="27"/>
      <c r="BV1234" s="27"/>
    </row>
    <row r="1235" spans="71:74" x14ac:dyDescent="0.25">
      <c r="BS1235" s="27"/>
      <c r="BT1235" s="27"/>
      <c r="BU1235" s="27"/>
      <c r="BV1235" s="27"/>
    </row>
    <row r="1236" spans="71:74" x14ac:dyDescent="0.25">
      <c r="BS1236" s="27"/>
      <c r="BT1236" s="27"/>
      <c r="BU1236" s="27"/>
      <c r="BV1236" s="27"/>
    </row>
    <row r="1237" spans="71:74" x14ac:dyDescent="0.25">
      <c r="BS1237" s="27"/>
      <c r="BT1237" s="27"/>
      <c r="BU1237" s="27"/>
      <c r="BV1237" s="27"/>
    </row>
    <row r="1238" spans="71:74" x14ac:dyDescent="0.25">
      <c r="BS1238" s="27"/>
      <c r="BT1238" s="27"/>
      <c r="BU1238" s="27"/>
      <c r="BV1238" s="27"/>
    </row>
    <row r="1239" spans="71:74" x14ac:dyDescent="0.25">
      <c r="BS1239" s="27"/>
      <c r="BT1239" s="27"/>
      <c r="BU1239" s="27"/>
      <c r="BV1239" s="27"/>
    </row>
    <row r="1240" spans="71:74" x14ac:dyDescent="0.25">
      <c r="BS1240" s="27"/>
      <c r="BT1240" s="27"/>
      <c r="BU1240" s="27"/>
      <c r="BV1240" s="27"/>
    </row>
    <row r="1241" spans="71:74" x14ac:dyDescent="0.25">
      <c r="BS1241" s="27"/>
      <c r="BT1241" s="27"/>
      <c r="BU1241" s="27"/>
      <c r="BV1241" s="27"/>
    </row>
    <row r="1242" spans="71:74" x14ac:dyDescent="0.25">
      <c r="BS1242" s="27"/>
      <c r="BT1242" s="27"/>
      <c r="BU1242" s="27"/>
      <c r="BV1242" s="27"/>
    </row>
  </sheetData>
  <conditionalFormatting sqref="AH3:AH33">
    <cfRule type="cellIs" dxfId="34" priority="18" operator="greaterThan">
      <formula>20</formula>
    </cfRule>
  </conditionalFormatting>
  <conditionalFormatting sqref="BQ5:BQ33">
    <cfRule type="cellIs" dxfId="33" priority="17" operator="greaterThan">
      <formula>20</formula>
    </cfRule>
  </conditionalFormatting>
  <conditionalFormatting sqref="CA1">
    <cfRule type="containsText" dxfId="32" priority="1" operator="containsText" text="AO">
      <formula>NOT(ISERROR(SEARCH("AO",CA1)))</formula>
    </cfRule>
    <cfRule type="containsText" dxfId="31" priority="2" operator="containsText" text="BD3">
      <formula>NOT(ISERROR(SEARCH("BD3",CA1)))</formula>
    </cfRule>
    <cfRule type="containsText" dxfId="30" priority="3" operator="containsText" text="V93">
      <formula>NOT(ISERROR(SEARCH("V93",CA1)))</formula>
    </cfRule>
    <cfRule type="containsText" dxfId="29" priority="4" operator="containsText" text="Z4">
      <formula>NOT(ISERROR(SEARCH("Z4",CA1)))</formula>
    </cfRule>
    <cfRule type="containsText" dxfId="28" priority="5" operator="containsText" text="IOP">
      <formula>NOT(ISERROR(SEARCH("IOP",CA1)))</formula>
    </cfRule>
    <cfRule type="containsText" dxfId="27" priority="6" operator="containsText" text="IO">
      <formula>NOT(ISERROR(SEARCH("IO",CA1)))</formula>
    </cfRule>
    <cfRule type="containsText" dxfId="26" priority="7" operator="containsText" text="ZD">
      <formula>NOT(ISERROR(SEARCH("ZD",CA1)))</formula>
    </cfRule>
    <cfRule type="containsText" dxfId="25" priority="8" operator="containsText" text="IOP">
      <formula>NOT(ISERROR(SEARCH("IOP",CA1)))</formula>
    </cfRule>
    <cfRule type="containsText" dxfId="24" priority="9" operator="containsText" text="OP">
      <formula>NOT(ISERROR(SEARCH("OP",CA1)))</formula>
    </cfRule>
    <cfRule type="containsText" dxfId="23" priority="10" operator="containsText" text="UR">
      <formula>NOT(ISERROR(SEARCH("UR",CA1)))</formula>
    </cfRule>
    <cfRule type="containsText" dxfId="22" priority="11" operator="containsText" text="Frei">
      <formula>NOT(ISERROR(SEARCH("Frei",CA1)))</formula>
    </cfRule>
    <cfRule type="containsText" dxfId="21" priority="12" operator="containsText" text="BD1">
      <formula>NOT(ISERROR(SEARCH("BD1",CA1)))</formula>
    </cfRule>
    <cfRule type="containsText" dxfId="20" priority="13" operator="containsText" text="PM">
      <formula>NOT(ISERROR(SEARCH("PM",CA1)))</formula>
    </cfRule>
    <cfRule type="containsText" dxfId="19" priority="14" operator="containsText" text="S1">
      <formula>NOT(ISERROR(SEARCH("S1",CA1)))</formula>
    </cfRule>
    <cfRule type="containsText" dxfId="18" priority="15" operator="containsText" text="A73">
      <formula>NOT(ISERROR(SEARCH("A73",CA1)))</formula>
    </cfRule>
    <cfRule type="containsText" dxfId="17" priority="16" operator="containsText" text="A">
      <formula>NOT(ISERROR(SEARCH("A",CA1)))</formula>
    </cfRule>
  </conditionalFormatting>
  <pageMargins left="0.7" right="0.7" top="0.78740157499999996" bottom="0.78740157499999996" header="0.3" footer="0.3"/>
  <pageSetup paperSize="9" orientation="portrait" r:id="rId1"/>
  <headerFooter scaleWithDoc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FF00"/>
    <pageSetUpPr fitToPage="1"/>
  </sheetPr>
  <dimension ref="A1:CC63"/>
  <sheetViews>
    <sheetView showGridLines="0" showWhiteSpace="0" zoomScale="70" zoomScaleNormal="70" zoomScalePageLayoutView="70" workbookViewId="0">
      <selection activeCell="Q10" sqref="Q10"/>
    </sheetView>
  </sheetViews>
  <sheetFormatPr baseColWidth="10" defaultRowHeight="15" x14ac:dyDescent="0.25"/>
  <cols>
    <col min="1" max="4" width="11.85546875" customWidth="1"/>
    <col min="5" max="32" width="4.85546875" customWidth="1"/>
    <col min="33" max="34" width="4.85546875" style="27" customWidth="1"/>
    <col min="35" max="35" width="4.85546875" style="27" hidden="1" customWidth="1"/>
    <col min="36" max="43" width="11.85546875" customWidth="1"/>
    <col min="44" max="44" width="22.140625" customWidth="1"/>
    <col min="45" max="45" width="22" bestFit="1" customWidth="1"/>
    <col min="46" max="46" width="14" customWidth="1"/>
    <col min="47" max="47" width="18.85546875" bestFit="1" customWidth="1"/>
    <col min="48" max="48" width="8.7109375" bestFit="1" customWidth="1"/>
    <col min="49" max="49" width="12.85546875" bestFit="1" customWidth="1"/>
    <col min="50" max="50" width="5" customWidth="1"/>
    <col min="51" max="81" width="5" hidden="1" customWidth="1"/>
  </cols>
  <sheetData>
    <row r="1" spans="1:81" x14ac:dyDescent="0.25">
      <c r="A1" s="15" t="s">
        <v>173</v>
      </c>
      <c r="B1" s="115">
        <f>Tage!G5</f>
        <v>42309</v>
      </c>
      <c r="C1" s="116" t="s">
        <v>228</v>
      </c>
      <c r="D1" s="115">
        <f>Tage!H5</f>
        <v>42338</v>
      </c>
      <c r="E1" s="102">
        <v>1</v>
      </c>
      <c r="F1" s="102">
        <v>2</v>
      </c>
      <c r="G1" s="102">
        <v>3</v>
      </c>
      <c r="H1" s="102">
        <v>4</v>
      </c>
      <c r="I1" s="102">
        <v>5</v>
      </c>
      <c r="J1" s="102">
        <v>6</v>
      </c>
      <c r="K1" s="102">
        <v>7</v>
      </c>
      <c r="L1" s="102">
        <v>8</v>
      </c>
      <c r="M1" s="102">
        <v>9</v>
      </c>
      <c r="N1" s="102">
        <v>10</v>
      </c>
      <c r="O1" s="102">
        <v>11</v>
      </c>
      <c r="P1" s="102">
        <v>12</v>
      </c>
      <c r="Q1" s="102">
        <v>13</v>
      </c>
      <c r="R1" s="102">
        <v>14</v>
      </c>
      <c r="S1" s="102">
        <v>15</v>
      </c>
      <c r="T1" s="102">
        <v>16</v>
      </c>
      <c r="U1" s="102">
        <v>17</v>
      </c>
      <c r="V1" s="102">
        <v>18</v>
      </c>
      <c r="W1" s="102">
        <v>19</v>
      </c>
      <c r="X1" s="102">
        <v>20</v>
      </c>
      <c r="Y1" s="102">
        <v>21</v>
      </c>
      <c r="Z1" s="102">
        <v>22</v>
      </c>
      <c r="AA1" s="102">
        <v>23</v>
      </c>
      <c r="AB1" s="102">
        <v>24</v>
      </c>
      <c r="AC1" s="102">
        <v>25</v>
      </c>
      <c r="AD1" s="102">
        <v>26</v>
      </c>
      <c r="AE1" s="102">
        <v>27</v>
      </c>
      <c r="AF1" s="102">
        <v>28</v>
      </c>
      <c r="AG1" s="102">
        <v>29</v>
      </c>
      <c r="AH1" s="102">
        <v>30</v>
      </c>
      <c r="AI1" s="102"/>
      <c r="AJ1" s="97"/>
      <c r="AK1" s="97"/>
      <c r="AL1" s="97" t="s">
        <v>225</v>
      </c>
      <c r="AM1" s="97"/>
      <c r="AN1" s="97"/>
      <c r="AO1" s="15"/>
      <c r="AP1" s="15"/>
      <c r="AQ1" s="15"/>
      <c r="AR1" s="15"/>
      <c r="AS1" s="15"/>
      <c r="AT1" s="15"/>
      <c r="AU1" s="96" t="s">
        <v>226</v>
      </c>
      <c r="AV1" s="96"/>
      <c r="AW1" s="96"/>
      <c r="AY1" s="27">
        <v>1</v>
      </c>
      <c r="AZ1" s="27">
        <v>2</v>
      </c>
      <c r="BA1" s="27">
        <v>3</v>
      </c>
      <c r="BB1" s="27">
        <v>4</v>
      </c>
      <c r="BC1" s="27">
        <v>5</v>
      </c>
      <c r="BD1" s="27">
        <v>6</v>
      </c>
      <c r="BE1" s="27">
        <v>7</v>
      </c>
      <c r="BF1" s="27">
        <v>8</v>
      </c>
      <c r="BG1" s="27">
        <v>9</v>
      </c>
      <c r="BH1" s="27">
        <v>10</v>
      </c>
      <c r="BI1" s="27">
        <v>11</v>
      </c>
      <c r="BJ1" s="27">
        <v>12</v>
      </c>
      <c r="BK1" s="27">
        <v>13</v>
      </c>
      <c r="BL1" s="27">
        <v>14</v>
      </c>
      <c r="BM1" s="27">
        <v>15</v>
      </c>
      <c r="BN1" s="27">
        <v>16</v>
      </c>
      <c r="BO1" s="27">
        <v>17</v>
      </c>
      <c r="BP1" s="27">
        <v>18</v>
      </c>
      <c r="BQ1" s="27">
        <v>19</v>
      </c>
      <c r="BR1" s="27">
        <v>20</v>
      </c>
      <c r="BS1" s="27">
        <v>21</v>
      </c>
      <c r="BT1" s="27">
        <v>22</v>
      </c>
      <c r="BU1" s="27">
        <v>23</v>
      </c>
      <c r="BV1" s="27">
        <v>24</v>
      </c>
      <c r="BW1" s="27">
        <v>25</v>
      </c>
      <c r="BX1" s="27">
        <v>26</v>
      </c>
      <c r="BY1" s="27">
        <v>27</v>
      </c>
      <c r="BZ1" s="27">
        <v>28</v>
      </c>
      <c r="CA1" s="27">
        <v>29</v>
      </c>
      <c r="CB1" s="27">
        <v>30</v>
      </c>
      <c r="CC1" s="27">
        <v>31</v>
      </c>
    </row>
    <row r="2" spans="1:81" ht="15.75" thickBot="1" x14ac:dyDescent="0.3">
      <c r="A2" s="27" t="s">
        <v>0</v>
      </c>
      <c r="B2" s="27" t="s">
        <v>1</v>
      </c>
      <c r="C2" s="27" t="s">
        <v>214</v>
      </c>
      <c r="D2" s="27" t="s">
        <v>215</v>
      </c>
      <c r="E2" s="103" t="s">
        <v>75</v>
      </c>
      <c r="F2" s="103" t="s">
        <v>76</v>
      </c>
      <c r="G2" s="103" t="s">
        <v>77</v>
      </c>
      <c r="H2" s="103" t="s">
        <v>78</v>
      </c>
      <c r="I2" s="103" t="s">
        <v>72</v>
      </c>
      <c r="J2" s="103" t="s">
        <v>73</v>
      </c>
      <c r="K2" s="103" t="s">
        <v>74</v>
      </c>
      <c r="L2" s="103" t="s">
        <v>75</v>
      </c>
      <c r="M2" s="103" t="s">
        <v>76</v>
      </c>
      <c r="N2" s="103" t="s">
        <v>77</v>
      </c>
      <c r="O2" s="103" t="s">
        <v>78</v>
      </c>
      <c r="P2" s="103" t="s">
        <v>72</v>
      </c>
      <c r="Q2" s="103" t="s">
        <v>73</v>
      </c>
      <c r="R2" s="103" t="s">
        <v>74</v>
      </c>
      <c r="S2" s="103" t="s">
        <v>75</v>
      </c>
      <c r="T2" s="103" t="s">
        <v>76</v>
      </c>
      <c r="U2" s="103" t="s">
        <v>77</v>
      </c>
      <c r="V2" s="103" t="s">
        <v>78</v>
      </c>
      <c r="W2" s="103" t="s">
        <v>72</v>
      </c>
      <c r="X2" s="103" t="s">
        <v>73</v>
      </c>
      <c r="Y2" s="103" t="s">
        <v>74</v>
      </c>
      <c r="Z2" s="103" t="s">
        <v>75</v>
      </c>
      <c r="AA2" s="103" t="s">
        <v>76</v>
      </c>
      <c r="AB2" s="103" t="s">
        <v>77</v>
      </c>
      <c r="AC2" s="103" t="s">
        <v>78</v>
      </c>
      <c r="AD2" s="103" t="s">
        <v>72</v>
      </c>
      <c r="AE2" s="103" t="s">
        <v>73</v>
      </c>
      <c r="AF2" s="103" t="s">
        <v>74</v>
      </c>
      <c r="AG2" s="103" t="s">
        <v>75</v>
      </c>
      <c r="AH2" s="103" t="s">
        <v>76</v>
      </c>
      <c r="AI2" s="103"/>
      <c r="AJ2" s="27" t="s">
        <v>216</v>
      </c>
      <c r="AK2" s="100" t="s">
        <v>217</v>
      </c>
      <c r="AL2" s="27" t="s">
        <v>218</v>
      </c>
      <c r="AM2" s="27" t="s">
        <v>219</v>
      </c>
      <c r="AN2" s="173" t="s">
        <v>171</v>
      </c>
      <c r="AO2" s="27" t="s">
        <v>220</v>
      </c>
      <c r="AP2" s="27" t="s">
        <v>221</v>
      </c>
      <c r="AQ2" s="100" t="s">
        <v>304</v>
      </c>
      <c r="AR2" s="27" t="s">
        <v>237</v>
      </c>
      <c r="AS2" s="27" t="s">
        <v>238</v>
      </c>
      <c r="AT2" s="100" t="s">
        <v>232</v>
      </c>
      <c r="AU2" s="107" t="s">
        <v>218</v>
      </c>
      <c r="AV2" s="99" t="s">
        <v>219</v>
      </c>
      <c r="AW2" s="106" t="s">
        <v>171</v>
      </c>
      <c r="AY2" s="27" t="s">
        <v>227</v>
      </c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</row>
    <row r="3" spans="1:81" x14ac:dyDescent="0.25">
      <c r="A3" s="171" t="s">
        <v>334</v>
      </c>
      <c r="B3" s="108" t="s">
        <v>230</v>
      </c>
      <c r="C3" s="108">
        <v>32</v>
      </c>
      <c r="D3" s="172">
        <v>0</v>
      </c>
      <c r="E3" s="17" t="s">
        <v>83</v>
      </c>
      <c r="F3" s="105" t="s">
        <v>83</v>
      </c>
      <c r="G3" s="105" t="s">
        <v>5</v>
      </c>
      <c r="H3" s="105" t="s">
        <v>5</v>
      </c>
      <c r="I3" s="105" t="s">
        <v>31</v>
      </c>
      <c r="J3" s="105" t="s">
        <v>31</v>
      </c>
      <c r="K3" s="105" t="s">
        <v>84</v>
      </c>
      <c r="L3" s="105" t="s">
        <v>84</v>
      </c>
      <c r="M3" s="105" t="s">
        <v>63</v>
      </c>
      <c r="N3" s="105" t="s">
        <v>63</v>
      </c>
      <c r="O3" s="105" t="s">
        <v>63</v>
      </c>
      <c r="P3" s="105" t="s">
        <v>63</v>
      </c>
      <c r="Q3" s="105" t="s">
        <v>63</v>
      </c>
      <c r="R3" s="105" t="s">
        <v>84</v>
      </c>
      <c r="S3" s="105" t="s">
        <v>84</v>
      </c>
      <c r="T3" s="105" t="s">
        <v>31</v>
      </c>
      <c r="U3" s="105" t="s">
        <v>5</v>
      </c>
      <c r="V3" s="105" t="s">
        <v>5</v>
      </c>
      <c r="W3" s="105" t="s">
        <v>26</v>
      </c>
      <c r="X3" s="105" t="s">
        <v>31</v>
      </c>
      <c r="Y3" s="105" t="s">
        <v>83</v>
      </c>
      <c r="Z3" s="105" t="s">
        <v>83</v>
      </c>
      <c r="AA3" s="105" t="s">
        <v>31</v>
      </c>
      <c r="AB3" s="105" t="s">
        <v>26</v>
      </c>
      <c r="AC3" s="105" t="s">
        <v>31</v>
      </c>
      <c r="AD3" s="105" t="s">
        <v>31</v>
      </c>
      <c r="AE3" s="105" t="s">
        <v>31</v>
      </c>
      <c r="AF3" s="105" t="s">
        <v>83</v>
      </c>
      <c r="AG3" s="105" t="s">
        <v>83</v>
      </c>
      <c r="AH3" s="105" t="s">
        <v>31</v>
      </c>
      <c r="AI3" s="108"/>
      <c r="AJ3" s="171">
        <v>20.149999999999999</v>
      </c>
      <c r="AK3" s="15">
        <v>134.4</v>
      </c>
      <c r="AL3" s="171">
        <v>128</v>
      </c>
      <c r="AM3" s="108">
        <v>13.749999999999993</v>
      </c>
      <c r="AN3" s="170">
        <v>-6.4000000000000057</v>
      </c>
      <c r="AO3" s="171">
        <v>0</v>
      </c>
      <c r="AP3" s="108">
        <v>0</v>
      </c>
      <c r="AQ3" s="98">
        <v>5</v>
      </c>
      <c r="AR3" s="171">
        <v>38.4</v>
      </c>
      <c r="AS3" s="108">
        <v>31.576923076923077</v>
      </c>
      <c r="AT3" s="98">
        <v>26</v>
      </c>
      <c r="AU3" s="96" t="e">
        <f>SUM(AY3:CC3)</f>
        <v>#REF!</v>
      </c>
      <c r="AV3" s="27" t="e">
        <f t="shared" ref="AV3:AV35" si="0">AJ3+AW3</f>
        <v>#REF!</v>
      </c>
      <c r="AW3" s="58" t="e">
        <f t="shared" ref="AW3:AW35" si="1">AU3-AK3</f>
        <v>#REF!</v>
      </c>
      <c r="AY3" s="27">
        <f>IF(E3=Dienste!$A$2,Dienste!$C$2,IF(E3=Dienste!$A$3,Dienste!$C$3,IF(E3=Dienste!$A$4,Dienste!$C$4,IF(E3=Dienste!$A$5,Dienste!$C$5,IF(E3=Dienste!$A$6,Dienste!$C$6,IF(E3=Dienste!$A$7,Dienste!$C$7,IF(E3=Dienste!$A$8,Dienste!$C$8,IF(E3=Dienste!$A$9,Dienste!$C$9,IF(E3=Dienste!$A$10,Dienste!$C$10,IF(E3=Dienste!$A$11,Dienste!$C$11,IF(E3=Dienste!$A$12,Dienste!$C$12,IF(E3=Dienste!$A$13,Dienste!$C$13,IF(E3=Dienste!$A$14,Dienste!$C$14,IF(E3=Dienste!$A$15,Dienste!$C$15,IF(E3=Dienste!$A$16,Dienste!$C$16,IF(E3=Dienste!$A$17,Dienste!$C$17,IF(E3=Dienste!$A$18,Dienste!$C$18,IF(E3=Dienste!$A$19,Dienste!$C$19,IF(E3=Dienste!$A$20,Dienste!$C$20,IF(E3=Dienste!$A$21,Dienste!$C$21,IF(E3=Dienste!$A$22,Dienste!$C$22,IF(E3=Dienste!$A$23,Dienste!$C$23,IF(E3=Dienste!$A$24,Dienste!$C$24,IF(E3=Dienste!$A$25,Dienste!$C$25,IF(E3=Dienste!$A$26,Dienste!$C$26,IF(E3=Dienste!$A$27,Dienste!$C$27,IF(E3=Dienste!$A$28,Dienste!$C$28,IF(E3=Dienste!#REF!,Dienste!#REF!,IF(E3=Dienste!#REF!,Dienste!#REF!,IF(E3=Dienste!#REF!,Dienste!#REF!,IF(E3=Dienste!#REF!,Dienste!#REF!,IF(E3=Dienste!$A$33,Dienste!$C$33,IF(E3=Dienste!$A$34,Dienste!$C$34,IF(E3=Dienste!$A$35,Dienste!$C$35,IF(E3=Dienste!$A$36,Dienste!$C$36,)))))))))))))))))))))))))))))))))))</f>
        <v>0</v>
      </c>
      <c r="AZ3" s="27">
        <f>IF(F3=Dienste!$A$2,Dienste!$C$2,IF(F3=Dienste!$A$3,Dienste!$C$3,IF(F3=Dienste!$A$4,Dienste!$C$4,IF(F3=Dienste!$A$5,Dienste!$C$5,IF(F3=Dienste!$A$6,Dienste!$C$6,IF(F3=Dienste!$A$7,Dienste!$C$7,IF(F3=Dienste!$A$8,Dienste!$C$8,IF(F3=Dienste!$A$9,Dienste!$C$9,IF(F3=Dienste!$A$10,Dienste!$C$10,IF(F3=Dienste!$A$11,Dienste!$C$11,IF(F3=Dienste!$A$12,Dienste!$C$12,IF(F3=Dienste!$A$13,Dienste!$C$13,IF(F3=Dienste!$A$14,Dienste!$C$14,IF(F3=Dienste!$A$15,Dienste!$C$15,IF(F3=Dienste!$A$16,Dienste!$C$16,IF(F3=Dienste!$A$17,Dienste!$C$17,IF(F3=Dienste!$A$18,Dienste!$C$18,IF(F3=Dienste!$A$19,Dienste!$C$19,IF(F3=Dienste!$A$20,Dienste!$C$20,IF(F3=Dienste!$A$21,Dienste!$C$21,IF(F3=Dienste!$A$22,Dienste!$C$22,IF(F3=Dienste!$A$23,Dienste!$C$23,IF(F3=Dienste!$A$24,Dienste!$C$24,IF(F3=Dienste!$A$25,Dienste!$C$25,IF(F3=Dienste!$A$26,Dienste!$C$26,IF(F3=Dienste!$A$27,Dienste!$C$27,IF(F3=Dienste!$A$28,Dienste!$C$28,IF(F3=Dienste!#REF!,Dienste!#REF!,IF(F3=Dienste!#REF!,Dienste!#REF!,IF(F3=Dienste!#REF!,Dienste!#REF!,IF(F3=Dienste!#REF!,Dienste!#REF!,IF(F3=Dienste!$A$33,Dienste!$C$33,IF(F3=Dienste!$A$34,Dienste!$C$34,IF(F3=Dienste!$A$35,Dienste!$C$35,IF(F3=Dienste!$A$36,Dienste!$C$36,)))))))))))))))))))))))))))))))))))</f>
        <v>0</v>
      </c>
      <c r="BA3" s="27">
        <f>IF(G3=Dienste!$A$2,Dienste!$C$2,IF(G3=Dienste!$A$3,Dienste!$C$3,IF(G3=Dienste!$A$4,Dienste!$C$4,IF(G3=Dienste!$A$5,Dienste!$C$5,IF(G3=Dienste!$A$6,Dienste!$C$6,IF(G3=Dienste!$A$7,Dienste!$C$7,IF(G3=Dienste!$A$8,Dienste!$C$8,IF(G3=Dienste!$A$9,Dienste!$C$9,IF(G3=Dienste!$A$10,Dienste!$C$10,IF(G3=Dienste!$A$11,Dienste!$C$11,IF(G3=Dienste!$A$12,Dienste!$C$12,IF(G3=Dienste!$A$13,Dienste!$C$13,IF(G3=Dienste!$A$14,Dienste!$C$14,IF(G3=Dienste!$A$15,Dienste!$C$15,IF(G3=Dienste!$A$16,Dienste!$C$16,IF(G3=Dienste!$A$17,Dienste!$C$17,IF(G3=Dienste!$A$18,Dienste!$C$18,IF(G3=Dienste!$A$19,Dienste!$C$19,IF(G3=Dienste!$A$20,Dienste!$C$20,IF(G3=Dienste!$A$21,Dienste!$C$21,IF(G3=Dienste!$A$22,Dienste!$C$22,IF(G3=Dienste!$A$23,Dienste!$C$23,IF(G3=Dienste!$A$24,Dienste!$C$24,IF(G3=Dienste!$A$25,Dienste!$C$25,IF(G3=Dienste!$A$26,Dienste!$C$26,IF(G3=Dienste!$A$27,Dienste!$C$27,IF(G3=Dienste!$A$28,Dienste!$C$28,IF(G3=Dienste!#REF!,Dienste!#REF!,IF(G3=Dienste!#REF!,Dienste!#REF!,IF(G3=Dienste!#REF!,Dienste!#REF!,IF(G3=Dienste!#REF!,Dienste!#REF!,IF(G3=Dienste!$A$33,Dienste!$C$33,IF(G3=Dienste!$A$34,Dienste!$C$34,IF(G3=Dienste!$A$35,Dienste!$C$35,IF(G3=Dienste!$A$36,Dienste!$C$36,)))))))))))))))))))))))))))))))))))</f>
        <v>0</v>
      </c>
      <c r="BB3" s="27">
        <f>IF(H3=Dienste!$A$2,Dienste!$C$2,IF(H3=Dienste!$A$3,Dienste!$C$3,IF(H3=Dienste!$A$4,Dienste!$C$4,IF(H3=Dienste!$A$5,Dienste!$C$5,IF(H3=Dienste!$A$6,Dienste!$C$6,IF(H3=Dienste!$A$7,Dienste!$C$7,IF(H3=Dienste!$A$8,Dienste!$C$8,IF(H3=Dienste!$A$9,Dienste!$C$9,IF(H3=Dienste!$A$10,Dienste!$C$10,IF(H3=Dienste!$A$11,Dienste!$C$11,IF(H3=Dienste!$A$12,Dienste!$C$12,IF(H3=Dienste!$A$13,Dienste!$C$13,IF(H3=Dienste!$A$14,Dienste!$C$14,IF(H3=Dienste!$A$15,Dienste!$C$15,IF(H3=Dienste!$A$16,Dienste!$C$16,IF(H3=Dienste!$A$17,Dienste!$C$17,IF(H3=Dienste!$A$18,Dienste!$C$18,IF(H3=Dienste!$A$19,Dienste!$C$19,IF(H3=Dienste!$A$20,Dienste!$C$20,IF(H3=Dienste!$A$21,Dienste!$C$21,IF(H3=Dienste!$A$22,Dienste!$C$22,IF(H3=Dienste!$A$23,Dienste!$C$23,IF(H3=Dienste!$A$24,Dienste!$C$24,IF(H3=Dienste!$A$25,Dienste!$C$25,IF(H3=Dienste!$A$26,Dienste!$C$26,IF(H3=Dienste!$A$27,Dienste!$C$27,IF(H3=Dienste!$A$28,Dienste!$C$28,IF(H3=Dienste!#REF!,Dienste!#REF!,IF(H3=Dienste!#REF!,Dienste!#REF!,IF(H3=Dienste!#REF!,Dienste!#REF!,IF(H3=Dienste!#REF!,Dienste!#REF!,IF(H3=Dienste!$A$33,Dienste!$C$33,IF(H3=Dienste!$A$34,Dienste!$C$34,IF(H3=Dienste!$A$35,Dienste!$C$35,IF(H3=Dienste!$A$36,Dienste!$C$36,)))))))))))))))))))))))))))))))))))</f>
        <v>0</v>
      </c>
      <c r="BC3" s="27">
        <f>IF(I3=Dienste!$A$2,Dienste!$C$2,IF(I3=Dienste!$A$3,Dienste!$C$3,IF(I3=Dienste!$A$4,Dienste!$C$4,IF(I3=Dienste!$A$5,Dienste!$C$5,IF(I3=Dienste!$A$6,Dienste!$C$6,IF(I3=Dienste!$A$7,Dienste!$C$7,IF(I3=Dienste!$A$8,Dienste!$C$8,IF(I3=Dienste!$A$9,Dienste!$C$9,IF(I3=Dienste!$A$10,Dienste!$C$10,IF(I3=Dienste!$A$11,Dienste!$C$11,IF(I3=Dienste!$A$12,Dienste!$C$12,IF(I3=Dienste!$A$13,Dienste!$C$13,IF(I3=Dienste!$A$14,Dienste!$C$14,IF(I3=Dienste!$A$15,Dienste!$C$15,IF(I3=Dienste!$A$16,Dienste!$C$16,IF(I3=Dienste!$A$17,Dienste!$C$17,IF(I3=Dienste!$A$18,Dienste!$C$18,IF(I3=Dienste!$A$19,Dienste!$C$19,IF(I3=Dienste!$A$20,Dienste!$C$20,IF(I3=Dienste!$A$21,Dienste!$C$21,IF(I3=Dienste!$A$22,Dienste!$C$22,IF(I3=Dienste!$A$23,Dienste!$C$23,IF(I3=Dienste!$A$24,Dienste!$C$24,IF(I3=Dienste!$A$25,Dienste!$C$25,IF(I3=Dienste!$A$26,Dienste!$C$26,IF(I3=Dienste!$A$27,Dienste!$C$27,IF(I3=Dienste!$A$28,Dienste!$C$28,IF(I3=Dienste!#REF!,Dienste!#REF!,IF(I3=Dienste!#REF!,Dienste!#REF!,IF(I3=Dienste!#REF!,Dienste!#REF!,IF(I3=Dienste!#REF!,Dienste!#REF!,IF(I3=Dienste!$A$33,Dienste!$C$33,IF(I3=Dienste!$A$34,Dienste!$C$34,IF(I3=Dienste!$A$35,Dienste!$C$35,IF(I3=Dienste!$A$36,Dienste!$C$36,)))))))))))))))))))))))))))))))))))</f>
        <v>8</v>
      </c>
      <c r="BD3" s="27">
        <f>IF(J3=Dienste!$A$2,Dienste!$C$2,IF(J3=Dienste!$A$3,Dienste!$C$3,IF(J3=Dienste!$A$4,Dienste!$C$4,IF(J3=Dienste!$A$5,Dienste!$C$5,IF(J3=Dienste!$A$6,Dienste!$C$6,IF(J3=Dienste!$A$7,Dienste!$C$7,IF(J3=Dienste!$A$8,Dienste!$C$8,IF(J3=Dienste!$A$9,Dienste!$C$9,IF(J3=Dienste!$A$10,Dienste!$C$10,IF(J3=Dienste!$A$11,Dienste!$C$11,IF(J3=Dienste!$A$12,Dienste!$C$12,IF(J3=Dienste!$A$13,Dienste!$C$13,IF(J3=Dienste!$A$14,Dienste!$C$14,IF(J3=Dienste!$A$15,Dienste!$C$15,IF(J3=Dienste!$A$16,Dienste!$C$16,IF(J3=Dienste!$A$17,Dienste!$C$17,IF(J3=Dienste!$A$18,Dienste!$C$18,IF(J3=Dienste!$A$19,Dienste!$C$19,IF(J3=Dienste!$A$20,Dienste!$C$20,IF(J3=Dienste!$A$21,Dienste!$C$21,IF(J3=Dienste!$A$22,Dienste!$C$22,IF(J3=Dienste!$A$23,Dienste!$C$23,IF(J3=Dienste!$A$24,Dienste!$C$24,IF(J3=Dienste!$A$25,Dienste!$C$25,IF(J3=Dienste!$A$26,Dienste!$C$26,IF(J3=Dienste!$A$27,Dienste!$C$27,IF(J3=Dienste!$A$28,Dienste!$C$28,IF(J3=Dienste!#REF!,Dienste!#REF!,IF(J3=Dienste!#REF!,Dienste!#REF!,IF(J3=Dienste!#REF!,Dienste!#REF!,IF(J3=Dienste!#REF!,Dienste!#REF!,IF(J3=Dienste!$A$33,Dienste!$C$33,IF(J3=Dienste!$A$34,Dienste!$C$34,IF(J3=Dienste!$A$35,Dienste!$C$35,IF(J3=Dienste!$A$36,Dienste!$C$36,)))))))))))))))))))))))))))))))))))</f>
        <v>8</v>
      </c>
      <c r="BE3" s="27">
        <f>IF(K3=Dienste!$A$2,Dienste!$C$2,IF(K3=Dienste!$A$3,Dienste!$C$3,IF(K3=Dienste!$A$4,Dienste!$C$4,IF(K3=Dienste!$A$5,Dienste!$C$5,IF(K3=Dienste!$A$6,Dienste!$C$6,IF(K3=Dienste!$A$7,Dienste!$C$7,IF(K3=Dienste!$A$8,Dienste!$C$8,IF(K3=Dienste!$A$9,Dienste!$C$9,IF(K3=Dienste!$A$10,Dienste!$C$10,IF(K3=Dienste!$A$11,Dienste!$C$11,IF(K3=Dienste!$A$12,Dienste!$C$12,IF(K3=Dienste!$A$13,Dienste!$C$13,IF(K3=Dienste!$A$14,Dienste!$C$14,IF(K3=Dienste!$A$15,Dienste!$C$15,IF(K3=Dienste!$A$16,Dienste!$C$16,IF(K3=Dienste!$A$17,Dienste!$C$17,IF(K3=Dienste!$A$18,Dienste!$C$18,IF(K3=Dienste!$A$19,Dienste!$C$19,IF(K3=Dienste!$A$20,Dienste!$C$20,IF(K3=Dienste!$A$21,Dienste!$C$21,IF(K3=Dienste!$A$22,Dienste!$C$22,IF(K3=Dienste!$A$23,Dienste!$C$23,IF(K3=Dienste!$A$24,Dienste!$C$24,IF(K3=Dienste!$A$25,Dienste!$C$25,IF(K3=Dienste!$A$26,Dienste!$C$26,IF(K3=Dienste!$A$27,Dienste!$C$27,IF(K3=Dienste!$A$28,Dienste!$C$28,IF(K3=Dienste!#REF!,Dienste!#REF!,IF(K3=Dienste!#REF!,Dienste!#REF!,IF(K3=Dienste!#REF!,Dienste!#REF!,IF(K3=Dienste!#REF!,Dienste!#REF!,IF(K3=Dienste!$A$33,Dienste!$C$33,IF(K3=Dienste!$A$34,Dienste!$C$34,IF(K3=Dienste!$A$35,Dienste!$C$35,IF(K3=Dienste!$A$36,Dienste!$C$36,)))))))))))))))))))))))))))))))))))</f>
        <v>0</v>
      </c>
      <c r="BF3" s="27">
        <f>IF(L3=Dienste!$A$2,Dienste!$C$2,IF(L3=Dienste!$A$3,Dienste!$C$3,IF(L3=Dienste!$A$4,Dienste!$C$4,IF(L3=Dienste!$A$5,Dienste!$C$5,IF(L3=Dienste!$A$6,Dienste!$C$6,IF(L3=Dienste!$A$7,Dienste!$C$7,IF(L3=Dienste!$A$8,Dienste!$C$8,IF(L3=Dienste!$A$9,Dienste!$C$9,IF(L3=Dienste!$A$10,Dienste!$C$10,IF(L3=Dienste!$A$11,Dienste!$C$11,IF(L3=Dienste!$A$12,Dienste!$C$12,IF(L3=Dienste!$A$13,Dienste!$C$13,IF(L3=Dienste!$A$14,Dienste!$C$14,IF(L3=Dienste!$A$15,Dienste!$C$15,IF(L3=Dienste!$A$16,Dienste!$C$16,IF(L3=Dienste!$A$17,Dienste!$C$17,IF(L3=Dienste!$A$18,Dienste!$C$18,IF(L3=Dienste!$A$19,Dienste!$C$19,IF(L3=Dienste!$A$20,Dienste!$C$20,IF(L3=Dienste!$A$21,Dienste!$C$21,IF(L3=Dienste!$A$22,Dienste!$C$22,IF(L3=Dienste!$A$23,Dienste!$C$23,IF(L3=Dienste!$A$24,Dienste!$C$24,IF(L3=Dienste!$A$25,Dienste!$C$25,IF(L3=Dienste!$A$26,Dienste!$C$26,IF(L3=Dienste!$A$27,Dienste!$C$27,IF(L3=Dienste!$A$28,Dienste!$C$28,IF(L3=Dienste!#REF!,Dienste!#REF!,IF(L3=Dienste!#REF!,Dienste!#REF!,IF(L3=Dienste!#REF!,Dienste!#REF!,IF(L3=Dienste!#REF!,Dienste!#REF!,IF(L3=Dienste!$A$33,Dienste!$C$33,IF(L3=Dienste!$A$34,Dienste!$C$34,IF(L3=Dienste!$A$35,Dienste!$C$35,IF(L3=Dienste!$A$36,Dienste!$C$36,)))))))))))))))))))))))))))))))))))</f>
        <v>0</v>
      </c>
      <c r="BG3" s="27">
        <f>IF(M3=Dienste!$A$2,Dienste!$C$2,IF(M3=Dienste!$A$3,Dienste!$C$3,IF(M3=Dienste!$A$4,Dienste!$C$4,IF(M3=Dienste!$A$5,Dienste!$C$5,IF(M3=Dienste!$A$6,Dienste!$C$6,IF(M3=Dienste!$A$7,Dienste!$C$7,IF(M3=Dienste!$A$8,Dienste!$C$8,IF(M3=Dienste!$A$9,Dienste!$C$9,IF(M3=Dienste!$A$10,Dienste!$C$10,IF(M3=Dienste!$A$11,Dienste!$C$11,IF(M3=Dienste!$A$12,Dienste!$C$12,IF(M3=Dienste!$A$13,Dienste!$C$13,IF(M3=Dienste!$A$14,Dienste!$C$14,IF(M3=Dienste!$A$15,Dienste!$C$15,IF(M3=Dienste!$A$16,Dienste!$C$16,IF(M3=Dienste!$A$17,Dienste!$C$17,IF(M3=Dienste!$A$18,Dienste!$C$18,IF(M3=Dienste!$A$19,Dienste!$C$19,IF(M3=Dienste!$A$20,Dienste!$C$20,IF(M3=Dienste!$A$21,Dienste!$C$21,IF(M3=Dienste!$A$22,Dienste!$C$22,IF(M3=Dienste!$A$23,Dienste!$C$23,IF(M3=Dienste!$A$24,Dienste!$C$24,IF(M3=Dienste!$A$25,Dienste!$C$25,IF(M3=Dienste!$A$26,Dienste!$C$26,IF(M3=Dienste!$A$27,Dienste!$C$27,IF(M3=Dienste!$A$28,Dienste!$C$28,IF(M3=Dienste!#REF!,Dienste!#REF!,IF(M3=Dienste!#REF!,Dienste!#REF!,IF(M3=Dienste!#REF!,Dienste!#REF!,IF(M3=Dienste!#REF!,Dienste!#REF!,IF(M3=Dienste!$A$33,Dienste!$C$33,IF(M3=Dienste!$A$34,Dienste!$C$34,IF(M3=Dienste!$A$35,Dienste!$C$35,IF(M3=Dienste!$A$36,Dienste!$C$36,)))))))))))))))))))))))))))))))))))</f>
        <v>8</v>
      </c>
      <c r="BH3" s="27">
        <f>IF(N3=Dienste!$A$2,Dienste!$C$2,IF(N3=Dienste!$A$3,Dienste!$C$3,IF(N3=Dienste!$A$4,Dienste!$C$4,IF(N3=Dienste!$A$5,Dienste!$C$5,IF(N3=Dienste!$A$6,Dienste!$C$6,IF(N3=Dienste!$A$7,Dienste!$C$7,IF(N3=Dienste!$A$8,Dienste!$C$8,IF(N3=Dienste!$A$9,Dienste!$C$9,IF(N3=Dienste!$A$10,Dienste!$C$10,IF(N3=Dienste!$A$11,Dienste!$C$11,IF(N3=Dienste!$A$12,Dienste!$C$12,IF(N3=Dienste!$A$13,Dienste!$C$13,IF(N3=Dienste!$A$14,Dienste!$C$14,IF(N3=Dienste!$A$15,Dienste!$C$15,IF(N3=Dienste!$A$16,Dienste!$C$16,IF(N3=Dienste!$A$17,Dienste!$C$17,IF(N3=Dienste!$A$18,Dienste!$C$18,IF(N3=Dienste!$A$19,Dienste!$C$19,IF(N3=Dienste!$A$20,Dienste!$C$20,IF(N3=Dienste!$A$21,Dienste!$C$21,IF(N3=Dienste!$A$22,Dienste!$C$22,IF(N3=Dienste!$A$23,Dienste!$C$23,IF(N3=Dienste!$A$24,Dienste!$C$24,IF(N3=Dienste!$A$25,Dienste!$C$25,IF(N3=Dienste!$A$26,Dienste!$C$26,IF(N3=Dienste!$A$27,Dienste!$C$27,IF(N3=Dienste!$A$28,Dienste!$C$28,IF(N3=Dienste!#REF!,Dienste!#REF!,IF(N3=Dienste!#REF!,Dienste!#REF!,IF(N3=Dienste!#REF!,Dienste!#REF!,IF(N3=Dienste!#REF!,Dienste!#REF!,IF(N3=Dienste!$A$33,Dienste!$C$33,IF(N3=Dienste!$A$34,Dienste!$C$34,IF(N3=Dienste!$A$35,Dienste!$C$35,IF(N3=Dienste!$A$36,Dienste!$C$36,)))))))))))))))))))))))))))))))))))</f>
        <v>8</v>
      </c>
      <c r="BI3" s="27">
        <f>IF(O3=Dienste!$A$2,Dienste!$C$2,IF(O3=Dienste!$A$3,Dienste!$C$3,IF(O3=Dienste!$A$4,Dienste!$C$4,IF(O3=Dienste!$A$5,Dienste!$C$5,IF(O3=Dienste!$A$6,Dienste!$C$6,IF(O3=Dienste!$A$7,Dienste!$C$7,IF(O3=Dienste!$A$8,Dienste!$C$8,IF(O3=Dienste!$A$9,Dienste!$C$9,IF(O3=Dienste!$A$10,Dienste!$C$10,IF(O3=Dienste!$A$11,Dienste!$C$11,IF(O3=Dienste!$A$12,Dienste!$C$12,IF(O3=Dienste!$A$13,Dienste!$C$13,IF(O3=Dienste!$A$14,Dienste!$C$14,IF(O3=Dienste!$A$15,Dienste!$C$15,IF(O3=Dienste!$A$16,Dienste!$C$16,IF(O3=Dienste!$A$17,Dienste!$C$17,IF(O3=Dienste!$A$18,Dienste!$C$18,IF(O3=Dienste!$A$19,Dienste!$C$19,IF(O3=Dienste!$A$20,Dienste!$C$20,IF(O3=Dienste!$A$21,Dienste!$C$21,IF(O3=Dienste!$A$22,Dienste!$C$22,IF(O3=Dienste!$A$23,Dienste!$C$23,IF(O3=Dienste!$A$24,Dienste!$C$24,IF(O3=Dienste!$A$25,Dienste!$C$25,IF(O3=Dienste!$A$26,Dienste!$C$26,IF(O3=Dienste!$A$27,Dienste!$C$27,IF(O3=Dienste!$A$28,Dienste!$C$28,IF(O3=Dienste!#REF!,Dienste!#REF!,IF(O3=Dienste!#REF!,Dienste!#REF!,IF(O3=Dienste!#REF!,Dienste!#REF!,IF(O3=Dienste!#REF!,Dienste!#REF!,IF(O3=Dienste!$A$33,Dienste!$C$33,IF(O3=Dienste!$A$34,Dienste!$C$34,IF(O3=Dienste!$A$35,Dienste!$C$35,IF(O3=Dienste!$A$36,Dienste!$C$36,)))))))))))))))))))))))))))))))))))</f>
        <v>8</v>
      </c>
      <c r="BJ3" s="27">
        <f>IF(P3=Dienste!$A$2,Dienste!$C$2,IF(P3=Dienste!$A$3,Dienste!$C$3,IF(P3=Dienste!$A$4,Dienste!$C$4,IF(P3=Dienste!$A$5,Dienste!$C$5,IF(P3=Dienste!$A$6,Dienste!$C$6,IF(P3=Dienste!$A$7,Dienste!$C$7,IF(P3=Dienste!$A$8,Dienste!$C$8,IF(P3=Dienste!$A$9,Dienste!$C$9,IF(P3=Dienste!$A$10,Dienste!$C$10,IF(P3=Dienste!$A$11,Dienste!$C$11,IF(P3=Dienste!$A$12,Dienste!$C$12,IF(P3=Dienste!$A$13,Dienste!$C$13,IF(P3=Dienste!$A$14,Dienste!$C$14,IF(P3=Dienste!$A$15,Dienste!$C$15,IF(P3=Dienste!$A$16,Dienste!$C$16,IF(P3=Dienste!$A$17,Dienste!$C$17,IF(P3=Dienste!$A$18,Dienste!$C$18,IF(P3=Dienste!$A$19,Dienste!$C$19,IF(P3=Dienste!$A$20,Dienste!$C$20,IF(P3=Dienste!$A$21,Dienste!$C$21,IF(P3=Dienste!$A$22,Dienste!$C$22,IF(P3=Dienste!$A$23,Dienste!$C$23,IF(P3=Dienste!$A$24,Dienste!$C$24,IF(P3=Dienste!$A$25,Dienste!$C$25,IF(P3=Dienste!$A$26,Dienste!$C$26,IF(P3=Dienste!$A$27,Dienste!$C$27,IF(P3=Dienste!$A$28,Dienste!$C$28,IF(P3=Dienste!#REF!,Dienste!#REF!,IF(P3=Dienste!#REF!,Dienste!#REF!,IF(P3=Dienste!#REF!,Dienste!#REF!,IF(P3=Dienste!#REF!,Dienste!#REF!,IF(P3=Dienste!$A$33,Dienste!$C$33,IF(P3=Dienste!$A$34,Dienste!$C$34,IF(P3=Dienste!$A$35,Dienste!$C$35,IF(P3=Dienste!$A$36,Dienste!$C$36,)))))))))))))))))))))))))))))))))))</f>
        <v>8</v>
      </c>
      <c r="BK3" s="27">
        <f>IF(Q3=Dienste!$A$2,Dienste!$C$2,IF(Q3=Dienste!$A$3,Dienste!$C$3,IF(Q3=Dienste!$A$4,Dienste!$C$4,IF(Q3=Dienste!$A$5,Dienste!$C$5,IF(Q3=Dienste!$A$6,Dienste!$C$6,IF(Q3=Dienste!$A$7,Dienste!$C$7,IF(Q3=Dienste!$A$8,Dienste!$C$8,IF(Q3=Dienste!$A$9,Dienste!$C$9,IF(Q3=Dienste!$A$10,Dienste!$C$10,IF(Q3=Dienste!$A$11,Dienste!$C$11,IF(Q3=Dienste!$A$12,Dienste!$C$12,IF(Q3=Dienste!$A$13,Dienste!$C$13,IF(Q3=Dienste!$A$14,Dienste!$C$14,IF(Q3=Dienste!$A$15,Dienste!$C$15,IF(Q3=Dienste!$A$16,Dienste!$C$16,IF(Q3=Dienste!$A$17,Dienste!$C$17,IF(Q3=Dienste!$A$18,Dienste!$C$18,IF(Q3=Dienste!$A$19,Dienste!$C$19,IF(Q3=Dienste!$A$20,Dienste!$C$20,IF(Q3=Dienste!$A$21,Dienste!$C$21,IF(Q3=Dienste!$A$22,Dienste!$C$22,IF(Q3=Dienste!$A$23,Dienste!$C$23,IF(Q3=Dienste!$A$24,Dienste!$C$24,IF(Q3=Dienste!$A$25,Dienste!$C$25,IF(Q3=Dienste!$A$26,Dienste!$C$26,IF(Q3=Dienste!$A$27,Dienste!$C$27,IF(Q3=Dienste!$A$28,Dienste!$C$28,IF(Q3=Dienste!#REF!,Dienste!#REF!,IF(Q3=Dienste!#REF!,Dienste!#REF!,IF(Q3=Dienste!#REF!,Dienste!#REF!,IF(Q3=Dienste!#REF!,Dienste!#REF!,IF(Q3=Dienste!$A$33,Dienste!$C$33,IF(Q3=Dienste!$A$34,Dienste!$C$34,IF(Q3=Dienste!$A$35,Dienste!$C$35,IF(Q3=Dienste!$A$36,Dienste!$C$36,)))))))))))))))))))))))))))))))))))</f>
        <v>8</v>
      </c>
      <c r="BL3" s="27">
        <f>IF(R3=Dienste!$A$2,Dienste!$C$2,IF(R3=Dienste!$A$3,Dienste!$C$3,IF(R3=Dienste!$A$4,Dienste!$C$4,IF(R3=Dienste!$A$5,Dienste!$C$5,IF(R3=Dienste!$A$6,Dienste!$C$6,IF(R3=Dienste!$A$7,Dienste!$C$7,IF(R3=Dienste!$A$8,Dienste!$C$8,IF(R3=Dienste!$A$9,Dienste!$C$9,IF(R3=Dienste!$A$10,Dienste!$C$10,IF(R3=Dienste!$A$11,Dienste!$C$11,IF(R3=Dienste!$A$12,Dienste!$C$12,IF(R3=Dienste!$A$13,Dienste!$C$13,IF(R3=Dienste!$A$14,Dienste!$C$14,IF(R3=Dienste!$A$15,Dienste!$C$15,IF(R3=Dienste!$A$16,Dienste!$C$16,IF(R3=Dienste!$A$17,Dienste!$C$17,IF(R3=Dienste!$A$18,Dienste!$C$18,IF(R3=Dienste!$A$19,Dienste!$C$19,IF(R3=Dienste!$A$20,Dienste!$C$20,IF(R3=Dienste!$A$21,Dienste!$C$21,IF(R3=Dienste!$A$22,Dienste!$C$22,IF(R3=Dienste!$A$23,Dienste!$C$23,IF(R3=Dienste!$A$24,Dienste!$C$24,IF(R3=Dienste!$A$25,Dienste!$C$25,IF(R3=Dienste!$A$26,Dienste!$C$26,IF(R3=Dienste!$A$27,Dienste!$C$27,IF(R3=Dienste!$A$28,Dienste!$C$28,IF(R3=Dienste!#REF!,Dienste!#REF!,IF(R3=Dienste!#REF!,Dienste!#REF!,IF(R3=Dienste!#REF!,Dienste!#REF!,IF(R3=Dienste!#REF!,Dienste!#REF!,IF(R3=Dienste!$A$33,Dienste!$C$33,IF(R3=Dienste!$A$34,Dienste!$C$34,IF(R3=Dienste!$A$35,Dienste!$C$35,IF(R3=Dienste!$A$36,Dienste!$C$36,)))))))))))))))))))))))))))))))))))</f>
        <v>0</v>
      </c>
      <c r="BM3" s="27">
        <f>IF(S3=Dienste!$A$2,Dienste!$C$2,IF(S3=Dienste!$A$3,Dienste!$C$3,IF(S3=Dienste!$A$4,Dienste!$C$4,IF(S3=Dienste!$A$5,Dienste!$C$5,IF(S3=Dienste!$A$6,Dienste!$C$6,IF(S3=Dienste!$A$7,Dienste!$C$7,IF(S3=Dienste!$A$8,Dienste!$C$8,IF(S3=Dienste!$A$9,Dienste!$C$9,IF(S3=Dienste!$A$10,Dienste!$C$10,IF(S3=Dienste!$A$11,Dienste!$C$11,IF(S3=Dienste!$A$12,Dienste!$C$12,IF(S3=Dienste!$A$13,Dienste!$C$13,IF(S3=Dienste!$A$14,Dienste!$C$14,IF(S3=Dienste!$A$15,Dienste!$C$15,IF(S3=Dienste!$A$16,Dienste!$C$16,IF(S3=Dienste!$A$17,Dienste!$C$17,IF(S3=Dienste!$A$18,Dienste!$C$18,IF(S3=Dienste!$A$19,Dienste!$C$19,IF(S3=Dienste!$A$20,Dienste!$C$20,IF(S3=Dienste!$A$21,Dienste!$C$21,IF(S3=Dienste!$A$22,Dienste!$C$22,IF(S3=Dienste!$A$23,Dienste!$C$23,IF(S3=Dienste!$A$24,Dienste!$C$24,IF(S3=Dienste!$A$25,Dienste!$C$25,IF(S3=Dienste!$A$26,Dienste!$C$26,IF(S3=Dienste!$A$27,Dienste!$C$27,IF(S3=Dienste!$A$28,Dienste!$C$28,IF(S3=Dienste!#REF!,Dienste!#REF!,IF(S3=Dienste!#REF!,Dienste!#REF!,IF(S3=Dienste!#REF!,Dienste!#REF!,IF(S3=Dienste!#REF!,Dienste!#REF!,IF(S3=Dienste!$A$33,Dienste!$C$33,IF(S3=Dienste!$A$34,Dienste!$C$34,IF(S3=Dienste!$A$35,Dienste!$C$35,IF(S3=Dienste!$A$36,Dienste!$C$36,)))))))))))))))))))))))))))))))))))</f>
        <v>0</v>
      </c>
      <c r="BN3" s="27">
        <f>IF(T3=Dienste!$A$2,Dienste!$C$2,IF(T3=Dienste!$A$3,Dienste!$C$3,IF(T3=Dienste!$A$4,Dienste!$C$4,IF(T3=Dienste!$A$5,Dienste!$C$5,IF(T3=Dienste!$A$6,Dienste!$C$6,IF(T3=Dienste!$A$7,Dienste!$C$7,IF(T3=Dienste!$A$8,Dienste!$C$8,IF(T3=Dienste!$A$9,Dienste!$C$9,IF(T3=Dienste!$A$10,Dienste!$C$10,IF(T3=Dienste!$A$11,Dienste!$C$11,IF(T3=Dienste!$A$12,Dienste!$C$12,IF(T3=Dienste!$A$13,Dienste!$C$13,IF(T3=Dienste!$A$14,Dienste!$C$14,IF(T3=Dienste!$A$15,Dienste!$C$15,IF(T3=Dienste!$A$16,Dienste!$C$16,IF(T3=Dienste!$A$17,Dienste!$C$17,IF(T3=Dienste!$A$18,Dienste!$C$18,IF(T3=Dienste!$A$19,Dienste!$C$19,IF(T3=Dienste!$A$20,Dienste!$C$20,IF(T3=Dienste!$A$21,Dienste!$C$21,IF(T3=Dienste!$A$22,Dienste!$C$22,IF(T3=Dienste!$A$23,Dienste!$C$23,IF(T3=Dienste!$A$24,Dienste!$C$24,IF(T3=Dienste!$A$25,Dienste!$C$25,IF(T3=Dienste!$A$26,Dienste!$C$26,IF(T3=Dienste!$A$27,Dienste!$C$27,IF(T3=Dienste!$A$28,Dienste!$C$28,IF(T3=Dienste!#REF!,Dienste!#REF!,IF(T3=Dienste!#REF!,Dienste!#REF!,IF(T3=Dienste!#REF!,Dienste!#REF!,IF(T3=Dienste!#REF!,Dienste!#REF!,IF(T3=Dienste!$A$33,Dienste!$C$33,IF(T3=Dienste!$A$34,Dienste!$C$34,IF(T3=Dienste!$A$35,Dienste!$C$35,IF(T3=Dienste!$A$36,Dienste!$C$36,)))))))))))))))))))))))))))))))))))</f>
        <v>8</v>
      </c>
      <c r="BO3" s="27">
        <f>IF(U3=Dienste!$A$2,Dienste!$C$2,IF(U3=Dienste!$A$3,Dienste!$C$3,IF(U3=Dienste!$A$4,Dienste!$C$4,IF(U3=Dienste!$A$5,Dienste!$C$5,IF(U3=Dienste!$A$6,Dienste!$C$6,IF(U3=Dienste!$A$7,Dienste!$C$7,IF(U3=Dienste!$A$8,Dienste!$C$8,IF(U3=Dienste!$A$9,Dienste!$C$9,IF(U3=Dienste!$A$10,Dienste!$C$10,IF(U3=Dienste!$A$11,Dienste!$C$11,IF(U3=Dienste!$A$12,Dienste!$C$12,IF(U3=Dienste!$A$13,Dienste!$C$13,IF(U3=Dienste!$A$14,Dienste!$C$14,IF(U3=Dienste!$A$15,Dienste!$C$15,IF(U3=Dienste!$A$16,Dienste!$C$16,IF(U3=Dienste!$A$17,Dienste!$C$17,IF(U3=Dienste!$A$18,Dienste!$C$18,IF(U3=Dienste!$A$19,Dienste!$C$19,IF(U3=Dienste!$A$20,Dienste!$C$20,IF(U3=Dienste!$A$21,Dienste!$C$21,IF(U3=Dienste!$A$22,Dienste!$C$22,IF(U3=Dienste!$A$23,Dienste!$C$23,IF(U3=Dienste!$A$24,Dienste!$C$24,IF(U3=Dienste!$A$25,Dienste!$C$25,IF(U3=Dienste!$A$26,Dienste!$C$26,IF(U3=Dienste!$A$27,Dienste!$C$27,IF(U3=Dienste!$A$28,Dienste!$C$28,IF(U3=Dienste!#REF!,Dienste!#REF!,IF(U3=Dienste!#REF!,Dienste!#REF!,IF(U3=Dienste!#REF!,Dienste!#REF!,IF(U3=Dienste!#REF!,Dienste!#REF!,IF(U3=Dienste!$A$33,Dienste!$C$33,IF(U3=Dienste!$A$34,Dienste!$C$34,IF(U3=Dienste!$A$35,Dienste!$C$35,IF(U3=Dienste!$A$36,Dienste!$C$36,)))))))))))))))))))))))))))))))))))</f>
        <v>0</v>
      </c>
      <c r="BP3" s="27">
        <f>IF(V3=Dienste!$A$2,Dienste!$C$2,IF(V3=Dienste!$A$3,Dienste!$C$3,IF(V3=Dienste!$A$4,Dienste!$C$4,IF(V3=Dienste!$A$5,Dienste!$C$5,IF(V3=Dienste!$A$6,Dienste!$C$6,IF(V3=Dienste!$A$7,Dienste!$C$7,IF(V3=Dienste!$A$8,Dienste!$C$8,IF(V3=Dienste!$A$9,Dienste!$C$9,IF(V3=Dienste!$A$10,Dienste!$C$10,IF(V3=Dienste!$A$11,Dienste!$C$11,IF(V3=Dienste!$A$12,Dienste!$C$12,IF(V3=Dienste!$A$13,Dienste!$C$13,IF(V3=Dienste!$A$14,Dienste!$C$14,IF(V3=Dienste!$A$15,Dienste!$C$15,IF(V3=Dienste!$A$16,Dienste!$C$16,IF(V3=Dienste!$A$17,Dienste!$C$17,IF(V3=Dienste!$A$18,Dienste!$C$18,IF(V3=Dienste!$A$19,Dienste!$C$19,IF(V3=Dienste!$A$20,Dienste!$C$20,IF(V3=Dienste!$A$21,Dienste!$C$21,IF(V3=Dienste!$A$22,Dienste!$C$22,IF(V3=Dienste!$A$23,Dienste!$C$23,IF(V3=Dienste!$A$24,Dienste!$C$24,IF(V3=Dienste!$A$25,Dienste!$C$25,IF(V3=Dienste!$A$26,Dienste!$C$26,IF(V3=Dienste!$A$27,Dienste!$C$27,IF(V3=Dienste!$A$28,Dienste!$C$28,IF(V3=Dienste!#REF!,Dienste!#REF!,IF(V3=Dienste!#REF!,Dienste!#REF!,IF(V3=Dienste!#REF!,Dienste!#REF!,IF(V3=Dienste!#REF!,Dienste!#REF!,IF(V3=Dienste!$A$33,Dienste!$C$33,IF(V3=Dienste!$A$34,Dienste!$C$34,IF(V3=Dienste!$A$35,Dienste!$C$35,IF(V3=Dienste!$A$36,Dienste!$C$36,)))))))))))))))))))))))))))))))))))</f>
        <v>0</v>
      </c>
      <c r="BQ3" s="27">
        <f>IF(W3=Dienste!$A$2,Dienste!$C$2,IF(W3=Dienste!$A$3,Dienste!$C$3,IF(W3=Dienste!$A$4,Dienste!$C$4,IF(W3=Dienste!$A$5,Dienste!$C$5,IF(W3=Dienste!$A$6,Dienste!$C$6,IF(W3=Dienste!$A$7,Dienste!$C$7,IF(W3=Dienste!$A$8,Dienste!$C$8,IF(W3=Dienste!$A$9,Dienste!$C$9,IF(W3=Dienste!$A$10,Dienste!$C$10,IF(W3=Dienste!$A$11,Dienste!$C$11,IF(W3=Dienste!$A$12,Dienste!$C$12,IF(W3=Dienste!$A$13,Dienste!$C$13,IF(W3=Dienste!$A$14,Dienste!$C$14,IF(W3=Dienste!$A$15,Dienste!$C$15,IF(W3=Dienste!$A$16,Dienste!$C$16,IF(W3=Dienste!$A$17,Dienste!$C$17,IF(W3=Dienste!$A$18,Dienste!$C$18,IF(W3=Dienste!$A$19,Dienste!$C$19,IF(W3=Dienste!$A$20,Dienste!$C$20,IF(W3=Dienste!$A$21,Dienste!$C$21,IF(W3=Dienste!$A$22,Dienste!$C$22,IF(W3=Dienste!$A$23,Dienste!$C$23,IF(W3=Dienste!$A$24,Dienste!$C$24,IF(W3=Dienste!$A$25,Dienste!$C$25,IF(W3=Dienste!$A$26,Dienste!$C$26,IF(W3=Dienste!$A$27,Dienste!$C$27,IF(W3=Dienste!$A$28,Dienste!$C$28,IF(W3=Dienste!#REF!,Dienste!#REF!,IF(W3=Dienste!#REF!,Dienste!#REF!,IF(W3=Dienste!#REF!,Dienste!#REF!,IF(W3=Dienste!#REF!,Dienste!#REF!,IF(W3=Dienste!$A$33,Dienste!$C$33,IF(W3=Dienste!$A$34,Dienste!$C$34,IF(W3=Dienste!$A$35,Dienste!$C$35,IF(W3=Dienste!$A$36,Dienste!$C$36,)))))))))))))))))))))))))))))))))))</f>
        <v>8</v>
      </c>
      <c r="BR3" s="27">
        <f>IF(X3=Dienste!$A$2,Dienste!$C$2,IF(X3=Dienste!$A$3,Dienste!$C$3,IF(X3=Dienste!$A$4,Dienste!$C$4,IF(X3=Dienste!$A$5,Dienste!$C$5,IF(X3=Dienste!$A$6,Dienste!$C$6,IF(X3=Dienste!$A$7,Dienste!$C$7,IF(X3=Dienste!$A$8,Dienste!$C$8,IF(X3=Dienste!$A$9,Dienste!$C$9,IF(X3=Dienste!$A$10,Dienste!$C$10,IF(X3=Dienste!$A$11,Dienste!$C$11,IF(X3=Dienste!$A$12,Dienste!$C$12,IF(X3=Dienste!$A$13,Dienste!$C$13,IF(X3=Dienste!$A$14,Dienste!$C$14,IF(X3=Dienste!$A$15,Dienste!$C$15,IF(X3=Dienste!$A$16,Dienste!$C$16,IF(X3=Dienste!$A$17,Dienste!$C$17,IF(X3=Dienste!$A$18,Dienste!$C$18,IF(X3=Dienste!$A$19,Dienste!$C$19,IF(X3=Dienste!$A$20,Dienste!$C$20,IF(X3=Dienste!$A$21,Dienste!$C$21,IF(X3=Dienste!$A$22,Dienste!$C$22,IF(X3=Dienste!$A$23,Dienste!$C$23,IF(X3=Dienste!$A$24,Dienste!$C$24,IF(X3=Dienste!$A$25,Dienste!$C$25,IF(X3=Dienste!$A$26,Dienste!$C$26,IF(X3=Dienste!$A$27,Dienste!$C$27,IF(X3=Dienste!$A$28,Dienste!$C$28,IF(X3=Dienste!#REF!,Dienste!#REF!,IF(X3=Dienste!#REF!,Dienste!#REF!,IF(X3=Dienste!#REF!,Dienste!#REF!,IF(X3=Dienste!#REF!,Dienste!#REF!,IF(X3=Dienste!$A$33,Dienste!$C$33,IF(X3=Dienste!$A$34,Dienste!$C$34,IF(X3=Dienste!$A$35,Dienste!$C$35,IF(X3=Dienste!$A$36,Dienste!$C$36,)))))))))))))))))))))))))))))))))))</f>
        <v>8</v>
      </c>
      <c r="BS3" s="27">
        <f>IF(Y3=Dienste!$A$2,Dienste!$C$2,IF(Y3=Dienste!$A$3,Dienste!$C$3,IF(Y3=Dienste!$A$4,Dienste!$C$4,IF(Y3=Dienste!$A$5,Dienste!$C$5,IF(Y3=Dienste!$A$6,Dienste!$C$6,IF(Y3=Dienste!$A$7,Dienste!$C$7,IF(Y3=Dienste!$A$8,Dienste!$C$8,IF(Y3=Dienste!$A$9,Dienste!$C$9,IF(Y3=Dienste!$A$10,Dienste!$C$10,IF(Y3=Dienste!$A$11,Dienste!$C$11,IF(Y3=Dienste!$A$12,Dienste!$C$12,IF(Y3=Dienste!$A$13,Dienste!$C$13,IF(Y3=Dienste!$A$14,Dienste!$C$14,IF(Y3=Dienste!$A$15,Dienste!$C$15,IF(Y3=Dienste!$A$16,Dienste!$C$16,IF(Y3=Dienste!$A$17,Dienste!$C$17,IF(Y3=Dienste!$A$18,Dienste!$C$18,IF(Y3=Dienste!$A$19,Dienste!$C$19,IF(Y3=Dienste!$A$20,Dienste!$C$20,IF(Y3=Dienste!$A$21,Dienste!$C$21,IF(Y3=Dienste!$A$22,Dienste!$C$22,IF(Y3=Dienste!$A$23,Dienste!$C$23,IF(Y3=Dienste!$A$24,Dienste!$C$24,IF(Y3=Dienste!$A$25,Dienste!$C$25,IF(Y3=Dienste!$A$26,Dienste!$C$26,IF(Y3=Dienste!$A$27,Dienste!$C$27,IF(Y3=Dienste!$A$28,Dienste!$C$28,IF(Y3=Dienste!#REF!,Dienste!#REF!,IF(Y3=Dienste!#REF!,Dienste!#REF!,IF(Y3=Dienste!#REF!,Dienste!#REF!,IF(Y3=Dienste!#REF!,Dienste!#REF!,IF(Y3=Dienste!$A$33,Dienste!$C$33,IF(Y3=Dienste!$A$34,Dienste!$C$34,IF(Y3=Dienste!$A$35,Dienste!$C$35,IF(Y3=Dienste!$A$36,Dienste!$C$36,)))))))))))))))))))))))))))))))))))</f>
        <v>0</v>
      </c>
      <c r="BT3" s="27">
        <f>IF(Z3=Dienste!$A$2,Dienste!$C$2,IF(Z3=Dienste!$A$3,Dienste!$C$3,IF(Z3=Dienste!$A$4,Dienste!$C$4,IF(Z3=Dienste!$A$5,Dienste!$C$5,IF(Z3=Dienste!$A$6,Dienste!$C$6,IF(Z3=Dienste!$A$7,Dienste!$C$7,IF(Z3=Dienste!$A$8,Dienste!$C$8,IF(Z3=Dienste!$A$9,Dienste!$C$9,IF(Z3=Dienste!$A$10,Dienste!$C$10,IF(Z3=Dienste!$A$11,Dienste!$C$11,IF(Z3=Dienste!$A$12,Dienste!$C$12,IF(Z3=Dienste!$A$13,Dienste!$C$13,IF(Z3=Dienste!$A$14,Dienste!$C$14,IF(Z3=Dienste!$A$15,Dienste!$C$15,IF(Z3=Dienste!$A$16,Dienste!$C$16,IF(Z3=Dienste!$A$17,Dienste!$C$17,IF(Z3=Dienste!$A$18,Dienste!$C$18,IF(Z3=Dienste!$A$19,Dienste!$C$19,IF(Z3=Dienste!$A$20,Dienste!$C$20,IF(Z3=Dienste!$A$21,Dienste!$C$21,IF(Z3=Dienste!$A$22,Dienste!$C$22,IF(Z3=Dienste!$A$23,Dienste!$C$23,IF(Z3=Dienste!$A$24,Dienste!$C$24,IF(Z3=Dienste!$A$25,Dienste!$C$25,IF(Z3=Dienste!$A$26,Dienste!$C$26,IF(Z3=Dienste!$A$27,Dienste!$C$27,IF(Z3=Dienste!$A$28,Dienste!$C$28,IF(Z3=Dienste!#REF!,Dienste!#REF!,IF(Z3=Dienste!#REF!,Dienste!#REF!,IF(Z3=Dienste!#REF!,Dienste!#REF!,IF(Z3=Dienste!#REF!,Dienste!#REF!,IF(Z3=Dienste!$A$33,Dienste!$C$33,IF(Z3=Dienste!$A$34,Dienste!$C$34,IF(Z3=Dienste!$A$35,Dienste!$C$35,IF(Z3=Dienste!$A$36,Dienste!$C$36,)))))))))))))))))))))))))))))))))))</f>
        <v>0</v>
      </c>
      <c r="BU3" s="27">
        <f>IF(AA3=Dienste!$A$2,Dienste!$C$2,IF(AA3=Dienste!$A$3,Dienste!$C$3,IF(AA3=Dienste!$A$4,Dienste!$C$4,IF(AA3=Dienste!$A$5,Dienste!$C$5,IF(AA3=Dienste!$A$6,Dienste!$C$6,IF(AA3=Dienste!$A$7,Dienste!$C$7,IF(AA3=Dienste!$A$8,Dienste!$C$8,IF(AA3=Dienste!$A$9,Dienste!$C$9,IF(AA3=Dienste!$A$10,Dienste!$C$10,IF(AA3=Dienste!$A$11,Dienste!$C$11,IF(AA3=Dienste!$A$12,Dienste!$C$12,IF(AA3=Dienste!$A$13,Dienste!$C$13,IF(AA3=Dienste!$A$14,Dienste!$C$14,IF(AA3=Dienste!$A$15,Dienste!$C$15,IF(AA3=Dienste!$A$16,Dienste!$C$16,IF(AA3=Dienste!$A$17,Dienste!$C$17,IF(AA3=Dienste!$A$18,Dienste!$C$18,IF(AA3=Dienste!$A$19,Dienste!$C$19,IF(AA3=Dienste!$A$20,Dienste!$C$20,IF(AA3=Dienste!$A$21,Dienste!$C$21,IF(AA3=Dienste!$A$22,Dienste!$C$22,IF(AA3=Dienste!$A$23,Dienste!$C$23,IF(AA3=Dienste!$A$24,Dienste!$C$24,IF(AA3=Dienste!$A$25,Dienste!$C$25,IF(AA3=Dienste!$A$26,Dienste!$C$26,IF(AA3=Dienste!$A$27,Dienste!$C$27,IF(AA3=Dienste!$A$28,Dienste!$C$28,IF(AA3=Dienste!#REF!,Dienste!#REF!,IF(AA3=Dienste!#REF!,Dienste!#REF!,IF(AA3=Dienste!#REF!,Dienste!#REF!,IF(AA3=Dienste!#REF!,Dienste!#REF!,IF(AA3=Dienste!$A$33,Dienste!$C$33,IF(AA3=Dienste!$A$34,Dienste!$C$34,IF(AA3=Dienste!$A$35,Dienste!$C$35,IF(AA3=Dienste!$A$36,Dienste!$C$36,)))))))))))))))))))))))))))))))))))</f>
        <v>8</v>
      </c>
      <c r="BV3" s="27">
        <f>IF(AB3=Dienste!$A$2,Dienste!$C$2,IF(AB3=Dienste!$A$3,Dienste!$C$3,IF(AB3=Dienste!$A$4,Dienste!$C$4,IF(AB3=Dienste!$A$5,Dienste!$C$5,IF(AB3=Dienste!$A$6,Dienste!$C$6,IF(AB3=Dienste!$A$7,Dienste!$C$7,IF(AB3=Dienste!$A$8,Dienste!$C$8,IF(AB3=Dienste!$A$9,Dienste!$C$9,IF(AB3=Dienste!$A$10,Dienste!$C$10,IF(AB3=Dienste!$A$11,Dienste!$C$11,IF(AB3=Dienste!$A$12,Dienste!$C$12,IF(AB3=Dienste!$A$13,Dienste!$C$13,IF(AB3=Dienste!$A$14,Dienste!$C$14,IF(AB3=Dienste!$A$15,Dienste!$C$15,IF(AB3=Dienste!$A$16,Dienste!$C$16,IF(AB3=Dienste!$A$17,Dienste!$C$17,IF(AB3=Dienste!$A$18,Dienste!$C$18,IF(AB3=Dienste!$A$19,Dienste!$C$19,IF(AB3=Dienste!$A$20,Dienste!$C$20,IF(AB3=Dienste!$A$21,Dienste!$C$21,IF(AB3=Dienste!$A$22,Dienste!$C$22,IF(AB3=Dienste!$A$23,Dienste!$C$23,IF(AB3=Dienste!$A$24,Dienste!$C$24,IF(AB3=Dienste!$A$25,Dienste!$C$25,IF(AB3=Dienste!$A$26,Dienste!$C$26,IF(AB3=Dienste!$A$27,Dienste!$C$27,IF(AB3=Dienste!$A$28,Dienste!$C$28,IF(AB3=Dienste!#REF!,Dienste!#REF!,IF(AB3=Dienste!#REF!,Dienste!#REF!,IF(AB3=Dienste!#REF!,Dienste!#REF!,IF(AB3=Dienste!#REF!,Dienste!#REF!,IF(AB3=Dienste!$A$33,Dienste!$C$33,IF(AB3=Dienste!$A$34,Dienste!$C$34,IF(AB3=Dienste!$A$35,Dienste!$C$35,IF(AB3=Dienste!$A$36,Dienste!$C$36,)))))))))))))))))))))))))))))))))))</f>
        <v>8</v>
      </c>
      <c r="BW3" s="27">
        <f>IF(AC3=Dienste!$A$2,Dienste!$C$2,IF(AC3=Dienste!$A$3,Dienste!$C$3,IF(AC3=Dienste!$A$4,Dienste!$C$4,IF(AC3=Dienste!$A$5,Dienste!$C$5,IF(AC3=Dienste!$A$6,Dienste!$C$6,IF(AC3=Dienste!$A$7,Dienste!$C$7,IF(AC3=Dienste!$A$8,Dienste!$C$8,IF(AC3=Dienste!$A$9,Dienste!$C$9,IF(AC3=Dienste!$A$10,Dienste!$C$10,IF(AC3=Dienste!$A$11,Dienste!$C$11,IF(AC3=Dienste!$A$12,Dienste!$C$12,IF(AC3=Dienste!$A$13,Dienste!$C$13,IF(AC3=Dienste!$A$14,Dienste!$C$14,IF(AC3=Dienste!$A$15,Dienste!$C$15,IF(AC3=Dienste!$A$16,Dienste!$C$16,IF(AC3=Dienste!$A$17,Dienste!$C$17,IF(AC3=Dienste!$A$18,Dienste!$C$18,IF(AC3=Dienste!$A$19,Dienste!$C$19,IF(AC3=Dienste!$A$20,Dienste!$C$20,IF(AC3=Dienste!$A$21,Dienste!$C$21,IF(AC3=Dienste!$A$22,Dienste!$C$22,IF(AC3=Dienste!$A$23,Dienste!$C$23,IF(AC3=Dienste!$A$24,Dienste!$C$24,IF(AC3=Dienste!$A$25,Dienste!$C$25,IF(AC3=Dienste!$A$26,Dienste!$C$26,IF(AC3=Dienste!$A$27,Dienste!$C$27,IF(AC3=Dienste!$A$28,Dienste!$C$28,IF(AC3=Dienste!#REF!,Dienste!#REF!,IF(AC3=Dienste!#REF!,Dienste!#REF!,IF(AC3=Dienste!#REF!,Dienste!#REF!,IF(AC3=Dienste!#REF!,Dienste!#REF!,IF(AC3=Dienste!$A$33,Dienste!$C$33,IF(AC3=Dienste!$A$34,Dienste!$C$34,IF(AC3=Dienste!$A$35,Dienste!$C$35,IF(AC3=Dienste!$A$36,Dienste!$C$36,)))))))))))))))))))))))))))))))))))</f>
        <v>8</v>
      </c>
      <c r="BX3" s="27">
        <f>IF(AD3=Dienste!$A$2,Dienste!$C$2,IF(AD3=Dienste!$A$3,Dienste!$C$3,IF(AD3=Dienste!$A$4,Dienste!$C$4,IF(AD3=Dienste!$A$5,Dienste!$C$5,IF(AD3=Dienste!$A$6,Dienste!$C$6,IF(AD3=Dienste!$A$7,Dienste!$C$7,IF(AD3=Dienste!$A$8,Dienste!$C$8,IF(AD3=Dienste!$A$9,Dienste!$C$9,IF(AD3=Dienste!$A$10,Dienste!$C$10,IF(AD3=Dienste!$A$11,Dienste!$C$11,IF(AD3=Dienste!$A$12,Dienste!$C$12,IF(AD3=Dienste!$A$13,Dienste!$C$13,IF(AD3=Dienste!$A$14,Dienste!$C$14,IF(AD3=Dienste!$A$15,Dienste!$C$15,IF(AD3=Dienste!$A$16,Dienste!$C$16,IF(AD3=Dienste!$A$17,Dienste!$C$17,IF(AD3=Dienste!$A$18,Dienste!$C$18,IF(AD3=Dienste!$A$19,Dienste!$C$19,IF(AD3=Dienste!$A$20,Dienste!$C$20,IF(AD3=Dienste!$A$21,Dienste!$C$21,IF(AD3=Dienste!$A$22,Dienste!$C$22,IF(AD3=Dienste!$A$23,Dienste!$C$23,IF(AD3=Dienste!$A$24,Dienste!$C$24,IF(AD3=Dienste!$A$25,Dienste!$C$25,IF(AD3=Dienste!$A$26,Dienste!$C$26,IF(AD3=Dienste!$A$27,Dienste!$C$27,IF(AD3=Dienste!$A$28,Dienste!$C$28,IF(AD3=Dienste!#REF!,Dienste!#REF!,IF(AD3=Dienste!#REF!,Dienste!#REF!,IF(AD3=Dienste!#REF!,Dienste!#REF!,IF(AD3=Dienste!#REF!,Dienste!#REF!,IF(AD3=Dienste!$A$33,Dienste!$C$33,IF(AD3=Dienste!$A$34,Dienste!$C$34,IF(AD3=Dienste!$A$35,Dienste!$C$35,IF(AD3=Dienste!$A$36,Dienste!$C$36,)))))))))))))))))))))))))))))))))))</f>
        <v>8</v>
      </c>
      <c r="BY3" s="27">
        <f>IF(AE3=Dienste!$A$2,Dienste!$C$2,IF(AE3=Dienste!$A$3,Dienste!$C$3,IF(AE3=Dienste!$A$4,Dienste!$C$4,IF(AE3=Dienste!$A$5,Dienste!$C$5,IF(AE3=Dienste!$A$6,Dienste!$C$6,IF(AE3=Dienste!$A$7,Dienste!$C$7,IF(AE3=Dienste!$A$8,Dienste!$C$8,IF(AE3=Dienste!$A$9,Dienste!$C$9,IF(AE3=Dienste!$A$10,Dienste!$C$10,IF(AE3=Dienste!$A$11,Dienste!$C$11,IF(AE3=Dienste!$A$12,Dienste!$C$12,IF(AE3=Dienste!$A$13,Dienste!$C$13,IF(AE3=Dienste!$A$14,Dienste!$C$14,IF(AE3=Dienste!$A$15,Dienste!$C$15,IF(AE3=Dienste!$A$16,Dienste!$C$16,IF(AE3=Dienste!$A$17,Dienste!$C$17,IF(AE3=Dienste!$A$18,Dienste!$C$18,IF(AE3=Dienste!$A$19,Dienste!$C$19,IF(AE3=Dienste!$A$20,Dienste!$C$20,IF(AE3=Dienste!$A$21,Dienste!$C$21,IF(AE3=Dienste!$A$22,Dienste!$C$22,IF(AE3=Dienste!$A$23,Dienste!$C$23,IF(AE3=Dienste!$A$24,Dienste!$C$24,IF(AE3=Dienste!$A$25,Dienste!$C$25,IF(AE3=Dienste!$A$26,Dienste!$C$26,IF(AE3=Dienste!$A$27,Dienste!$C$27,IF(AE3=Dienste!$A$28,Dienste!$C$28,IF(AE3=Dienste!#REF!,Dienste!#REF!,IF(AE3=Dienste!#REF!,Dienste!#REF!,IF(AE3=Dienste!#REF!,Dienste!#REF!,IF(AE3=Dienste!#REF!,Dienste!#REF!,IF(AE3=Dienste!$A$33,Dienste!$C$33,IF(AE3=Dienste!$A$34,Dienste!$C$34,IF(AE3=Dienste!$A$35,Dienste!$C$35,IF(AE3=Dienste!$A$36,Dienste!$C$36,)))))))))))))))))))))))))))))))))))</f>
        <v>8</v>
      </c>
      <c r="BZ3" s="27">
        <f>IF(AF3=Dienste!$A$2,Dienste!$C$2,IF(AF3=Dienste!$A$3,Dienste!$C$3,IF(AF3=Dienste!$A$4,Dienste!$C$4,IF(AF3=Dienste!$A$5,Dienste!$C$5,IF(AF3=Dienste!$A$6,Dienste!$C$6,IF(AF3=Dienste!$A$7,Dienste!$C$7,IF(AF3=Dienste!$A$8,Dienste!$C$8,IF(AF3=Dienste!$A$9,Dienste!$C$9,IF(AF3=Dienste!$A$10,Dienste!$C$10,IF(AF3=Dienste!$A$11,Dienste!$C$11,IF(AF3=Dienste!$A$12,Dienste!$C$12,IF(AF3=Dienste!$A$13,Dienste!$C$13,IF(AF3=Dienste!$A$14,Dienste!$C$14,IF(AF3=Dienste!$A$15,Dienste!$C$15,IF(AF3=Dienste!$A$16,Dienste!$C$16,IF(AF3=Dienste!$A$17,Dienste!$C$17,IF(AF3=Dienste!$A$18,Dienste!$C$18,IF(AF3=Dienste!$A$19,Dienste!$C$19,IF(AF3=Dienste!$A$20,Dienste!$C$20,IF(AF3=Dienste!$A$21,Dienste!$C$21,IF(AF3=Dienste!$A$22,Dienste!$C$22,IF(AF3=Dienste!$A$23,Dienste!$C$23,IF(AF3=Dienste!$A$24,Dienste!$C$24,IF(AF3=Dienste!$A$25,Dienste!$C$25,IF(AF3=Dienste!$A$26,Dienste!$C$26,IF(AF3=Dienste!$A$27,Dienste!$C$27,IF(AF3=Dienste!$A$28,Dienste!$C$28,IF(AF3=Dienste!#REF!,Dienste!#REF!,IF(AF3=Dienste!#REF!,Dienste!#REF!,IF(AF3=Dienste!#REF!,Dienste!#REF!,IF(AF3=Dienste!#REF!,Dienste!#REF!,IF(AF3=Dienste!$A$33,Dienste!$C$33,IF(AF3=Dienste!$A$34,Dienste!$C$34,IF(AF3=Dienste!$A$35,Dienste!$C$35,IF(AF3=Dienste!$A$36,Dienste!$C$36,)))))))))))))))))))))))))))))))))))</f>
        <v>0</v>
      </c>
      <c r="CA3" s="27">
        <f>IF(AG3=Dienste!$A$2,Dienste!$C$2,IF(AG3=Dienste!$A$3,Dienste!$C$3,IF(AG3=Dienste!$A$4,Dienste!$C$4,IF(AG3=Dienste!$A$5,Dienste!$C$5,IF(AG3=Dienste!$A$6,Dienste!$C$6,IF(AG3=Dienste!$A$7,Dienste!$C$7,IF(AG3=Dienste!$A$8,Dienste!$C$8,IF(AG3=Dienste!$A$9,Dienste!$C$9,IF(AG3=Dienste!$A$10,Dienste!$C$10,IF(AG3=Dienste!$A$11,Dienste!$C$11,IF(AG3=Dienste!$A$12,Dienste!$C$12,IF(AG3=Dienste!$A$13,Dienste!$C$13,IF(AG3=Dienste!$A$14,Dienste!$C$14,IF(AG3=Dienste!$A$15,Dienste!$C$15,IF(AG3=Dienste!$A$16,Dienste!$C$16,IF(AG3=Dienste!$A$17,Dienste!$C$17,IF(AG3=Dienste!$A$18,Dienste!$C$18,IF(AG3=Dienste!$A$19,Dienste!$C$19,IF(AG3=Dienste!$A$20,Dienste!$C$20,IF(AG3=Dienste!$A$21,Dienste!$C$21,IF(AG3=Dienste!$A$22,Dienste!$C$22,IF(AG3=Dienste!$A$23,Dienste!$C$23,IF(AG3=Dienste!$A$24,Dienste!$C$24,IF(AG3=Dienste!$A$25,Dienste!$C$25,IF(AG3=Dienste!$A$26,Dienste!$C$26,IF(AG3=Dienste!$A$27,Dienste!$C$27,IF(AG3=Dienste!$A$28,Dienste!$C$28,IF(AG3=Dienste!#REF!,Dienste!#REF!,IF(AG3=Dienste!#REF!,Dienste!#REF!,IF(AG3=Dienste!#REF!,Dienste!#REF!,IF(AG3=Dienste!#REF!,Dienste!#REF!,IF(AG3=Dienste!$A$33,Dienste!$C$33,IF(AG3=Dienste!$A$34,Dienste!$C$34,IF(AG3=Dienste!$A$35,Dienste!$C$35,IF(AG3=Dienste!$A$36,Dienste!$C$36,)))))))))))))))))))))))))))))))))))</f>
        <v>0</v>
      </c>
      <c r="CB3" s="27">
        <f>IF(AH3=Dienste!$A$2,Dienste!$C$2,IF(AH3=Dienste!$A$3,Dienste!$C$3,IF(AH3=Dienste!$A$4,Dienste!$C$4,IF(AH3=Dienste!$A$5,Dienste!$C$5,IF(AH3=Dienste!$A$6,Dienste!$C$6,IF(AH3=Dienste!$A$7,Dienste!$C$7,IF(AH3=Dienste!$A$8,Dienste!$C$8,IF(AH3=Dienste!$A$9,Dienste!$C$9,IF(AH3=Dienste!$A$10,Dienste!$C$10,IF(AH3=Dienste!$A$11,Dienste!$C$11,IF(AH3=Dienste!$A$12,Dienste!$C$12,IF(AH3=Dienste!$A$13,Dienste!$C$13,IF(AH3=Dienste!$A$14,Dienste!$C$14,IF(AH3=Dienste!$A$15,Dienste!$C$15,IF(AH3=Dienste!$A$16,Dienste!$C$16,IF(AH3=Dienste!$A$17,Dienste!$C$17,IF(AH3=Dienste!$A$18,Dienste!$C$18,IF(AH3=Dienste!$A$19,Dienste!$C$19,IF(AH3=Dienste!$A$20,Dienste!$C$20,IF(AH3=Dienste!$A$21,Dienste!$C$21,IF(AH3=Dienste!$A$22,Dienste!$C$22,IF(AH3=Dienste!$A$23,Dienste!$C$23,IF(AH3=Dienste!$A$24,Dienste!$C$24,IF(AH3=Dienste!$A$25,Dienste!$C$25,IF(AH3=Dienste!$A$26,Dienste!$C$26,IF(AH3=Dienste!$A$27,Dienste!$C$27,IF(AH3=Dienste!$A$28,Dienste!$C$28,IF(AH3=Dienste!#REF!,Dienste!#REF!,IF(AH3=Dienste!#REF!,Dienste!#REF!,IF(AH3=Dienste!#REF!,Dienste!#REF!,IF(AH3=Dienste!#REF!,Dienste!#REF!,IF(AH3=Dienste!$A$33,Dienste!$C$33,IF(AH3=Dienste!$A$34,Dienste!$C$34,IF(AH3=Dienste!$A$35,Dienste!$C$35,IF(AH3=Dienste!$A$36,Dienste!$C$36,)))))))))))))))))))))))))))))))))))</f>
        <v>8</v>
      </c>
      <c r="CC3" s="27" t="e">
        <f>IF(AI3=Dienste!$A$2,Dienste!$C$2,IF(AI3=Dienste!$A$3,Dienste!$C$3,IF(AI3=Dienste!$A$4,Dienste!$C$4,IF(AI3=Dienste!$A$5,Dienste!$C$5,IF(AI3=Dienste!$A$6,Dienste!$C$6,IF(AI3=Dienste!$A$7,Dienste!$C$7,IF(AI3=Dienste!$A$8,Dienste!$C$8,IF(AI3=Dienste!$A$9,Dienste!$C$9,IF(AI3=Dienste!$A$10,Dienste!$C$10,IF(AI3=Dienste!$A$11,Dienste!$C$11,IF(AI3=Dienste!$A$12,Dienste!$C$12,IF(AI3=Dienste!$A$13,Dienste!$C$13,IF(AI3=Dienste!$A$14,Dienste!$C$14,IF(AI3=Dienste!$A$15,Dienste!$C$15,IF(AI3=Dienste!$A$16,Dienste!$C$16,IF(AI3=Dienste!$A$17,Dienste!$C$17,IF(AI3=Dienste!$A$18,Dienste!$C$18,IF(AI3=Dienste!$A$19,Dienste!$C$19,IF(AI3=Dienste!$A$20,Dienste!$C$20,IF(AI3=Dienste!$A$21,Dienste!$C$21,IF(AI3=Dienste!$A$22,Dienste!$C$22,IF(AI3=Dienste!$A$23,Dienste!$C$23,IF(AI3=Dienste!$A$24,Dienste!$C$24,IF(AI3=Dienste!$A$25,Dienste!$C$25,IF(AI3=Dienste!$A$26,Dienste!$C$26,IF(AI3=Dienste!$A$27,Dienste!$C$27,IF(AI3=Dienste!$A$28,Dienste!$C$28,IF(AI3=Dienste!#REF!,Dienste!#REF!,IF(AI3=Dienste!#REF!,Dienste!#REF!,IF(AI3=Dienste!#REF!,Dienste!#REF!,IF(AI3=Dienste!#REF!,Dienste!#REF!,IF(AI3=Dienste!$A$33,Dienste!$C$33,IF(AI3=Dienste!$A$34,Dienste!$C$34,IF(AI3=Dienste!$A$35,Dienste!$C$35,IF(AI3=Dienste!$A$36,Dienste!$C$36,)))))))))))))))))))))))))))))))))))</f>
        <v>#REF!</v>
      </c>
    </row>
    <row r="4" spans="1:81" x14ac:dyDescent="0.25">
      <c r="A4" s="109" t="s">
        <v>122</v>
      </c>
      <c r="B4" s="15" t="s">
        <v>230</v>
      </c>
      <c r="C4" s="15">
        <v>16</v>
      </c>
      <c r="D4" s="98">
        <v>1</v>
      </c>
      <c r="E4" s="104" t="s">
        <v>83</v>
      </c>
      <c r="F4" s="9" t="s">
        <v>5</v>
      </c>
      <c r="G4" s="9" t="s">
        <v>31</v>
      </c>
      <c r="H4" s="9" t="s">
        <v>31</v>
      </c>
      <c r="I4" s="9" t="s">
        <v>5</v>
      </c>
      <c r="J4" s="9" t="s">
        <v>5</v>
      </c>
      <c r="K4" s="9" t="s">
        <v>83</v>
      </c>
      <c r="L4" s="9" t="s">
        <v>83</v>
      </c>
      <c r="M4" s="9" t="s">
        <v>5</v>
      </c>
      <c r="N4" s="9" t="s">
        <v>31</v>
      </c>
      <c r="O4" s="9" t="s">
        <v>31</v>
      </c>
      <c r="P4" s="9" t="s">
        <v>5</v>
      </c>
      <c r="Q4" s="9" t="s">
        <v>5</v>
      </c>
      <c r="R4" s="9" t="s">
        <v>83</v>
      </c>
      <c r="S4" s="9" t="s">
        <v>83</v>
      </c>
      <c r="T4" s="9" t="s">
        <v>5</v>
      </c>
      <c r="U4" s="9" t="s">
        <v>31</v>
      </c>
      <c r="V4" s="9" t="s">
        <v>31</v>
      </c>
      <c r="W4" s="9" t="s">
        <v>5</v>
      </c>
      <c r="X4" s="9" t="s">
        <v>5</v>
      </c>
      <c r="Y4" s="9" t="s">
        <v>83</v>
      </c>
      <c r="Z4" s="9" t="s">
        <v>83</v>
      </c>
      <c r="AA4" s="9" t="s">
        <v>5</v>
      </c>
      <c r="AB4" s="9" t="s">
        <v>31</v>
      </c>
      <c r="AC4" s="9" t="s">
        <v>31</v>
      </c>
      <c r="AD4" s="9" t="s">
        <v>5</v>
      </c>
      <c r="AE4" s="9" t="s">
        <v>5</v>
      </c>
      <c r="AF4" s="9" t="s">
        <v>83</v>
      </c>
      <c r="AG4" s="9" t="s">
        <v>83</v>
      </c>
      <c r="AH4" s="9" t="s">
        <v>5</v>
      </c>
      <c r="AI4" s="15"/>
      <c r="AJ4" s="109">
        <v>-10.4</v>
      </c>
      <c r="AK4" s="15">
        <v>67.2</v>
      </c>
      <c r="AL4" s="109">
        <v>64</v>
      </c>
      <c r="AM4" s="15">
        <v>-13.600000000000003</v>
      </c>
      <c r="AN4" s="170">
        <v>-3.2000000000000028</v>
      </c>
      <c r="AO4" s="109">
        <v>0</v>
      </c>
      <c r="AP4" s="15">
        <v>0</v>
      </c>
      <c r="AQ4" s="98">
        <v>5</v>
      </c>
      <c r="AR4" s="109">
        <v>24</v>
      </c>
      <c r="AS4" s="15">
        <v>16.807692307692307</v>
      </c>
      <c r="AT4" s="98">
        <v>26</v>
      </c>
      <c r="AU4" s="96" t="e">
        <f t="shared" ref="AU4:AU35" si="2">SUM(AY4:CC4)</f>
        <v>#REF!</v>
      </c>
      <c r="AV4" s="27" t="e">
        <f t="shared" si="0"/>
        <v>#REF!</v>
      </c>
      <c r="AW4" s="58" t="e">
        <f t="shared" si="1"/>
        <v>#REF!</v>
      </c>
      <c r="AY4" s="27">
        <f>IF(E4=Dienste!$A$2,Dienste!$C$2,IF(E4=Dienste!$A$3,Dienste!$C$3,IF(E4=Dienste!$A$4,Dienste!$C$4,IF(E4=Dienste!$A$5,Dienste!$C$5,IF(E4=Dienste!$A$6,Dienste!$C$6,IF(E4=Dienste!$A$7,Dienste!$C$7,IF(E4=Dienste!$A$8,Dienste!$C$8,IF(E4=Dienste!$A$9,Dienste!$C$9,IF(E4=Dienste!$A$10,Dienste!$C$10,IF(E4=Dienste!$A$11,Dienste!$C$11,IF(E4=Dienste!$A$12,Dienste!$C$12,IF(E4=Dienste!$A$13,Dienste!$C$13,IF(E4=Dienste!$A$14,Dienste!$C$14,IF(E4=Dienste!$A$15,Dienste!$C$15,IF(E4=Dienste!$A$16,Dienste!$C$16,IF(E4=Dienste!$A$17,Dienste!$C$17,IF(E4=Dienste!$A$18,Dienste!$C$18,IF(E4=Dienste!$A$19,Dienste!$C$19,IF(E4=Dienste!$A$20,Dienste!$C$20,IF(E4=Dienste!$A$21,Dienste!$C$21,IF(E4=Dienste!$A$22,Dienste!$C$22,IF(E4=Dienste!$A$23,Dienste!$C$23,IF(E4=Dienste!$A$24,Dienste!$C$24,IF(E4=Dienste!$A$25,Dienste!$C$25,IF(E4=Dienste!$A$26,Dienste!$C$26,IF(E4=Dienste!$A$27,Dienste!$C$27,IF(E4=Dienste!$A$28,Dienste!$C$28,IF(E4=Dienste!#REF!,Dienste!#REF!,IF(E4=Dienste!#REF!,Dienste!#REF!,IF(E4=Dienste!#REF!,Dienste!#REF!,IF(E4=Dienste!#REF!,Dienste!#REF!,IF(E4=Dienste!$A$33,Dienste!$C$33,IF(E4=Dienste!$A$34,Dienste!$C$34,IF(E4=Dienste!$A$35,Dienste!$C$35,IF(E4=Dienste!$A$36,Dienste!$C$36,)))))))))))))))))))))))))))))))))))</f>
        <v>0</v>
      </c>
      <c r="AZ4" s="27">
        <f>IF(F4=Dienste!$A$2,Dienste!$C$2,IF(F4=Dienste!$A$3,Dienste!$C$3,IF(F4=Dienste!$A$4,Dienste!$C$4,IF(F4=Dienste!$A$5,Dienste!$C$5,IF(F4=Dienste!$A$6,Dienste!$C$6,IF(F4=Dienste!$A$7,Dienste!$C$7,IF(F4=Dienste!$A$8,Dienste!$C$8,IF(F4=Dienste!$A$9,Dienste!$C$9,IF(F4=Dienste!$A$10,Dienste!$C$10,IF(F4=Dienste!$A$11,Dienste!$C$11,IF(F4=Dienste!$A$12,Dienste!$C$12,IF(F4=Dienste!$A$13,Dienste!$C$13,IF(F4=Dienste!$A$14,Dienste!$C$14,IF(F4=Dienste!$A$15,Dienste!$C$15,IF(F4=Dienste!$A$16,Dienste!$C$16,IF(F4=Dienste!$A$17,Dienste!$C$17,IF(F4=Dienste!$A$18,Dienste!$C$18,IF(F4=Dienste!$A$19,Dienste!$C$19,IF(F4=Dienste!$A$20,Dienste!$C$20,IF(F4=Dienste!$A$21,Dienste!$C$21,IF(F4=Dienste!$A$22,Dienste!$C$22,IF(F4=Dienste!$A$23,Dienste!$C$23,IF(F4=Dienste!$A$24,Dienste!$C$24,IF(F4=Dienste!$A$25,Dienste!$C$25,IF(F4=Dienste!$A$26,Dienste!$C$26,IF(F4=Dienste!$A$27,Dienste!$C$27,IF(F4=Dienste!$A$28,Dienste!$C$28,IF(F4=Dienste!#REF!,Dienste!#REF!,IF(F4=Dienste!#REF!,Dienste!#REF!,IF(F4=Dienste!#REF!,Dienste!#REF!,IF(F4=Dienste!#REF!,Dienste!#REF!,IF(F4=Dienste!$A$33,Dienste!$C$33,IF(F4=Dienste!$A$34,Dienste!$C$34,IF(F4=Dienste!$A$35,Dienste!$C$35,IF(F4=Dienste!$A$36,Dienste!$C$36,)))))))))))))))))))))))))))))))))))</f>
        <v>0</v>
      </c>
      <c r="BA4" s="27">
        <f>IF(G4=Dienste!$A$2,Dienste!$C$2,IF(G4=Dienste!$A$3,Dienste!$C$3,IF(G4=Dienste!$A$4,Dienste!$C$4,IF(G4=Dienste!$A$5,Dienste!$C$5,IF(G4=Dienste!$A$6,Dienste!$C$6,IF(G4=Dienste!$A$7,Dienste!$C$7,IF(G4=Dienste!$A$8,Dienste!$C$8,IF(G4=Dienste!$A$9,Dienste!$C$9,IF(G4=Dienste!$A$10,Dienste!$C$10,IF(G4=Dienste!$A$11,Dienste!$C$11,IF(G4=Dienste!$A$12,Dienste!$C$12,IF(G4=Dienste!$A$13,Dienste!$C$13,IF(G4=Dienste!$A$14,Dienste!$C$14,IF(G4=Dienste!$A$15,Dienste!$C$15,IF(G4=Dienste!$A$16,Dienste!$C$16,IF(G4=Dienste!$A$17,Dienste!$C$17,IF(G4=Dienste!$A$18,Dienste!$C$18,IF(G4=Dienste!$A$19,Dienste!$C$19,IF(G4=Dienste!$A$20,Dienste!$C$20,IF(G4=Dienste!$A$21,Dienste!$C$21,IF(G4=Dienste!$A$22,Dienste!$C$22,IF(G4=Dienste!$A$23,Dienste!$C$23,IF(G4=Dienste!$A$24,Dienste!$C$24,IF(G4=Dienste!$A$25,Dienste!$C$25,IF(G4=Dienste!$A$26,Dienste!$C$26,IF(G4=Dienste!$A$27,Dienste!$C$27,IF(G4=Dienste!$A$28,Dienste!$C$28,IF(G4=Dienste!#REF!,Dienste!#REF!,IF(G4=Dienste!#REF!,Dienste!#REF!,IF(G4=Dienste!#REF!,Dienste!#REF!,IF(G4=Dienste!#REF!,Dienste!#REF!,IF(G4=Dienste!$A$33,Dienste!$C$33,IF(G4=Dienste!$A$34,Dienste!$C$34,IF(G4=Dienste!$A$35,Dienste!$C$35,IF(G4=Dienste!$A$36,Dienste!$C$36,)))))))))))))))))))))))))))))))))))</f>
        <v>8</v>
      </c>
      <c r="BB4" s="27">
        <f>IF(H4=Dienste!$A$2,Dienste!$C$2,IF(H4=Dienste!$A$3,Dienste!$C$3,IF(H4=Dienste!$A$4,Dienste!$C$4,IF(H4=Dienste!$A$5,Dienste!$C$5,IF(H4=Dienste!$A$6,Dienste!$C$6,IF(H4=Dienste!$A$7,Dienste!$C$7,IF(H4=Dienste!$A$8,Dienste!$C$8,IF(H4=Dienste!$A$9,Dienste!$C$9,IF(H4=Dienste!$A$10,Dienste!$C$10,IF(H4=Dienste!$A$11,Dienste!$C$11,IF(H4=Dienste!$A$12,Dienste!$C$12,IF(H4=Dienste!$A$13,Dienste!$C$13,IF(H4=Dienste!$A$14,Dienste!$C$14,IF(H4=Dienste!$A$15,Dienste!$C$15,IF(H4=Dienste!$A$16,Dienste!$C$16,IF(H4=Dienste!$A$17,Dienste!$C$17,IF(H4=Dienste!$A$18,Dienste!$C$18,IF(H4=Dienste!$A$19,Dienste!$C$19,IF(H4=Dienste!$A$20,Dienste!$C$20,IF(H4=Dienste!$A$21,Dienste!$C$21,IF(H4=Dienste!$A$22,Dienste!$C$22,IF(H4=Dienste!$A$23,Dienste!$C$23,IF(H4=Dienste!$A$24,Dienste!$C$24,IF(H4=Dienste!$A$25,Dienste!$C$25,IF(H4=Dienste!$A$26,Dienste!$C$26,IF(H4=Dienste!$A$27,Dienste!$C$27,IF(H4=Dienste!$A$28,Dienste!$C$28,IF(H4=Dienste!#REF!,Dienste!#REF!,IF(H4=Dienste!#REF!,Dienste!#REF!,IF(H4=Dienste!#REF!,Dienste!#REF!,IF(H4=Dienste!#REF!,Dienste!#REF!,IF(H4=Dienste!$A$33,Dienste!$C$33,IF(H4=Dienste!$A$34,Dienste!$C$34,IF(H4=Dienste!$A$35,Dienste!$C$35,IF(H4=Dienste!$A$36,Dienste!$C$36,)))))))))))))))))))))))))))))))))))</f>
        <v>8</v>
      </c>
      <c r="BC4" s="27">
        <f>IF(I4=Dienste!$A$2,Dienste!$C$2,IF(I4=Dienste!$A$3,Dienste!$C$3,IF(I4=Dienste!$A$4,Dienste!$C$4,IF(I4=Dienste!$A$5,Dienste!$C$5,IF(I4=Dienste!$A$6,Dienste!$C$6,IF(I4=Dienste!$A$7,Dienste!$C$7,IF(I4=Dienste!$A$8,Dienste!$C$8,IF(I4=Dienste!$A$9,Dienste!$C$9,IF(I4=Dienste!$A$10,Dienste!$C$10,IF(I4=Dienste!$A$11,Dienste!$C$11,IF(I4=Dienste!$A$12,Dienste!$C$12,IF(I4=Dienste!$A$13,Dienste!$C$13,IF(I4=Dienste!$A$14,Dienste!$C$14,IF(I4=Dienste!$A$15,Dienste!$C$15,IF(I4=Dienste!$A$16,Dienste!$C$16,IF(I4=Dienste!$A$17,Dienste!$C$17,IF(I4=Dienste!$A$18,Dienste!$C$18,IF(I4=Dienste!$A$19,Dienste!$C$19,IF(I4=Dienste!$A$20,Dienste!$C$20,IF(I4=Dienste!$A$21,Dienste!$C$21,IF(I4=Dienste!$A$22,Dienste!$C$22,IF(I4=Dienste!$A$23,Dienste!$C$23,IF(I4=Dienste!$A$24,Dienste!$C$24,IF(I4=Dienste!$A$25,Dienste!$C$25,IF(I4=Dienste!$A$26,Dienste!$C$26,IF(I4=Dienste!$A$27,Dienste!$C$27,IF(I4=Dienste!$A$28,Dienste!$C$28,IF(I4=Dienste!#REF!,Dienste!#REF!,IF(I4=Dienste!#REF!,Dienste!#REF!,IF(I4=Dienste!#REF!,Dienste!#REF!,IF(I4=Dienste!#REF!,Dienste!#REF!,IF(I4=Dienste!$A$33,Dienste!$C$33,IF(I4=Dienste!$A$34,Dienste!$C$34,IF(I4=Dienste!$A$35,Dienste!$C$35,IF(I4=Dienste!$A$36,Dienste!$C$36,)))))))))))))))))))))))))))))))))))</f>
        <v>0</v>
      </c>
      <c r="BD4" s="27">
        <f>IF(J4=Dienste!$A$2,Dienste!$C$2,IF(J4=Dienste!$A$3,Dienste!$C$3,IF(J4=Dienste!$A$4,Dienste!$C$4,IF(J4=Dienste!$A$5,Dienste!$C$5,IF(J4=Dienste!$A$6,Dienste!$C$6,IF(J4=Dienste!$A$7,Dienste!$C$7,IF(J4=Dienste!$A$8,Dienste!$C$8,IF(J4=Dienste!$A$9,Dienste!$C$9,IF(J4=Dienste!$A$10,Dienste!$C$10,IF(J4=Dienste!$A$11,Dienste!$C$11,IF(J4=Dienste!$A$12,Dienste!$C$12,IF(J4=Dienste!$A$13,Dienste!$C$13,IF(J4=Dienste!$A$14,Dienste!$C$14,IF(J4=Dienste!$A$15,Dienste!$C$15,IF(J4=Dienste!$A$16,Dienste!$C$16,IF(J4=Dienste!$A$17,Dienste!$C$17,IF(J4=Dienste!$A$18,Dienste!$C$18,IF(J4=Dienste!$A$19,Dienste!$C$19,IF(J4=Dienste!$A$20,Dienste!$C$20,IF(J4=Dienste!$A$21,Dienste!$C$21,IF(J4=Dienste!$A$22,Dienste!$C$22,IF(J4=Dienste!$A$23,Dienste!$C$23,IF(J4=Dienste!$A$24,Dienste!$C$24,IF(J4=Dienste!$A$25,Dienste!$C$25,IF(J4=Dienste!$A$26,Dienste!$C$26,IF(J4=Dienste!$A$27,Dienste!$C$27,IF(J4=Dienste!$A$28,Dienste!$C$28,IF(J4=Dienste!#REF!,Dienste!#REF!,IF(J4=Dienste!#REF!,Dienste!#REF!,IF(J4=Dienste!#REF!,Dienste!#REF!,IF(J4=Dienste!#REF!,Dienste!#REF!,IF(J4=Dienste!$A$33,Dienste!$C$33,IF(J4=Dienste!$A$34,Dienste!$C$34,IF(J4=Dienste!$A$35,Dienste!$C$35,IF(J4=Dienste!$A$36,Dienste!$C$36,)))))))))))))))))))))))))))))))))))</f>
        <v>0</v>
      </c>
      <c r="BE4" s="27">
        <f>IF(K4=Dienste!$A$2,Dienste!$C$2,IF(K4=Dienste!$A$3,Dienste!$C$3,IF(K4=Dienste!$A$4,Dienste!$C$4,IF(K4=Dienste!$A$5,Dienste!$C$5,IF(K4=Dienste!$A$6,Dienste!$C$6,IF(K4=Dienste!$A$7,Dienste!$C$7,IF(K4=Dienste!$A$8,Dienste!$C$8,IF(K4=Dienste!$A$9,Dienste!$C$9,IF(K4=Dienste!$A$10,Dienste!$C$10,IF(K4=Dienste!$A$11,Dienste!$C$11,IF(K4=Dienste!$A$12,Dienste!$C$12,IF(K4=Dienste!$A$13,Dienste!$C$13,IF(K4=Dienste!$A$14,Dienste!$C$14,IF(K4=Dienste!$A$15,Dienste!$C$15,IF(K4=Dienste!$A$16,Dienste!$C$16,IF(K4=Dienste!$A$17,Dienste!$C$17,IF(K4=Dienste!$A$18,Dienste!$C$18,IF(K4=Dienste!$A$19,Dienste!$C$19,IF(K4=Dienste!$A$20,Dienste!$C$20,IF(K4=Dienste!$A$21,Dienste!$C$21,IF(K4=Dienste!$A$22,Dienste!$C$22,IF(K4=Dienste!$A$23,Dienste!$C$23,IF(K4=Dienste!$A$24,Dienste!$C$24,IF(K4=Dienste!$A$25,Dienste!$C$25,IF(K4=Dienste!$A$26,Dienste!$C$26,IF(K4=Dienste!$A$27,Dienste!$C$27,IF(K4=Dienste!$A$28,Dienste!$C$28,IF(K4=Dienste!#REF!,Dienste!#REF!,IF(K4=Dienste!#REF!,Dienste!#REF!,IF(K4=Dienste!#REF!,Dienste!#REF!,IF(K4=Dienste!#REF!,Dienste!#REF!,IF(K4=Dienste!$A$33,Dienste!$C$33,IF(K4=Dienste!$A$34,Dienste!$C$34,IF(K4=Dienste!$A$35,Dienste!$C$35,IF(K4=Dienste!$A$36,Dienste!$C$36,)))))))))))))))))))))))))))))))))))</f>
        <v>0</v>
      </c>
      <c r="BF4" s="27">
        <f>IF(L4=Dienste!$A$2,Dienste!$C$2,IF(L4=Dienste!$A$3,Dienste!$C$3,IF(L4=Dienste!$A$4,Dienste!$C$4,IF(L4=Dienste!$A$5,Dienste!$C$5,IF(L4=Dienste!$A$6,Dienste!$C$6,IF(L4=Dienste!$A$7,Dienste!$C$7,IF(L4=Dienste!$A$8,Dienste!$C$8,IF(L4=Dienste!$A$9,Dienste!$C$9,IF(L4=Dienste!$A$10,Dienste!$C$10,IF(L4=Dienste!$A$11,Dienste!$C$11,IF(L4=Dienste!$A$12,Dienste!$C$12,IF(L4=Dienste!$A$13,Dienste!$C$13,IF(L4=Dienste!$A$14,Dienste!$C$14,IF(L4=Dienste!$A$15,Dienste!$C$15,IF(L4=Dienste!$A$16,Dienste!$C$16,IF(L4=Dienste!$A$17,Dienste!$C$17,IF(L4=Dienste!$A$18,Dienste!$C$18,IF(L4=Dienste!$A$19,Dienste!$C$19,IF(L4=Dienste!$A$20,Dienste!$C$20,IF(L4=Dienste!$A$21,Dienste!$C$21,IF(L4=Dienste!$A$22,Dienste!$C$22,IF(L4=Dienste!$A$23,Dienste!$C$23,IF(L4=Dienste!$A$24,Dienste!$C$24,IF(L4=Dienste!$A$25,Dienste!$C$25,IF(L4=Dienste!$A$26,Dienste!$C$26,IF(L4=Dienste!$A$27,Dienste!$C$27,IF(L4=Dienste!$A$28,Dienste!$C$28,IF(L4=Dienste!#REF!,Dienste!#REF!,IF(L4=Dienste!#REF!,Dienste!#REF!,IF(L4=Dienste!#REF!,Dienste!#REF!,IF(L4=Dienste!#REF!,Dienste!#REF!,IF(L4=Dienste!$A$33,Dienste!$C$33,IF(L4=Dienste!$A$34,Dienste!$C$34,IF(L4=Dienste!$A$35,Dienste!$C$35,IF(L4=Dienste!$A$36,Dienste!$C$36,)))))))))))))))))))))))))))))))))))</f>
        <v>0</v>
      </c>
      <c r="BG4" s="27">
        <f>IF(M4=Dienste!$A$2,Dienste!$C$2,IF(M4=Dienste!$A$3,Dienste!$C$3,IF(M4=Dienste!$A$4,Dienste!$C$4,IF(M4=Dienste!$A$5,Dienste!$C$5,IF(M4=Dienste!$A$6,Dienste!$C$6,IF(M4=Dienste!$A$7,Dienste!$C$7,IF(M4=Dienste!$A$8,Dienste!$C$8,IF(M4=Dienste!$A$9,Dienste!$C$9,IF(M4=Dienste!$A$10,Dienste!$C$10,IF(M4=Dienste!$A$11,Dienste!$C$11,IF(M4=Dienste!$A$12,Dienste!$C$12,IF(M4=Dienste!$A$13,Dienste!$C$13,IF(M4=Dienste!$A$14,Dienste!$C$14,IF(M4=Dienste!$A$15,Dienste!$C$15,IF(M4=Dienste!$A$16,Dienste!$C$16,IF(M4=Dienste!$A$17,Dienste!$C$17,IF(M4=Dienste!$A$18,Dienste!$C$18,IF(M4=Dienste!$A$19,Dienste!$C$19,IF(M4=Dienste!$A$20,Dienste!$C$20,IF(M4=Dienste!$A$21,Dienste!$C$21,IF(M4=Dienste!$A$22,Dienste!$C$22,IF(M4=Dienste!$A$23,Dienste!$C$23,IF(M4=Dienste!$A$24,Dienste!$C$24,IF(M4=Dienste!$A$25,Dienste!$C$25,IF(M4=Dienste!$A$26,Dienste!$C$26,IF(M4=Dienste!$A$27,Dienste!$C$27,IF(M4=Dienste!$A$28,Dienste!$C$28,IF(M4=Dienste!#REF!,Dienste!#REF!,IF(M4=Dienste!#REF!,Dienste!#REF!,IF(M4=Dienste!#REF!,Dienste!#REF!,IF(M4=Dienste!#REF!,Dienste!#REF!,IF(M4=Dienste!$A$33,Dienste!$C$33,IF(M4=Dienste!$A$34,Dienste!$C$34,IF(M4=Dienste!$A$35,Dienste!$C$35,IF(M4=Dienste!$A$36,Dienste!$C$36,)))))))))))))))))))))))))))))))))))</f>
        <v>0</v>
      </c>
      <c r="BH4" s="27">
        <f>IF(N4=Dienste!$A$2,Dienste!$C$2,IF(N4=Dienste!$A$3,Dienste!$C$3,IF(N4=Dienste!$A$4,Dienste!$C$4,IF(N4=Dienste!$A$5,Dienste!$C$5,IF(N4=Dienste!$A$6,Dienste!$C$6,IF(N4=Dienste!$A$7,Dienste!$C$7,IF(N4=Dienste!$A$8,Dienste!$C$8,IF(N4=Dienste!$A$9,Dienste!$C$9,IF(N4=Dienste!$A$10,Dienste!$C$10,IF(N4=Dienste!$A$11,Dienste!$C$11,IF(N4=Dienste!$A$12,Dienste!$C$12,IF(N4=Dienste!$A$13,Dienste!$C$13,IF(N4=Dienste!$A$14,Dienste!$C$14,IF(N4=Dienste!$A$15,Dienste!$C$15,IF(N4=Dienste!$A$16,Dienste!$C$16,IF(N4=Dienste!$A$17,Dienste!$C$17,IF(N4=Dienste!$A$18,Dienste!$C$18,IF(N4=Dienste!$A$19,Dienste!$C$19,IF(N4=Dienste!$A$20,Dienste!$C$20,IF(N4=Dienste!$A$21,Dienste!$C$21,IF(N4=Dienste!$A$22,Dienste!$C$22,IF(N4=Dienste!$A$23,Dienste!$C$23,IF(N4=Dienste!$A$24,Dienste!$C$24,IF(N4=Dienste!$A$25,Dienste!$C$25,IF(N4=Dienste!$A$26,Dienste!$C$26,IF(N4=Dienste!$A$27,Dienste!$C$27,IF(N4=Dienste!$A$28,Dienste!$C$28,IF(N4=Dienste!#REF!,Dienste!#REF!,IF(N4=Dienste!#REF!,Dienste!#REF!,IF(N4=Dienste!#REF!,Dienste!#REF!,IF(N4=Dienste!#REF!,Dienste!#REF!,IF(N4=Dienste!$A$33,Dienste!$C$33,IF(N4=Dienste!$A$34,Dienste!$C$34,IF(N4=Dienste!$A$35,Dienste!$C$35,IF(N4=Dienste!$A$36,Dienste!$C$36,)))))))))))))))))))))))))))))))))))</f>
        <v>8</v>
      </c>
      <c r="BI4" s="27">
        <f>IF(O4=Dienste!$A$2,Dienste!$C$2,IF(O4=Dienste!$A$3,Dienste!$C$3,IF(O4=Dienste!$A$4,Dienste!$C$4,IF(O4=Dienste!$A$5,Dienste!$C$5,IF(O4=Dienste!$A$6,Dienste!$C$6,IF(O4=Dienste!$A$7,Dienste!$C$7,IF(O4=Dienste!$A$8,Dienste!$C$8,IF(O4=Dienste!$A$9,Dienste!$C$9,IF(O4=Dienste!$A$10,Dienste!$C$10,IF(O4=Dienste!$A$11,Dienste!$C$11,IF(O4=Dienste!$A$12,Dienste!$C$12,IF(O4=Dienste!$A$13,Dienste!$C$13,IF(O4=Dienste!$A$14,Dienste!$C$14,IF(O4=Dienste!$A$15,Dienste!$C$15,IF(O4=Dienste!$A$16,Dienste!$C$16,IF(O4=Dienste!$A$17,Dienste!$C$17,IF(O4=Dienste!$A$18,Dienste!$C$18,IF(O4=Dienste!$A$19,Dienste!$C$19,IF(O4=Dienste!$A$20,Dienste!$C$20,IF(O4=Dienste!$A$21,Dienste!$C$21,IF(O4=Dienste!$A$22,Dienste!$C$22,IF(O4=Dienste!$A$23,Dienste!$C$23,IF(O4=Dienste!$A$24,Dienste!$C$24,IF(O4=Dienste!$A$25,Dienste!$C$25,IF(O4=Dienste!$A$26,Dienste!$C$26,IF(O4=Dienste!$A$27,Dienste!$C$27,IF(O4=Dienste!$A$28,Dienste!$C$28,IF(O4=Dienste!#REF!,Dienste!#REF!,IF(O4=Dienste!#REF!,Dienste!#REF!,IF(O4=Dienste!#REF!,Dienste!#REF!,IF(O4=Dienste!#REF!,Dienste!#REF!,IF(O4=Dienste!$A$33,Dienste!$C$33,IF(O4=Dienste!$A$34,Dienste!$C$34,IF(O4=Dienste!$A$35,Dienste!$C$35,IF(O4=Dienste!$A$36,Dienste!$C$36,)))))))))))))))))))))))))))))))))))</f>
        <v>8</v>
      </c>
      <c r="BJ4" s="27">
        <f>IF(P4=Dienste!$A$2,Dienste!$C$2,IF(P4=Dienste!$A$3,Dienste!$C$3,IF(P4=Dienste!$A$4,Dienste!$C$4,IF(P4=Dienste!$A$5,Dienste!$C$5,IF(P4=Dienste!$A$6,Dienste!$C$6,IF(P4=Dienste!$A$7,Dienste!$C$7,IF(P4=Dienste!$A$8,Dienste!$C$8,IF(P4=Dienste!$A$9,Dienste!$C$9,IF(P4=Dienste!$A$10,Dienste!$C$10,IF(P4=Dienste!$A$11,Dienste!$C$11,IF(P4=Dienste!$A$12,Dienste!$C$12,IF(P4=Dienste!$A$13,Dienste!$C$13,IF(P4=Dienste!$A$14,Dienste!$C$14,IF(P4=Dienste!$A$15,Dienste!$C$15,IF(P4=Dienste!$A$16,Dienste!$C$16,IF(P4=Dienste!$A$17,Dienste!$C$17,IF(P4=Dienste!$A$18,Dienste!$C$18,IF(P4=Dienste!$A$19,Dienste!$C$19,IF(P4=Dienste!$A$20,Dienste!$C$20,IF(P4=Dienste!$A$21,Dienste!$C$21,IF(P4=Dienste!$A$22,Dienste!$C$22,IF(P4=Dienste!$A$23,Dienste!$C$23,IF(P4=Dienste!$A$24,Dienste!$C$24,IF(P4=Dienste!$A$25,Dienste!$C$25,IF(P4=Dienste!$A$26,Dienste!$C$26,IF(P4=Dienste!$A$27,Dienste!$C$27,IF(P4=Dienste!$A$28,Dienste!$C$28,IF(P4=Dienste!#REF!,Dienste!#REF!,IF(P4=Dienste!#REF!,Dienste!#REF!,IF(P4=Dienste!#REF!,Dienste!#REF!,IF(P4=Dienste!#REF!,Dienste!#REF!,IF(P4=Dienste!$A$33,Dienste!$C$33,IF(P4=Dienste!$A$34,Dienste!$C$34,IF(P4=Dienste!$A$35,Dienste!$C$35,IF(P4=Dienste!$A$36,Dienste!$C$36,)))))))))))))))))))))))))))))))))))</f>
        <v>0</v>
      </c>
      <c r="BK4" s="27">
        <f>IF(Q4=Dienste!$A$2,Dienste!$C$2,IF(Q4=Dienste!$A$3,Dienste!$C$3,IF(Q4=Dienste!$A$4,Dienste!$C$4,IF(Q4=Dienste!$A$5,Dienste!$C$5,IF(Q4=Dienste!$A$6,Dienste!$C$6,IF(Q4=Dienste!$A$7,Dienste!$C$7,IF(Q4=Dienste!$A$8,Dienste!$C$8,IF(Q4=Dienste!$A$9,Dienste!$C$9,IF(Q4=Dienste!$A$10,Dienste!$C$10,IF(Q4=Dienste!$A$11,Dienste!$C$11,IF(Q4=Dienste!$A$12,Dienste!$C$12,IF(Q4=Dienste!$A$13,Dienste!$C$13,IF(Q4=Dienste!$A$14,Dienste!$C$14,IF(Q4=Dienste!$A$15,Dienste!$C$15,IF(Q4=Dienste!$A$16,Dienste!$C$16,IF(Q4=Dienste!$A$17,Dienste!$C$17,IF(Q4=Dienste!$A$18,Dienste!$C$18,IF(Q4=Dienste!$A$19,Dienste!$C$19,IF(Q4=Dienste!$A$20,Dienste!$C$20,IF(Q4=Dienste!$A$21,Dienste!$C$21,IF(Q4=Dienste!$A$22,Dienste!$C$22,IF(Q4=Dienste!$A$23,Dienste!$C$23,IF(Q4=Dienste!$A$24,Dienste!$C$24,IF(Q4=Dienste!$A$25,Dienste!$C$25,IF(Q4=Dienste!$A$26,Dienste!$C$26,IF(Q4=Dienste!$A$27,Dienste!$C$27,IF(Q4=Dienste!$A$28,Dienste!$C$28,IF(Q4=Dienste!#REF!,Dienste!#REF!,IF(Q4=Dienste!#REF!,Dienste!#REF!,IF(Q4=Dienste!#REF!,Dienste!#REF!,IF(Q4=Dienste!#REF!,Dienste!#REF!,IF(Q4=Dienste!$A$33,Dienste!$C$33,IF(Q4=Dienste!$A$34,Dienste!$C$34,IF(Q4=Dienste!$A$35,Dienste!$C$35,IF(Q4=Dienste!$A$36,Dienste!$C$36,)))))))))))))))))))))))))))))))))))</f>
        <v>0</v>
      </c>
      <c r="BL4" s="27">
        <f>IF(R4=Dienste!$A$2,Dienste!$C$2,IF(R4=Dienste!$A$3,Dienste!$C$3,IF(R4=Dienste!$A$4,Dienste!$C$4,IF(R4=Dienste!$A$5,Dienste!$C$5,IF(R4=Dienste!$A$6,Dienste!$C$6,IF(R4=Dienste!$A$7,Dienste!$C$7,IF(R4=Dienste!$A$8,Dienste!$C$8,IF(R4=Dienste!$A$9,Dienste!$C$9,IF(R4=Dienste!$A$10,Dienste!$C$10,IF(R4=Dienste!$A$11,Dienste!$C$11,IF(R4=Dienste!$A$12,Dienste!$C$12,IF(R4=Dienste!$A$13,Dienste!$C$13,IF(R4=Dienste!$A$14,Dienste!$C$14,IF(R4=Dienste!$A$15,Dienste!$C$15,IF(R4=Dienste!$A$16,Dienste!$C$16,IF(R4=Dienste!$A$17,Dienste!$C$17,IF(R4=Dienste!$A$18,Dienste!$C$18,IF(R4=Dienste!$A$19,Dienste!$C$19,IF(R4=Dienste!$A$20,Dienste!$C$20,IF(R4=Dienste!$A$21,Dienste!$C$21,IF(R4=Dienste!$A$22,Dienste!$C$22,IF(R4=Dienste!$A$23,Dienste!$C$23,IF(R4=Dienste!$A$24,Dienste!$C$24,IF(R4=Dienste!$A$25,Dienste!$C$25,IF(R4=Dienste!$A$26,Dienste!$C$26,IF(R4=Dienste!$A$27,Dienste!$C$27,IF(R4=Dienste!$A$28,Dienste!$C$28,IF(R4=Dienste!#REF!,Dienste!#REF!,IF(R4=Dienste!#REF!,Dienste!#REF!,IF(R4=Dienste!#REF!,Dienste!#REF!,IF(R4=Dienste!#REF!,Dienste!#REF!,IF(R4=Dienste!$A$33,Dienste!$C$33,IF(R4=Dienste!$A$34,Dienste!$C$34,IF(R4=Dienste!$A$35,Dienste!$C$35,IF(R4=Dienste!$A$36,Dienste!$C$36,)))))))))))))))))))))))))))))))))))</f>
        <v>0</v>
      </c>
      <c r="BM4" s="27">
        <f>IF(S4=Dienste!$A$2,Dienste!$C$2,IF(S4=Dienste!$A$3,Dienste!$C$3,IF(S4=Dienste!$A$4,Dienste!$C$4,IF(S4=Dienste!$A$5,Dienste!$C$5,IF(S4=Dienste!$A$6,Dienste!$C$6,IF(S4=Dienste!$A$7,Dienste!$C$7,IF(S4=Dienste!$A$8,Dienste!$C$8,IF(S4=Dienste!$A$9,Dienste!$C$9,IF(S4=Dienste!$A$10,Dienste!$C$10,IF(S4=Dienste!$A$11,Dienste!$C$11,IF(S4=Dienste!$A$12,Dienste!$C$12,IF(S4=Dienste!$A$13,Dienste!$C$13,IF(S4=Dienste!$A$14,Dienste!$C$14,IF(S4=Dienste!$A$15,Dienste!$C$15,IF(S4=Dienste!$A$16,Dienste!$C$16,IF(S4=Dienste!$A$17,Dienste!$C$17,IF(S4=Dienste!$A$18,Dienste!$C$18,IF(S4=Dienste!$A$19,Dienste!$C$19,IF(S4=Dienste!$A$20,Dienste!$C$20,IF(S4=Dienste!$A$21,Dienste!$C$21,IF(S4=Dienste!$A$22,Dienste!$C$22,IF(S4=Dienste!$A$23,Dienste!$C$23,IF(S4=Dienste!$A$24,Dienste!$C$24,IF(S4=Dienste!$A$25,Dienste!$C$25,IF(S4=Dienste!$A$26,Dienste!$C$26,IF(S4=Dienste!$A$27,Dienste!$C$27,IF(S4=Dienste!$A$28,Dienste!$C$28,IF(S4=Dienste!#REF!,Dienste!#REF!,IF(S4=Dienste!#REF!,Dienste!#REF!,IF(S4=Dienste!#REF!,Dienste!#REF!,IF(S4=Dienste!#REF!,Dienste!#REF!,IF(S4=Dienste!$A$33,Dienste!$C$33,IF(S4=Dienste!$A$34,Dienste!$C$34,IF(S4=Dienste!$A$35,Dienste!$C$35,IF(S4=Dienste!$A$36,Dienste!$C$36,)))))))))))))))))))))))))))))))))))</f>
        <v>0</v>
      </c>
      <c r="BN4" s="27">
        <f>IF(T4=Dienste!$A$2,Dienste!$C$2,IF(T4=Dienste!$A$3,Dienste!$C$3,IF(T4=Dienste!$A$4,Dienste!$C$4,IF(T4=Dienste!$A$5,Dienste!$C$5,IF(T4=Dienste!$A$6,Dienste!$C$6,IF(T4=Dienste!$A$7,Dienste!$C$7,IF(T4=Dienste!$A$8,Dienste!$C$8,IF(T4=Dienste!$A$9,Dienste!$C$9,IF(T4=Dienste!$A$10,Dienste!$C$10,IF(T4=Dienste!$A$11,Dienste!$C$11,IF(T4=Dienste!$A$12,Dienste!$C$12,IF(T4=Dienste!$A$13,Dienste!$C$13,IF(T4=Dienste!$A$14,Dienste!$C$14,IF(T4=Dienste!$A$15,Dienste!$C$15,IF(T4=Dienste!$A$16,Dienste!$C$16,IF(T4=Dienste!$A$17,Dienste!$C$17,IF(T4=Dienste!$A$18,Dienste!$C$18,IF(T4=Dienste!$A$19,Dienste!$C$19,IF(T4=Dienste!$A$20,Dienste!$C$20,IF(T4=Dienste!$A$21,Dienste!$C$21,IF(T4=Dienste!$A$22,Dienste!$C$22,IF(T4=Dienste!$A$23,Dienste!$C$23,IF(T4=Dienste!$A$24,Dienste!$C$24,IF(T4=Dienste!$A$25,Dienste!$C$25,IF(T4=Dienste!$A$26,Dienste!$C$26,IF(T4=Dienste!$A$27,Dienste!$C$27,IF(T4=Dienste!$A$28,Dienste!$C$28,IF(T4=Dienste!#REF!,Dienste!#REF!,IF(T4=Dienste!#REF!,Dienste!#REF!,IF(T4=Dienste!#REF!,Dienste!#REF!,IF(T4=Dienste!#REF!,Dienste!#REF!,IF(T4=Dienste!$A$33,Dienste!$C$33,IF(T4=Dienste!$A$34,Dienste!$C$34,IF(T4=Dienste!$A$35,Dienste!$C$35,IF(T4=Dienste!$A$36,Dienste!$C$36,)))))))))))))))))))))))))))))))))))</f>
        <v>0</v>
      </c>
      <c r="BO4" s="27">
        <f>IF(U4=Dienste!$A$2,Dienste!$C$2,IF(U4=Dienste!$A$3,Dienste!$C$3,IF(U4=Dienste!$A$4,Dienste!$C$4,IF(U4=Dienste!$A$5,Dienste!$C$5,IF(U4=Dienste!$A$6,Dienste!$C$6,IF(U4=Dienste!$A$7,Dienste!$C$7,IF(U4=Dienste!$A$8,Dienste!$C$8,IF(U4=Dienste!$A$9,Dienste!$C$9,IF(U4=Dienste!$A$10,Dienste!$C$10,IF(U4=Dienste!$A$11,Dienste!$C$11,IF(U4=Dienste!$A$12,Dienste!$C$12,IF(U4=Dienste!$A$13,Dienste!$C$13,IF(U4=Dienste!$A$14,Dienste!$C$14,IF(U4=Dienste!$A$15,Dienste!$C$15,IF(U4=Dienste!$A$16,Dienste!$C$16,IF(U4=Dienste!$A$17,Dienste!$C$17,IF(U4=Dienste!$A$18,Dienste!$C$18,IF(U4=Dienste!$A$19,Dienste!$C$19,IF(U4=Dienste!$A$20,Dienste!$C$20,IF(U4=Dienste!$A$21,Dienste!$C$21,IF(U4=Dienste!$A$22,Dienste!$C$22,IF(U4=Dienste!$A$23,Dienste!$C$23,IF(U4=Dienste!$A$24,Dienste!$C$24,IF(U4=Dienste!$A$25,Dienste!$C$25,IF(U4=Dienste!$A$26,Dienste!$C$26,IF(U4=Dienste!$A$27,Dienste!$C$27,IF(U4=Dienste!$A$28,Dienste!$C$28,IF(U4=Dienste!#REF!,Dienste!#REF!,IF(U4=Dienste!#REF!,Dienste!#REF!,IF(U4=Dienste!#REF!,Dienste!#REF!,IF(U4=Dienste!#REF!,Dienste!#REF!,IF(U4=Dienste!$A$33,Dienste!$C$33,IF(U4=Dienste!$A$34,Dienste!$C$34,IF(U4=Dienste!$A$35,Dienste!$C$35,IF(U4=Dienste!$A$36,Dienste!$C$36,)))))))))))))))))))))))))))))))))))</f>
        <v>8</v>
      </c>
      <c r="BP4" s="27">
        <f>IF(V4=Dienste!$A$2,Dienste!$C$2,IF(V4=Dienste!$A$3,Dienste!$C$3,IF(V4=Dienste!$A$4,Dienste!$C$4,IF(V4=Dienste!$A$5,Dienste!$C$5,IF(V4=Dienste!$A$6,Dienste!$C$6,IF(V4=Dienste!$A$7,Dienste!$C$7,IF(V4=Dienste!$A$8,Dienste!$C$8,IF(V4=Dienste!$A$9,Dienste!$C$9,IF(V4=Dienste!$A$10,Dienste!$C$10,IF(V4=Dienste!$A$11,Dienste!$C$11,IF(V4=Dienste!$A$12,Dienste!$C$12,IF(V4=Dienste!$A$13,Dienste!$C$13,IF(V4=Dienste!$A$14,Dienste!$C$14,IF(V4=Dienste!$A$15,Dienste!$C$15,IF(V4=Dienste!$A$16,Dienste!$C$16,IF(V4=Dienste!$A$17,Dienste!$C$17,IF(V4=Dienste!$A$18,Dienste!$C$18,IF(V4=Dienste!$A$19,Dienste!$C$19,IF(V4=Dienste!$A$20,Dienste!$C$20,IF(V4=Dienste!$A$21,Dienste!$C$21,IF(V4=Dienste!$A$22,Dienste!$C$22,IF(V4=Dienste!$A$23,Dienste!$C$23,IF(V4=Dienste!$A$24,Dienste!$C$24,IF(V4=Dienste!$A$25,Dienste!$C$25,IF(V4=Dienste!$A$26,Dienste!$C$26,IF(V4=Dienste!$A$27,Dienste!$C$27,IF(V4=Dienste!$A$28,Dienste!$C$28,IF(V4=Dienste!#REF!,Dienste!#REF!,IF(V4=Dienste!#REF!,Dienste!#REF!,IF(V4=Dienste!#REF!,Dienste!#REF!,IF(V4=Dienste!#REF!,Dienste!#REF!,IF(V4=Dienste!$A$33,Dienste!$C$33,IF(V4=Dienste!$A$34,Dienste!$C$34,IF(V4=Dienste!$A$35,Dienste!$C$35,IF(V4=Dienste!$A$36,Dienste!$C$36,)))))))))))))))))))))))))))))))))))</f>
        <v>8</v>
      </c>
      <c r="BQ4" s="27">
        <f>IF(W4=Dienste!$A$2,Dienste!$C$2,IF(W4=Dienste!$A$3,Dienste!$C$3,IF(W4=Dienste!$A$4,Dienste!$C$4,IF(W4=Dienste!$A$5,Dienste!$C$5,IF(W4=Dienste!$A$6,Dienste!$C$6,IF(W4=Dienste!$A$7,Dienste!$C$7,IF(W4=Dienste!$A$8,Dienste!$C$8,IF(W4=Dienste!$A$9,Dienste!$C$9,IF(W4=Dienste!$A$10,Dienste!$C$10,IF(W4=Dienste!$A$11,Dienste!$C$11,IF(W4=Dienste!$A$12,Dienste!$C$12,IF(W4=Dienste!$A$13,Dienste!$C$13,IF(W4=Dienste!$A$14,Dienste!$C$14,IF(W4=Dienste!$A$15,Dienste!$C$15,IF(W4=Dienste!$A$16,Dienste!$C$16,IF(W4=Dienste!$A$17,Dienste!$C$17,IF(W4=Dienste!$A$18,Dienste!$C$18,IF(W4=Dienste!$A$19,Dienste!$C$19,IF(W4=Dienste!$A$20,Dienste!$C$20,IF(W4=Dienste!$A$21,Dienste!$C$21,IF(W4=Dienste!$A$22,Dienste!$C$22,IF(W4=Dienste!$A$23,Dienste!$C$23,IF(W4=Dienste!$A$24,Dienste!$C$24,IF(W4=Dienste!$A$25,Dienste!$C$25,IF(W4=Dienste!$A$26,Dienste!$C$26,IF(W4=Dienste!$A$27,Dienste!$C$27,IF(W4=Dienste!$A$28,Dienste!$C$28,IF(W4=Dienste!#REF!,Dienste!#REF!,IF(W4=Dienste!#REF!,Dienste!#REF!,IF(W4=Dienste!#REF!,Dienste!#REF!,IF(W4=Dienste!#REF!,Dienste!#REF!,IF(W4=Dienste!$A$33,Dienste!$C$33,IF(W4=Dienste!$A$34,Dienste!$C$34,IF(W4=Dienste!$A$35,Dienste!$C$35,IF(W4=Dienste!$A$36,Dienste!$C$36,)))))))))))))))))))))))))))))))))))</f>
        <v>0</v>
      </c>
      <c r="BR4" s="27">
        <f>IF(X4=Dienste!$A$2,Dienste!$C$2,IF(X4=Dienste!$A$3,Dienste!$C$3,IF(X4=Dienste!$A$4,Dienste!$C$4,IF(X4=Dienste!$A$5,Dienste!$C$5,IF(X4=Dienste!$A$6,Dienste!$C$6,IF(X4=Dienste!$A$7,Dienste!$C$7,IF(X4=Dienste!$A$8,Dienste!$C$8,IF(X4=Dienste!$A$9,Dienste!$C$9,IF(X4=Dienste!$A$10,Dienste!$C$10,IF(X4=Dienste!$A$11,Dienste!$C$11,IF(X4=Dienste!$A$12,Dienste!$C$12,IF(X4=Dienste!$A$13,Dienste!$C$13,IF(X4=Dienste!$A$14,Dienste!$C$14,IF(X4=Dienste!$A$15,Dienste!$C$15,IF(X4=Dienste!$A$16,Dienste!$C$16,IF(X4=Dienste!$A$17,Dienste!$C$17,IF(X4=Dienste!$A$18,Dienste!$C$18,IF(X4=Dienste!$A$19,Dienste!$C$19,IF(X4=Dienste!$A$20,Dienste!$C$20,IF(X4=Dienste!$A$21,Dienste!$C$21,IF(X4=Dienste!$A$22,Dienste!$C$22,IF(X4=Dienste!$A$23,Dienste!$C$23,IF(X4=Dienste!$A$24,Dienste!$C$24,IF(X4=Dienste!$A$25,Dienste!$C$25,IF(X4=Dienste!$A$26,Dienste!$C$26,IF(X4=Dienste!$A$27,Dienste!$C$27,IF(X4=Dienste!$A$28,Dienste!$C$28,IF(X4=Dienste!#REF!,Dienste!#REF!,IF(X4=Dienste!#REF!,Dienste!#REF!,IF(X4=Dienste!#REF!,Dienste!#REF!,IF(X4=Dienste!#REF!,Dienste!#REF!,IF(X4=Dienste!$A$33,Dienste!$C$33,IF(X4=Dienste!$A$34,Dienste!$C$34,IF(X4=Dienste!$A$35,Dienste!$C$35,IF(X4=Dienste!$A$36,Dienste!$C$36,)))))))))))))))))))))))))))))))))))</f>
        <v>0</v>
      </c>
      <c r="BS4" s="27">
        <f>IF(Y4=Dienste!$A$2,Dienste!$C$2,IF(Y4=Dienste!$A$3,Dienste!$C$3,IF(Y4=Dienste!$A$4,Dienste!$C$4,IF(Y4=Dienste!$A$5,Dienste!$C$5,IF(Y4=Dienste!$A$6,Dienste!$C$6,IF(Y4=Dienste!$A$7,Dienste!$C$7,IF(Y4=Dienste!$A$8,Dienste!$C$8,IF(Y4=Dienste!$A$9,Dienste!$C$9,IF(Y4=Dienste!$A$10,Dienste!$C$10,IF(Y4=Dienste!$A$11,Dienste!$C$11,IF(Y4=Dienste!$A$12,Dienste!$C$12,IF(Y4=Dienste!$A$13,Dienste!$C$13,IF(Y4=Dienste!$A$14,Dienste!$C$14,IF(Y4=Dienste!$A$15,Dienste!$C$15,IF(Y4=Dienste!$A$16,Dienste!$C$16,IF(Y4=Dienste!$A$17,Dienste!$C$17,IF(Y4=Dienste!$A$18,Dienste!$C$18,IF(Y4=Dienste!$A$19,Dienste!$C$19,IF(Y4=Dienste!$A$20,Dienste!$C$20,IF(Y4=Dienste!$A$21,Dienste!$C$21,IF(Y4=Dienste!$A$22,Dienste!$C$22,IF(Y4=Dienste!$A$23,Dienste!$C$23,IF(Y4=Dienste!$A$24,Dienste!$C$24,IF(Y4=Dienste!$A$25,Dienste!$C$25,IF(Y4=Dienste!$A$26,Dienste!$C$26,IF(Y4=Dienste!$A$27,Dienste!$C$27,IF(Y4=Dienste!$A$28,Dienste!$C$28,IF(Y4=Dienste!#REF!,Dienste!#REF!,IF(Y4=Dienste!#REF!,Dienste!#REF!,IF(Y4=Dienste!#REF!,Dienste!#REF!,IF(Y4=Dienste!#REF!,Dienste!#REF!,IF(Y4=Dienste!$A$33,Dienste!$C$33,IF(Y4=Dienste!$A$34,Dienste!$C$34,IF(Y4=Dienste!$A$35,Dienste!$C$35,IF(Y4=Dienste!$A$36,Dienste!$C$36,)))))))))))))))))))))))))))))))))))</f>
        <v>0</v>
      </c>
      <c r="BT4" s="27">
        <f>IF(Z4=Dienste!$A$2,Dienste!$C$2,IF(Z4=Dienste!$A$3,Dienste!$C$3,IF(Z4=Dienste!$A$4,Dienste!$C$4,IF(Z4=Dienste!$A$5,Dienste!$C$5,IF(Z4=Dienste!$A$6,Dienste!$C$6,IF(Z4=Dienste!$A$7,Dienste!$C$7,IF(Z4=Dienste!$A$8,Dienste!$C$8,IF(Z4=Dienste!$A$9,Dienste!$C$9,IF(Z4=Dienste!$A$10,Dienste!$C$10,IF(Z4=Dienste!$A$11,Dienste!$C$11,IF(Z4=Dienste!$A$12,Dienste!$C$12,IF(Z4=Dienste!$A$13,Dienste!$C$13,IF(Z4=Dienste!$A$14,Dienste!$C$14,IF(Z4=Dienste!$A$15,Dienste!$C$15,IF(Z4=Dienste!$A$16,Dienste!$C$16,IF(Z4=Dienste!$A$17,Dienste!$C$17,IF(Z4=Dienste!$A$18,Dienste!$C$18,IF(Z4=Dienste!$A$19,Dienste!$C$19,IF(Z4=Dienste!$A$20,Dienste!$C$20,IF(Z4=Dienste!$A$21,Dienste!$C$21,IF(Z4=Dienste!$A$22,Dienste!$C$22,IF(Z4=Dienste!$A$23,Dienste!$C$23,IF(Z4=Dienste!$A$24,Dienste!$C$24,IF(Z4=Dienste!$A$25,Dienste!$C$25,IF(Z4=Dienste!$A$26,Dienste!$C$26,IF(Z4=Dienste!$A$27,Dienste!$C$27,IF(Z4=Dienste!$A$28,Dienste!$C$28,IF(Z4=Dienste!#REF!,Dienste!#REF!,IF(Z4=Dienste!#REF!,Dienste!#REF!,IF(Z4=Dienste!#REF!,Dienste!#REF!,IF(Z4=Dienste!#REF!,Dienste!#REF!,IF(Z4=Dienste!$A$33,Dienste!$C$33,IF(Z4=Dienste!$A$34,Dienste!$C$34,IF(Z4=Dienste!$A$35,Dienste!$C$35,IF(Z4=Dienste!$A$36,Dienste!$C$36,)))))))))))))))))))))))))))))))))))</f>
        <v>0</v>
      </c>
      <c r="BU4" s="27">
        <f>IF(AA4=Dienste!$A$2,Dienste!$C$2,IF(AA4=Dienste!$A$3,Dienste!$C$3,IF(AA4=Dienste!$A$4,Dienste!$C$4,IF(AA4=Dienste!$A$5,Dienste!$C$5,IF(AA4=Dienste!$A$6,Dienste!$C$6,IF(AA4=Dienste!$A$7,Dienste!$C$7,IF(AA4=Dienste!$A$8,Dienste!$C$8,IF(AA4=Dienste!$A$9,Dienste!$C$9,IF(AA4=Dienste!$A$10,Dienste!$C$10,IF(AA4=Dienste!$A$11,Dienste!$C$11,IF(AA4=Dienste!$A$12,Dienste!$C$12,IF(AA4=Dienste!$A$13,Dienste!$C$13,IF(AA4=Dienste!$A$14,Dienste!$C$14,IF(AA4=Dienste!$A$15,Dienste!$C$15,IF(AA4=Dienste!$A$16,Dienste!$C$16,IF(AA4=Dienste!$A$17,Dienste!$C$17,IF(AA4=Dienste!$A$18,Dienste!$C$18,IF(AA4=Dienste!$A$19,Dienste!$C$19,IF(AA4=Dienste!$A$20,Dienste!$C$20,IF(AA4=Dienste!$A$21,Dienste!$C$21,IF(AA4=Dienste!$A$22,Dienste!$C$22,IF(AA4=Dienste!$A$23,Dienste!$C$23,IF(AA4=Dienste!$A$24,Dienste!$C$24,IF(AA4=Dienste!$A$25,Dienste!$C$25,IF(AA4=Dienste!$A$26,Dienste!$C$26,IF(AA4=Dienste!$A$27,Dienste!$C$27,IF(AA4=Dienste!$A$28,Dienste!$C$28,IF(AA4=Dienste!#REF!,Dienste!#REF!,IF(AA4=Dienste!#REF!,Dienste!#REF!,IF(AA4=Dienste!#REF!,Dienste!#REF!,IF(AA4=Dienste!#REF!,Dienste!#REF!,IF(AA4=Dienste!$A$33,Dienste!$C$33,IF(AA4=Dienste!$A$34,Dienste!$C$34,IF(AA4=Dienste!$A$35,Dienste!$C$35,IF(AA4=Dienste!$A$36,Dienste!$C$36,)))))))))))))))))))))))))))))))))))</f>
        <v>0</v>
      </c>
      <c r="BV4" s="27">
        <f>IF(AB4=Dienste!$A$2,Dienste!$C$2,IF(AB4=Dienste!$A$3,Dienste!$C$3,IF(AB4=Dienste!$A$4,Dienste!$C$4,IF(AB4=Dienste!$A$5,Dienste!$C$5,IF(AB4=Dienste!$A$6,Dienste!$C$6,IF(AB4=Dienste!$A$7,Dienste!$C$7,IF(AB4=Dienste!$A$8,Dienste!$C$8,IF(AB4=Dienste!$A$9,Dienste!$C$9,IF(AB4=Dienste!$A$10,Dienste!$C$10,IF(AB4=Dienste!$A$11,Dienste!$C$11,IF(AB4=Dienste!$A$12,Dienste!$C$12,IF(AB4=Dienste!$A$13,Dienste!$C$13,IF(AB4=Dienste!$A$14,Dienste!$C$14,IF(AB4=Dienste!$A$15,Dienste!$C$15,IF(AB4=Dienste!$A$16,Dienste!$C$16,IF(AB4=Dienste!$A$17,Dienste!$C$17,IF(AB4=Dienste!$A$18,Dienste!$C$18,IF(AB4=Dienste!$A$19,Dienste!$C$19,IF(AB4=Dienste!$A$20,Dienste!$C$20,IF(AB4=Dienste!$A$21,Dienste!$C$21,IF(AB4=Dienste!$A$22,Dienste!$C$22,IF(AB4=Dienste!$A$23,Dienste!$C$23,IF(AB4=Dienste!$A$24,Dienste!$C$24,IF(AB4=Dienste!$A$25,Dienste!$C$25,IF(AB4=Dienste!$A$26,Dienste!$C$26,IF(AB4=Dienste!$A$27,Dienste!$C$27,IF(AB4=Dienste!$A$28,Dienste!$C$28,IF(AB4=Dienste!#REF!,Dienste!#REF!,IF(AB4=Dienste!#REF!,Dienste!#REF!,IF(AB4=Dienste!#REF!,Dienste!#REF!,IF(AB4=Dienste!#REF!,Dienste!#REF!,IF(AB4=Dienste!$A$33,Dienste!$C$33,IF(AB4=Dienste!$A$34,Dienste!$C$34,IF(AB4=Dienste!$A$35,Dienste!$C$35,IF(AB4=Dienste!$A$36,Dienste!$C$36,)))))))))))))))))))))))))))))))))))</f>
        <v>8</v>
      </c>
      <c r="BW4" s="27">
        <f>IF(AC4=Dienste!$A$2,Dienste!$C$2,IF(AC4=Dienste!$A$3,Dienste!$C$3,IF(AC4=Dienste!$A$4,Dienste!$C$4,IF(AC4=Dienste!$A$5,Dienste!$C$5,IF(AC4=Dienste!$A$6,Dienste!$C$6,IF(AC4=Dienste!$A$7,Dienste!$C$7,IF(AC4=Dienste!$A$8,Dienste!$C$8,IF(AC4=Dienste!$A$9,Dienste!$C$9,IF(AC4=Dienste!$A$10,Dienste!$C$10,IF(AC4=Dienste!$A$11,Dienste!$C$11,IF(AC4=Dienste!$A$12,Dienste!$C$12,IF(AC4=Dienste!$A$13,Dienste!$C$13,IF(AC4=Dienste!$A$14,Dienste!$C$14,IF(AC4=Dienste!$A$15,Dienste!$C$15,IF(AC4=Dienste!$A$16,Dienste!$C$16,IF(AC4=Dienste!$A$17,Dienste!$C$17,IF(AC4=Dienste!$A$18,Dienste!$C$18,IF(AC4=Dienste!$A$19,Dienste!$C$19,IF(AC4=Dienste!$A$20,Dienste!$C$20,IF(AC4=Dienste!$A$21,Dienste!$C$21,IF(AC4=Dienste!$A$22,Dienste!$C$22,IF(AC4=Dienste!$A$23,Dienste!$C$23,IF(AC4=Dienste!$A$24,Dienste!$C$24,IF(AC4=Dienste!$A$25,Dienste!$C$25,IF(AC4=Dienste!$A$26,Dienste!$C$26,IF(AC4=Dienste!$A$27,Dienste!$C$27,IF(AC4=Dienste!$A$28,Dienste!$C$28,IF(AC4=Dienste!#REF!,Dienste!#REF!,IF(AC4=Dienste!#REF!,Dienste!#REF!,IF(AC4=Dienste!#REF!,Dienste!#REF!,IF(AC4=Dienste!#REF!,Dienste!#REF!,IF(AC4=Dienste!$A$33,Dienste!$C$33,IF(AC4=Dienste!$A$34,Dienste!$C$34,IF(AC4=Dienste!$A$35,Dienste!$C$35,IF(AC4=Dienste!$A$36,Dienste!$C$36,)))))))))))))))))))))))))))))))))))</f>
        <v>8</v>
      </c>
      <c r="BX4" s="27">
        <f>IF(AD4=Dienste!$A$2,Dienste!$C$2,IF(AD4=Dienste!$A$3,Dienste!$C$3,IF(AD4=Dienste!$A$4,Dienste!$C$4,IF(AD4=Dienste!$A$5,Dienste!$C$5,IF(AD4=Dienste!$A$6,Dienste!$C$6,IF(AD4=Dienste!$A$7,Dienste!$C$7,IF(AD4=Dienste!$A$8,Dienste!$C$8,IF(AD4=Dienste!$A$9,Dienste!$C$9,IF(AD4=Dienste!$A$10,Dienste!$C$10,IF(AD4=Dienste!$A$11,Dienste!$C$11,IF(AD4=Dienste!$A$12,Dienste!$C$12,IF(AD4=Dienste!$A$13,Dienste!$C$13,IF(AD4=Dienste!$A$14,Dienste!$C$14,IF(AD4=Dienste!$A$15,Dienste!$C$15,IF(AD4=Dienste!$A$16,Dienste!$C$16,IF(AD4=Dienste!$A$17,Dienste!$C$17,IF(AD4=Dienste!$A$18,Dienste!$C$18,IF(AD4=Dienste!$A$19,Dienste!$C$19,IF(AD4=Dienste!$A$20,Dienste!$C$20,IF(AD4=Dienste!$A$21,Dienste!$C$21,IF(AD4=Dienste!$A$22,Dienste!$C$22,IF(AD4=Dienste!$A$23,Dienste!$C$23,IF(AD4=Dienste!$A$24,Dienste!$C$24,IF(AD4=Dienste!$A$25,Dienste!$C$25,IF(AD4=Dienste!$A$26,Dienste!$C$26,IF(AD4=Dienste!$A$27,Dienste!$C$27,IF(AD4=Dienste!$A$28,Dienste!$C$28,IF(AD4=Dienste!#REF!,Dienste!#REF!,IF(AD4=Dienste!#REF!,Dienste!#REF!,IF(AD4=Dienste!#REF!,Dienste!#REF!,IF(AD4=Dienste!#REF!,Dienste!#REF!,IF(AD4=Dienste!$A$33,Dienste!$C$33,IF(AD4=Dienste!$A$34,Dienste!$C$34,IF(AD4=Dienste!$A$35,Dienste!$C$35,IF(AD4=Dienste!$A$36,Dienste!$C$36,)))))))))))))))))))))))))))))))))))</f>
        <v>0</v>
      </c>
      <c r="BY4" s="27">
        <f>IF(AE4=Dienste!$A$2,Dienste!$C$2,IF(AE4=Dienste!$A$3,Dienste!$C$3,IF(AE4=Dienste!$A$4,Dienste!$C$4,IF(AE4=Dienste!$A$5,Dienste!$C$5,IF(AE4=Dienste!$A$6,Dienste!$C$6,IF(AE4=Dienste!$A$7,Dienste!$C$7,IF(AE4=Dienste!$A$8,Dienste!$C$8,IF(AE4=Dienste!$A$9,Dienste!$C$9,IF(AE4=Dienste!$A$10,Dienste!$C$10,IF(AE4=Dienste!$A$11,Dienste!$C$11,IF(AE4=Dienste!$A$12,Dienste!$C$12,IF(AE4=Dienste!$A$13,Dienste!$C$13,IF(AE4=Dienste!$A$14,Dienste!$C$14,IF(AE4=Dienste!$A$15,Dienste!$C$15,IF(AE4=Dienste!$A$16,Dienste!$C$16,IF(AE4=Dienste!$A$17,Dienste!$C$17,IF(AE4=Dienste!$A$18,Dienste!$C$18,IF(AE4=Dienste!$A$19,Dienste!$C$19,IF(AE4=Dienste!$A$20,Dienste!$C$20,IF(AE4=Dienste!$A$21,Dienste!$C$21,IF(AE4=Dienste!$A$22,Dienste!$C$22,IF(AE4=Dienste!$A$23,Dienste!$C$23,IF(AE4=Dienste!$A$24,Dienste!$C$24,IF(AE4=Dienste!$A$25,Dienste!$C$25,IF(AE4=Dienste!$A$26,Dienste!$C$26,IF(AE4=Dienste!$A$27,Dienste!$C$27,IF(AE4=Dienste!$A$28,Dienste!$C$28,IF(AE4=Dienste!#REF!,Dienste!#REF!,IF(AE4=Dienste!#REF!,Dienste!#REF!,IF(AE4=Dienste!#REF!,Dienste!#REF!,IF(AE4=Dienste!#REF!,Dienste!#REF!,IF(AE4=Dienste!$A$33,Dienste!$C$33,IF(AE4=Dienste!$A$34,Dienste!$C$34,IF(AE4=Dienste!$A$35,Dienste!$C$35,IF(AE4=Dienste!$A$36,Dienste!$C$36,)))))))))))))))))))))))))))))))))))</f>
        <v>0</v>
      </c>
      <c r="BZ4" s="27">
        <f>IF(AF4=Dienste!$A$2,Dienste!$C$2,IF(AF4=Dienste!$A$3,Dienste!$C$3,IF(AF4=Dienste!$A$4,Dienste!$C$4,IF(AF4=Dienste!$A$5,Dienste!$C$5,IF(AF4=Dienste!$A$6,Dienste!$C$6,IF(AF4=Dienste!$A$7,Dienste!$C$7,IF(AF4=Dienste!$A$8,Dienste!$C$8,IF(AF4=Dienste!$A$9,Dienste!$C$9,IF(AF4=Dienste!$A$10,Dienste!$C$10,IF(AF4=Dienste!$A$11,Dienste!$C$11,IF(AF4=Dienste!$A$12,Dienste!$C$12,IF(AF4=Dienste!$A$13,Dienste!$C$13,IF(AF4=Dienste!$A$14,Dienste!$C$14,IF(AF4=Dienste!$A$15,Dienste!$C$15,IF(AF4=Dienste!$A$16,Dienste!$C$16,IF(AF4=Dienste!$A$17,Dienste!$C$17,IF(AF4=Dienste!$A$18,Dienste!$C$18,IF(AF4=Dienste!$A$19,Dienste!$C$19,IF(AF4=Dienste!$A$20,Dienste!$C$20,IF(AF4=Dienste!$A$21,Dienste!$C$21,IF(AF4=Dienste!$A$22,Dienste!$C$22,IF(AF4=Dienste!$A$23,Dienste!$C$23,IF(AF4=Dienste!$A$24,Dienste!$C$24,IF(AF4=Dienste!$A$25,Dienste!$C$25,IF(AF4=Dienste!$A$26,Dienste!$C$26,IF(AF4=Dienste!$A$27,Dienste!$C$27,IF(AF4=Dienste!$A$28,Dienste!$C$28,IF(AF4=Dienste!#REF!,Dienste!#REF!,IF(AF4=Dienste!#REF!,Dienste!#REF!,IF(AF4=Dienste!#REF!,Dienste!#REF!,IF(AF4=Dienste!#REF!,Dienste!#REF!,IF(AF4=Dienste!$A$33,Dienste!$C$33,IF(AF4=Dienste!$A$34,Dienste!$C$34,IF(AF4=Dienste!$A$35,Dienste!$C$35,IF(AF4=Dienste!$A$36,Dienste!$C$36,)))))))))))))))))))))))))))))))))))</f>
        <v>0</v>
      </c>
      <c r="CA4" s="27">
        <f>IF(AG4=Dienste!$A$2,Dienste!$C$2,IF(AG4=Dienste!$A$3,Dienste!$C$3,IF(AG4=Dienste!$A$4,Dienste!$C$4,IF(AG4=Dienste!$A$5,Dienste!$C$5,IF(AG4=Dienste!$A$6,Dienste!$C$6,IF(AG4=Dienste!$A$7,Dienste!$C$7,IF(AG4=Dienste!$A$8,Dienste!$C$8,IF(AG4=Dienste!$A$9,Dienste!$C$9,IF(AG4=Dienste!$A$10,Dienste!$C$10,IF(AG4=Dienste!$A$11,Dienste!$C$11,IF(AG4=Dienste!$A$12,Dienste!$C$12,IF(AG4=Dienste!$A$13,Dienste!$C$13,IF(AG4=Dienste!$A$14,Dienste!$C$14,IF(AG4=Dienste!$A$15,Dienste!$C$15,IF(AG4=Dienste!$A$16,Dienste!$C$16,IF(AG4=Dienste!$A$17,Dienste!$C$17,IF(AG4=Dienste!$A$18,Dienste!$C$18,IF(AG4=Dienste!$A$19,Dienste!$C$19,IF(AG4=Dienste!$A$20,Dienste!$C$20,IF(AG4=Dienste!$A$21,Dienste!$C$21,IF(AG4=Dienste!$A$22,Dienste!$C$22,IF(AG4=Dienste!$A$23,Dienste!$C$23,IF(AG4=Dienste!$A$24,Dienste!$C$24,IF(AG4=Dienste!$A$25,Dienste!$C$25,IF(AG4=Dienste!$A$26,Dienste!$C$26,IF(AG4=Dienste!$A$27,Dienste!$C$27,IF(AG4=Dienste!$A$28,Dienste!$C$28,IF(AG4=Dienste!#REF!,Dienste!#REF!,IF(AG4=Dienste!#REF!,Dienste!#REF!,IF(AG4=Dienste!#REF!,Dienste!#REF!,IF(AG4=Dienste!#REF!,Dienste!#REF!,IF(AG4=Dienste!$A$33,Dienste!$C$33,IF(AG4=Dienste!$A$34,Dienste!$C$34,IF(AG4=Dienste!$A$35,Dienste!$C$35,IF(AG4=Dienste!$A$36,Dienste!$C$36,)))))))))))))))))))))))))))))))))))</f>
        <v>0</v>
      </c>
      <c r="CB4" s="27">
        <f>IF(AH4=Dienste!$A$2,Dienste!$C$2,IF(AH4=Dienste!$A$3,Dienste!$C$3,IF(AH4=Dienste!$A$4,Dienste!$C$4,IF(AH4=Dienste!$A$5,Dienste!$C$5,IF(AH4=Dienste!$A$6,Dienste!$C$6,IF(AH4=Dienste!$A$7,Dienste!$C$7,IF(AH4=Dienste!$A$8,Dienste!$C$8,IF(AH4=Dienste!$A$9,Dienste!$C$9,IF(AH4=Dienste!$A$10,Dienste!$C$10,IF(AH4=Dienste!$A$11,Dienste!$C$11,IF(AH4=Dienste!$A$12,Dienste!$C$12,IF(AH4=Dienste!$A$13,Dienste!$C$13,IF(AH4=Dienste!$A$14,Dienste!$C$14,IF(AH4=Dienste!$A$15,Dienste!$C$15,IF(AH4=Dienste!$A$16,Dienste!$C$16,IF(AH4=Dienste!$A$17,Dienste!$C$17,IF(AH4=Dienste!$A$18,Dienste!$C$18,IF(AH4=Dienste!$A$19,Dienste!$C$19,IF(AH4=Dienste!$A$20,Dienste!$C$20,IF(AH4=Dienste!$A$21,Dienste!$C$21,IF(AH4=Dienste!$A$22,Dienste!$C$22,IF(AH4=Dienste!$A$23,Dienste!$C$23,IF(AH4=Dienste!$A$24,Dienste!$C$24,IF(AH4=Dienste!$A$25,Dienste!$C$25,IF(AH4=Dienste!$A$26,Dienste!$C$26,IF(AH4=Dienste!$A$27,Dienste!$C$27,IF(AH4=Dienste!$A$28,Dienste!$C$28,IF(AH4=Dienste!#REF!,Dienste!#REF!,IF(AH4=Dienste!#REF!,Dienste!#REF!,IF(AH4=Dienste!#REF!,Dienste!#REF!,IF(AH4=Dienste!#REF!,Dienste!#REF!,IF(AH4=Dienste!$A$33,Dienste!$C$33,IF(AH4=Dienste!$A$34,Dienste!$C$34,IF(AH4=Dienste!$A$35,Dienste!$C$35,IF(AH4=Dienste!$A$36,Dienste!$C$36,)))))))))))))))))))))))))))))))))))</f>
        <v>0</v>
      </c>
      <c r="CC4" s="27" t="e">
        <f>IF(AI4=Dienste!$A$2,Dienste!$C$2,IF(AI4=Dienste!$A$3,Dienste!$C$3,IF(AI4=Dienste!$A$4,Dienste!$C$4,IF(AI4=Dienste!$A$5,Dienste!$C$5,IF(AI4=Dienste!$A$6,Dienste!$C$6,IF(AI4=Dienste!$A$7,Dienste!$C$7,IF(AI4=Dienste!$A$8,Dienste!$C$8,IF(AI4=Dienste!$A$9,Dienste!$C$9,IF(AI4=Dienste!$A$10,Dienste!$C$10,IF(AI4=Dienste!$A$11,Dienste!$C$11,IF(AI4=Dienste!$A$12,Dienste!$C$12,IF(AI4=Dienste!$A$13,Dienste!$C$13,IF(AI4=Dienste!$A$14,Dienste!$C$14,IF(AI4=Dienste!$A$15,Dienste!$C$15,IF(AI4=Dienste!$A$16,Dienste!$C$16,IF(AI4=Dienste!$A$17,Dienste!$C$17,IF(AI4=Dienste!$A$18,Dienste!$C$18,IF(AI4=Dienste!$A$19,Dienste!$C$19,IF(AI4=Dienste!$A$20,Dienste!$C$20,IF(AI4=Dienste!$A$21,Dienste!$C$21,IF(AI4=Dienste!$A$22,Dienste!$C$22,IF(AI4=Dienste!$A$23,Dienste!$C$23,IF(AI4=Dienste!$A$24,Dienste!$C$24,IF(AI4=Dienste!$A$25,Dienste!$C$25,IF(AI4=Dienste!$A$26,Dienste!$C$26,IF(AI4=Dienste!$A$27,Dienste!$C$27,IF(AI4=Dienste!$A$28,Dienste!$C$28,IF(AI4=Dienste!#REF!,Dienste!#REF!,IF(AI4=Dienste!#REF!,Dienste!#REF!,IF(AI4=Dienste!#REF!,Dienste!#REF!,IF(AI4=Dienste!#REF!,Dienste!#REF!,IF(AI4=Dienste!$A$33,Dienste!$C$33,IF(AI4=Dienste!$A$34,Dienste!$C$34,IF(AI4=Dienste!$A$35,Dienste!$C$35,IF(AI4=Dienste!$A$36,Dienste!$C$36,)))))))))))))))))))))))))))))))))))</f>
        <v>#REF!</v>
      </c>
    </row>
    <row r="5" spans="1:81" x14ac:dyDescent="0.25">
      <c r="A5" s="109" t="s">
        <v>123</v>
      </c>
      <c r="B5" s="15" t="s">
        <v>61</v>
      </c>
      <c r="C5" s="15">
        <v>40</v>
      </c>
      <c r="D5" s="98">
        <v>1</v>
      </c>
      <c r="E5" s="104" t="s">
        <v>83</v>
      </c>
      <c r="F5" s="9" t="s">
        <v>60</v>
      </c>
      <c r="G5" s="9" t="s">
        <v>60</v>
      </c>
      <c r="H5" s="9" t="s">
        <v>60</v>
      </c>
      <c r="I5" s="9" t="s">
        <v>60</v>
      </c>
      <c r="J5" s="9" t="s">
        <v>31</v>
      </c>
      <c r="K5" s="9" t="s">
        <v>83</v>
      </c>
      <c r="L5" s="9" t="s">
        <v>83</v>
      </c>
      <c r="M5" s="9" t="s">
        <v>83</v>
      </c>
      <c r="N5" s="9" t="s">
        <v>364</v>
      </c>
      <c r="O5" s="9" t="s">
        <v>65</v>
      </c>
      <c r="P5" s="9" t="s">
        <v>31</v>
      </c>
      <c r="Q5" s="9" t="s">
        <v>31</v>
      </c>
      <c r="R5" s="9" t="s">
        <v>19</v>
      </c>
      <c r="S5" s="9" t="s">
        <v>83</v>
      </c>
      <c r="T5" s="9" t="s">
        <v>31</v>
      </c>
      <c r="U5" s="9" t="s">
        <v>31</v>
      </c>
      <c r="V5" s="9" t="s">
        <v>60</v>
      </c>
      <c r="W5" s="9" t="s">
        <v>60</v>
      </c>
      <c r="X5" s="9" t="s">
        <v>60</v>
      </c>
      <c r="Y5" s="9" t="s">
        <v>371</v>
      </c>
      <c r="Z5" s="9" t="s">
        <v>83</v>
      </c>
      <c r="AA5" s="9" t="s">
        <v>31</v>
      </c>
      <c r="AB5" s="9" t="s">
        <v>31</v>
      </c>
      <c r="AC5" s="9" t="s">
        <v>364</v>
      </c>
      <c r="AD5" s="9" t="s">
        <v>65</v>
      </c>
      <c r="AE5" s="9" t="s">
        <v>60</v>
      </c>
      <c r="AF5" s="9" t="s">
        <v>83</v>
      </c>
      <c r="AG5" s="9" t="s">
        <v>83</v>
      </c>
      <c r="AH5" s="9" t="s">
        <v>60</v>
      </c>
      <c r="AI5" s="15"/>
      <c r="AJ5" s="109">
        <v>33.85</v>
      </c>
      <c r="AK5" s="15">
        <v>168</v>
      </c>
      <c r="AL5" s="109">
        <v>178</v>
      </c>
      <c r="AM5" s="15">
        <v>43.85</v>
      </c>
      <c r="AN5" s="170">
        <v>10</v>
      </c>
      <c r="AO5" s="109">
        <v>43.5</v>
      </c>
      <c r="AP5" s="15">
        <v>4</v>
      </c>
      <c r="AQ5" s="98">
        <v>2</v>
      </c>
      <c r="AR5" s="109">
        <v>60</v>
      </c>
      <c r="AS5" s="15">
        <v>44.04807692307692</v>
      </c>
      <c r="AT5" s="98">
        <v>26</v>
      </c>
      <c r="AU5" s="96" t="e">
        <f t="shared" si="2"/>
        <v>#REF!</v>
      </c>
      <c r="AV5" s="27" t="e">
        <f t="shared" si="0"/>
        <v>#REF!</v>
      </c>
      <c r="AW5" s="58" t="e">
        <f t="shared" si="1"/>
        <v>#REF!</v>
      </c>
      <c r="AY5" s="27">
        <f>IF(E5=Dienste!$A$2,Dienste!$C$2,IF(E5=Dienste!$A$3,Dienste!$C$3,IF(E5=Dienste!$A$4,Dienste!$C$4,IF(E5=Dienste!$A$5,Dienste!$C$5,IF(E5=Dienste!$A$6,Dienste!$C$6,IF(E5=Dienste!$A$7,Dienste!$C$7,IF(E5=Dienste!$A$8,Dienste!$C$8,IF(E5=Dienste!$A$9,Dienste!$C$9,IF(E5=Dienste!$A$10,Dienste!$C$10,IF(E5=Dienste!$A$11,Dienste!$C$11,IF(E5=Dienste!$A$12,Dienste!$C$12,IF(E5=Dienste!$A$13,Dienste!$C$13,IF(E5=Dienste!$A$14,Dienste!$C$14,IF(E5=Dienste!$A$15,Dienste!$C$15,IF(E5=Dienste!$A$16,Dienste!$C$16,IF(E5=Dienste!$A$17,Dienste!$C$17,IF(E5=Dienste!$A$18,Dienste!$C$18,IF(E5=Dienste!$A$19,Dienste!$C$19,IF(E5=Dienste!$A$20,Dienste!$C$20,IF(E5=Dienste!$A$21,Dienste!$C$21,IF(E5=Dienste!$A$22,Dienste!$C$22,IF(E5=Dienste!$A$23,Dienste!$C$23,IF(E5=Dienste!$A$24,Dienste!$C$24,IF(E5=Dienste!$A$25,Dienste!$C$25,IF(E5=Dienste!$A$26,Dienste!$C$26,IF(E5=Dienste!$A$27,Dienste!$C$27,IF(E5=Dienste!$A$28,Dienste!$C$28,IF(E5=Dienste!#REF!,Dienste!#REF!,IF(E5=Dienste!#REF!,Dienste!#REF!,IF(E5=Dienste!#REF!,Dienste!#REF!,IF(E5=Dienste!#REF!,Dienste!#REF!,IF(E5=Dienste!$A$33,Dienste!$C$33,IF(E5=Dienste!$A$34,Dienste!$C$34,IF(E5=Dienste!$A$35,Dienste!$C$35,IF(E5=Dienste!$A$36,Dienste!$C$36,)))))))))))))))))))))))))))))))))))</f>
        <v>0</v>
      </c>
      <c r="AZ5" s="27">
        <f>IF(F5=Dienste!$A$2,Dienste!$C$2,IF(F5=Dienste!$A$3,Dienste!$C$3,IF(F5=Dienste!$A$4,Dienste!$C$4,IF(F5=Dienste!$A$5,Dienste!$C$5,IF(F5=Dienste!$A$6,Dienste!$C$6,IF(F5=Dienste!$A$7,Dienste!$C$7,IF(F5=Dienste!$A$8,Dienste!$C$8,IF(F5=Dienste!$A$9,Dienste!$C$9,IF(F5=Dienste!$A$10,Dienste!$C$10,IF(F5=Dienste!$A$11,Dienste!$C$11,IF(F5=Dienste!$A$12,Dienste!$C$12,IF(F5=Dienste!$A$13,Dienste!$C$13,IF(F5=Dienste!$A$14,Dienste!$C$14,IF(F5=Dienste!$A$15,Dienste!$C$15,IF(F5=Dienste!$A$16,Dienste!$C$16,IF(F5=Dienste!$A$17,Dienste!$C$17,IF(F5=Dienste!$A$18,Dienste!$C$18,IF(F5=Dienste!$A$19,Dienste!$C$19,IF(F5=Dienste!$A$20,Dienste!$C$20,IF(F5=Dienste!$A$21,Dienste!$C$21,IF(F5=Dienste!$A$22,Dienste!$C$22,IF(F5=Dienste!$A$23,Dienste!$C$23,IF(F5=Dienste!$A$24,Dienste!$C$24,IF(F5=Dienste!$A$25,Dienste!$C$25,IF(F5=Dienste!$A$26,Dienste!$C$26,IF(F5=Dienste!$A$27,Dienste!$C$27,IF(F5=Dienste!$A$28,Dienste!$C$28,IF(F5=Dienste!#REF!,Dienste!#REF!,IF(F5=Dienste!#REF!,Dienste!#REF!,IF(F5=Dienste!#REF!,Dienste!#REF!,IF(F5=Dienste!#REF!,Dienste!#REF!,IF(F5=Dienste!$A$33,Dienste!$C$33,IF(F5=Dienste!$A$34,Dienste!$C$34,IF(F5=Dienste!$A$35,Dienste!$C$35,IF(F5=Dienste!$A$36,Dienste!$C$36,)))))))))))))))))))))))))))))))))))</f>
        <v>10</v>
      </c>
      <c r="BA5" s="27">
        <f>IF(G5=Dienste!$A$2,Dienste!$C$2,IF(G5=Dienste!$A$3,Dienste!$C$3,IF(G5=Dienste!$A$4,Dienste!$C$4,IF(G5=Dienste!$A$5,Dienste!$C$5,IF(G5=Dienste!$A$6,Dienste!$C$6,IF(G5=Dienste!$A$7,Dienste!$C$7,IF(G5=Dienste!$A$8,Dienste!$C$8,IF(G5=Dienste!$A$9,Dienste!$C$9,IF(G5=Dienste!$A$10,Dienste!$C$10,IF(G5=Dienste!$A$11,Dienste!$C$11,IF(G5=Dienste!$A$12,Dienste!$C$12,IF(G5=Dienste!$A$13,Dienste!$C$13,IF(G5=Dienste!$A$14,Dienste!$C$14,IF(G5=Dienste!$A$15,Dienste!$C$15,IF(G5=Dienste!$A$16,Dienste!$C$16,IF(G5=Dienste!$A$17,Dienste!$C$17,IF(G5=Dienste!$A$18,Dienste!$C$18,IF(G5=Dienste!$A$19,Dienste!$C$19,IF(G5=Dienste!$A$20,Dienste!$C$20,IF(G5=Dienste!$A$21,Dienste!$C$21,IF(G5=Dienste!$A$22,Dienste!$C$22,IF(G5=Dienste!$A$23,Dienste!$C$23,IF(G5=Dienste!$A$24,Dienste!$C$24,IF(G5=Dienste!$A$25,Dienste!$C$25,IF(G5=Dienste!$A$26,Dienste!$C$26,IF(G5=Dienste!$A$27,Dienste!$C$27,IF(G5=Dienste!$A$28,Dienste!$C$28,IF(G5=Dienste!#REF!,Dienste!#REF!,IF(G5=Dienste!#REF!,Dienste!#REF!,IF(G5=Dienste!#REF!,Dienste!#REF!,IF(G5=Dienste!#REF!,Dienste!#REF!,IF(G5=Dienste!$A$33,Dienste!$C$33,IF(G5=Dienste!$A$34,Dienste!$C$34,IF(G5=Dienste!$A$35,Dienste!$C$35,IF(G5=Dienste!$A$36,Dienste!$C$36,)))))))))))))))))))))))))))))))))))</f>
        <v>10</v>
      </c>
      <c r="BB5" s="27">
        <f>IF(H5=Dienste!$A$2,Dienste!$C$2,IF(H5=Dienste!$A$3,Dienste!$C$3,IF(H5=Dienste!$A$4,Dienste!$C$4,IF(H5=Dienste!$A$5,Dienste!$C$5,IF(H5=Dienste!$A$6,Dienste!$C$6,IF(H5=Dienste!$A$7,Dienste!$C$7,IF(H5=Dienste!$A$8,Dienste!$C$8,IF(H5=Dienste!$A$9,Dienste!$C$9,IF(H5=Dienste!$A$10,Dienste!$C$10,IF(H5=Dienste!$A$11,Dienste!$C$11,IF(H5=Dienste!$A$12,Dienste!$C$12,IF(H5=Dienste!$A$13,Dienste!$C$13,IF(H5=Dienste!$A$14,Dienste!$C$14,IF(H5=Dienste!$A$15,Dienste!$C$15,IF(H5=Dienste!$A$16,Dienste!$C$16,IF(H5=Dienste!$A$17,Dienste!$C$17,IF(H5=Dienste!$A$18,Dienste!$C$18,IF(H5=Dienste!$A$19,Dienste!$C$19,IF(H5=Dienste!$A$20,Dienste!$C$20,IF(H5=Dienste!$A$21,Dienste!$C$21,IF(H5=Dienste!$A$22,Dienste!$C$22,IF(H5=Dienste!$A$23,Dienste!$C$23,IF(H5=Dienste!$A$24,Dienste!$C$24,IF(H5=Dienste!$A$25,Dienste!$C$25,IF(H5=Dienste!$A$26,Dienste!$C$26,IF(H5=Dienste!$A$27,Dienste!$C$27,IF(H5=Dienste!$A$28,Dienste!$C$28,IF(H5=Dienste!#REF!,Dienste!#REF!,IF(H5=Dienste!#REF!,Dienste!#REF!,IF(H5=Dienste!#REF!,Dienste!#REF!,IF(H5=Dienste!#REF!,Dienste!#REF!,IF(H5=Dienste!$A$33,Dienste!$C$33,IF(H5=Dienste!$A$34,Dienste!$C$34,IF(H5=Dienste!$A$35,Dienste!$C$35,IF(H5=Dienste!$A$36,Dienste!$C$36,)))))))))))))))))))))))))))))))))))</f>
        <v>10</v>
      </c>
      <c r="BC5" s="27">
        <f>IF(I5=Dienste!$A$2,Dienste!$C$2,IF(I5=Dienste!$A$3,Dienste!$C$3,IF(I5=Dienste!$A$4,Dienste!$C$4,IF(I5=Dienste!$A$5,Dienste!$C$5,IF(I5=Dienste!$A$6,Dienste!$C$6,IF(I5=Dienste!$A$7,Dienste!$C$7,IF(I5=Dienste!$A$8,Dienste!$C$8,IF(I5=Dienste!$A$9,Dienste!$C$9,IF(I5=Dienste!$A$10,Dienste!$C$10,IF(I5=Dienste!$A$11,Dienste!$C$11,IF(I5=Dienste!$A$12,Dienste!$C$12,IF(I5=Dienste!$A$13,Dienste!$C$13,IF(I5=Dienste!$A$14,Dienste!$C$14,IF(I5=Dienste!$A$15,Dienste!$C$15,IF(I5=Dienste!$A$16,Dienste!$C$16,IF(I5=Dienste!$A$17,Dienste!$C$17,IF(I5=Dienste!$A$18,Dienste!$C$18,IF(I5=Dienste!$A$19,Dienste!$C$19,IF(I5=Dienste!$A$20,Dienste!$C$20,IF(I5=Dienste!$A$21,Dienste!$C$21,IF(I5=Dienste!$A$22,Dienste!$C$22,IF(I5=Dienste!$A$23,Dienste!$C$23,IF(I5=Dienste!$A$24,Dienste!$C$24,IF(I5=Dienste!$A$25,Dienste!$C$25,IF(I5=Dienste!$A$26,Dienste!$C$26,IF(I5=Dienste!$A$27,Dienste!$C$27,IF(I5=Dienste!$A$28,Dienste!$C$28,IF(I5=Dienste!#REF!,Dienste!#REF!,IF(I5=Dienste!#REF!,Dienste!#REF!,IF(I5=Dienste!#REF!,Dienste!#REF!,IF(I5=Dienste!#REF!,Dienste!#REF!,IF(I5=Dienste!$A$33,Dienste!$C$33,IF(I5=Dienste!$A$34,Dienste!$C$34,IF(I5=Dienste!$A$35,Dienste!$C$35,IF(I5=Dienste!$A$36,Dienste!$C$36,)))))))))))))))))))))))))))))))))))</f>
        <v>10</v>
      </c>
      <c r="BD5" s="27">
        <f>IF(J5=Dienste!$A$2,Dienste!$C$2,IF(J5=Dienste!$A$3,Dienste!$C$3,IF(J5=Dienste!$A$4,Dienste!$C$4,IF(J5=Dienste!$A$5,Dienste!$C$5,IF(J5=Dienste!$A$6,Dienste!$C$6,IF(J5=Dienste!$A$7,Dienste!$C$7,IF(J5=Dienste!$A$8,Dienste!$C$8,IF(J5=Dienste!$A$9,Dienste!$C$9,IF(J5=Dienste!$A$10,Dienste!$C$10,IF(J5=Dienste!$A$11,Dienste!$C$11,IF(J5=Dienste!$A$12,Dienste!$C$12,IF(J5=Dienste!$A$13,Dienste!$C$13,IF(J5=Dienste!$A$14,Dienste!$C$14,IF(J5=Dienste!$A$15,Dienste!$C$15,IF(J5=Dienste!$A$16,Dienste!$C$16,IF(J5=Dienste!$A$17,Dienste!$C$17,IF(J5=Dienste!$A$18,Dienste!$C$18,IF(J5=Dienste!$A$19,Dienste!$C$19,IF(J5=Dienste!$A$20,Dienste!$C$20,IF(J5=Dienste!$A$21,Dienste!$C$21,IF(J5=Dienste!$A$22,Dienste!$C$22,IF(J5=Dienste!$A$23,Dienste!$C$23,IF(J5=Dienste!$A$24,Dienste!$C$24,IF(J5=Dienste!$A$25,Dienste!$C$25,IF(J5=Dienste!$A$26,Dienste!$C$26,IF(J5=Dienste!$A$27,Dienste!$C$27,IF(J5=Dienste!$A$28,Dienste!$C$28,IF(J5=Dienste!#REF!,Dienste!#REF!,IF(J5=Dienste!#REF!,Dienste!#REF!,IF(J5=Dienste!#REF!,Dienste!#REF!,IF(J5=Dienste!#REF!,Dienste!#REF!,IF(J5=Dienste!$A$33,Dienste!$C$33,IF(J5=Dienste!$A$34,Dienste!$C$34,IF(J5=Dienste!$A$35,Dienste!$C$35,IF(J5=Dienste!$A$36,Dienste!$C$36,)))))))))))))))))))))))))))))))))))</f>
        <v>8</v>
      </c>
      <c r="BE5" s="27">
        <f>IF(K5=Dienste!$A$2,Dienste!$C$2,IF(K5=Dienste!$A$3,Dienste!$C$3,IF(K5=Dienste!$A$4,Dienste!$C$4,IF(K5=Dienste!$A$5,Dienste!$C$5,IF(K5=Dienste!$A$6,Dienste!$C$6,IF(K5=Dienste!$A$7,Dienste!$C$7,IF(K5=Dienste!$A$8,Dienste!$C$8,IF(K5=Dienste!$A$9,Dienste!$C$9,IF(K5=Dienste!$A$10,Dienste!$C$10,IF(K5=Dienste!$A$11,Dienste!$C$11,IF(K5=Dienste!$A$12,Dienste!$C$12,IF(K5=Dienste!$A$13,Dienste!$C$13,IF(K5=Dienste!$A$14,Dienste!$C$14,IF(K5=Dienste!$A$15,Dienste!$C$15,IF(K5=Dienste!$A$16,Dienste!$C$16,IF(K5=Dienste!$A$17,Dienste!$C$17,IF(K5=Dienste!$A$18,Dienste!$C$18,IF(K5=Dienste!$A$19,Dienste!$C$19,IF(K5=Dienste!$A$20,Dienste!$C$20,IF(K5=Dienste!$A$21,Dienste!$C$21,IF(K5=Dienste!$A$22,Dienste!$C$22,IF(K5=Dienste!$A$23,Dienste!$C$23,IF(K5=Dienste!$A$24,Dienste!$C$24,IF(K5=Dienste!$A$25,Dienste!$C$25,IF(K5=Dienste!$A$26,Dienste!$C$26,IF(K5=Dienste!$A$27,Dienste!$C$27,IF(K5=Dienste!$A$28,Dienste!$C$28,IF(K5=Dienste!#REF!,Dienste!#REF!,IF(K5=Dienste!#REF!,Dienste!#REF!,IF(K5=Dienste!#REF!,Dienste!#REF!,IF(K5=Dienste!#REF!,Dienste!#REF!,IF(K5=Dienste!$A$33,Dienste!$C$33,IF(K5=Dienste!$A$34,Dienste!$C$34,IF(K5=Dienste!$A$35,Dienste!$C$35,IF(K5=Dienste!$A$36,Dienste!$C$36,)))))))))))))))))))))))))))))))))))</f>
        <v>0</v>
      </c>
      <c r="BF5" s="27">
        <f>IF(L5=Dienste!$A$2,Dienste!$C$2,IF(L5=Dienste!$A$3,Dienste!$C$3,IF(L5=Dienste!$A$4,Dienste!$C$4,IF(L5=Dienste!$A$5,Dienste!$C$5,IF(L5=Dienste!$A$6,Dienste!$C$6,IF(L5=Dienste!$A$7,Dienste!$C$7,IF(L5=Dienste!$A$8,Dienste!$C$8,IF(L5=Dienste!$A$9,Dienste!$C$9,IF(L5=Dienste!$A$10,Dienste!$C$10,IF(L5=Dienste!$A$11,Dienste!$C$11,IF(L5=Dienste!$A$12,Dienste!$C$12,IF(L5=Dienste!$A$13,Dienste!$C$13,IF(L5=Dienste!$A$14,Dienste!$C$14,IF(L5=Dienste!$A$15,Dienste!$C$15,IF(L5=Dienste!$A$16,Dienste!$C$16,IF(L5=Dienste!$A$17,Dienste!$C$17,IF(L5=Dienste!$A$18,Dienste!$C$18,IF(L5=Dienste!$A$19,Dienste!$C$19,IF(L5=Dienste!$A$20,Dienste!$C$20,IF(L5=Dienste!$A$21,Dienste!$C$21,IF(L5=Dienste!$A$22,Dienste!$C$22,IF(L5=Dienste!$A$23,Dienste!$C$23,IF(L5=Dienste!$A$24,Dienste!$C$24,IF(L5=Dienste!$A$25,Dienste!$C$25,IF(L5=Dienste!$A$26,Dienste!$C$26,IF(L5=Dienste!$A$27,Dienste!$C$27,IF(L5=Dienste!$A$28,Dienste!$C$28,IF(L5=Dienste!#REF!,Dienste!#REF!,IF(L5=Dienste!#REF!,Dienste!#REF!,IF(L5=Dienste!#REF!,Dienste!#REF!,IF(L5=Dienste!#REF!,Dienste!#REF!,IF(L5=Dienste!$A$33,Dienste!$C$33,IF(L5=Dienste!$A$34,Dienste!$C$34,IF(L5=Dienste!$A$35,Dienste!$C$35,IF(L5=Dienste!$A$36,Dienste!$C$36,)))))))))))))))))))))))))))))))))))</f>
        <v>0</v>
      </c>
      <c r="BG5" s="27">
        <f>IF(M5=Dienste!$A$2,Dienste!$C$2,IF(M5=Dienste!$A$3,Dienste!$C$3,IF(M5=Dienste!$A$4,Dienste!$C$4,IF(M5=Dienste!$A$5,Dienste!$C$5,IF(M5=Dienste!$A$6,Dienste!$C$6,IF(M5=Dienste!$A$7,Dienste!$C$7,IF(M5=Dienste!$A$8,Dienste!$C$8,IF(M5=Dienste!$A$9,Dienste!$C$9,IF(M5=Dienste!$A$10,Dienste!$C$10,IF(M5=Dienste!$A$11,Dienste!$C$11,IF(M5=Dienste!$A$12,Dienste!$C$12,IF(M5=Dienste!$A$13,Dienste!$C$13,IF(M5=Dienste!$A$14,Dienste!$C$14,IF(M5=Dienste!$A$15,Dienste!$C$15,IF(M5=Dienste!$A$16,Dienste!$C$16,IF(M5=Dienste!$A$17,Dienste!$C$17,IF(M5=Dienste!$A$18,Dienste!$C$18,IF(M5=Dienste!$A$19,Dienste!$C$19,IF(M5=Dienste!$A$20,Dienste!$C$20,IF(M5=Dienste!$A$21,Dienste!$C$21,IF(M5=Dienste!$A$22,Dienste!$C$22,IF(M5=Dienste!$A$23,Dienste!$C$23,IF(M5=Dienste!$A$24,Dienste!$C$24,IF(M5=Dienste!$A$25,Dienste!$C$25,IF(M5=Dienste!$A$26,Dienste!$C$26,IF(M5=Dienste!$A$27,Dienste!$C$27,IF(M5=Dienste!$A$28,Dienste!$C$28,IF(M5=Dienste!#REF!,Dienste!#REF!,IF(M5=Dienste!#REF!,Dienste!#REF!,IF(M5=Dienste!#REF!,Dienste!#REF!,IF(M5=Dienste!#REF!,Dienste!#REF!,IF(M5=Dienste!$A$33,Dienste!$C$33,IF(M5=Dienste!$A$34,Dienste!$C$34,IF(M5=Dienste!$A$35,Dienste!$C$35,IF(M5=Dienste!$A$36,Dienste!$C$36,)))))))))))))))))))))))))))))))))))</f>
        <v>0</v>
      </c>
      <c r="BH5" s="27" t="e">
        <f>IF(N5=Dienste!$A$2,Dienste!$C$2,IF(N5=Dienste!$A$3,Dienste!$C$3,IF(N5=Dienste!$A$4,Dienste!$C$4,IF(N5=Dienste!$A$5,Dienste!$C$5,IF(N5=Dienste!$A$6,Dienste!$C$6,IF(N5=Dienste!$A$7,Dienste!$C$7,IF(N5=Dienste!$A$8,Dienste!$C$8,IF(N5=Dienste!$A$9,Dienste!$C$9,IF(N5=Dienste!$A$10,Dienste!$C$10,IF(N5=Dienste!$A$11,Dienste!$C$11,IF(N5=Dienste!$A$12,Dienste!$C$12,IF(N5=Dienste!$A$13,Dienste!$C$13,IF(N5=Dienste!$A$14,Dienste!$C$14,IF(N5=Dienste!$A$15,Dienste!$C$15,IF(N5=Dienste!$A$16,Dienste!$C$16,IF(N5=Dienste!$A$17,Dienste!$C$17,IF(N5=Dienste!$A$18,Dienste!$C$18,IF(N5=Dienste!$A$19,Dienste!$C$19,IF(N5=Dienste!$A$20,Dienste!$C$20,IF(N5=Dienste!$A$21,Dienste!$C$21,IF(N5=Dienste!$A$22,Dienste!$C$22,IF(N5=Dienste!$A$23,Dienste!$C$23,IF(N5=Dienste!$A$24,Dienste!$C$24,IF(N5=Dienste!$A$25,Dienste!$C$25,IF(N5=Dienste!$A$26,Dienste!$C$26,IF(N5=Dienste!$A$27,Dienste!$C$27,IF(N5=Dienste!$A$28,Dienste!$C$28,IF(N5=Dienste!#REF!,Dienste!#REF!,IF(N5=Dienste!#REF!,Dienste!#REF!,IF(N5=Dienste!#REF!,Dienste!#REF!,IF(N5=Dienste!#REF!,Dienste!#REF!,IF(N5=Dienste!$A$33,Dienste!$C$33,IF(N5=Dienste!$A$34,Dienste!$C$34,IF(N5=Dienste!$A$35,Dienste!$C$35,IF(N5=Dienste!$A$36,Dienste!$C$36,)))))))))))))))))))))))))))))))))))</f>
        <v>#REF!</v>
      </c>
      <c r="BI5" s="27">
        <f>IF(O5=Dienste!$A$2,Dienste!$C$2,IF(O5=Dienste!$A$3,Dienste!$C$3,IF(O5=Dienste!$A$4,Dienste!$C$4,IF(O5=Dienste!$A$5,Dienste!$C$5,IF(O5=Dienste!$A$6,Dienste!$C$6,IF(O5=Dienste!$A$7,Dienste!$C$7,IF(O5=Dienste!$A$8,Dienste!$C$8,IF(O5=Dienste!$A$9,Dienste!$C$9,IF(O5=Dienste!$A$10,Dienste!$C$10,IF(O5=Dienste!$A$11,Dienste!$C$11,IF(O5=Dienste!$A$12,Dienste!$C$12,IF(O5=Dienste!$A$13,Dienste!$C$13,IF(O5=Dienste!$A$14,Dienste!$C$14,IF(O5=Dienste!$A$15,Dienste!$C$15,IF(O5=Dienste!$A$16,Dienste!$C$16,IF(O5=Dienste!$A$17,Dienste!$C$17,IF(O5=Dienste!$A$18,Dienste!$C$18,IF(O5=Dienste!$A$19,Dienste!$C$19,IF(O5=Dienste!$A$20,Dienste!$C$20,IF(O5=Dienste!$A$21,Dienste!$C$21,IF(O5=Dienste!$A$22,Dienste!$C$22,IF(O5=Dienste!$A$23,Dienste!$C$23,IF(O5=Dienste!$A$24,Dienste!$C$24,IF(O5=Dienste!$A$25,Dienste!$C$25,IF(O5=Dienste!$A$26,Dienste!$C$26,IF(O5=Dienste!$A$27,Dienste!$C$27,IF(O5=Dienste!$A$28,Dienste!$C$28,IF(O5=Dienste!#REF!,Dienste!#REF!,IF(O5=Dienste!#REF!,Dienste!#REF!,IF(O5=Dienste!#REF!,Dienste!#REF!,IF(O5=Dienste!#REF!,Dienste!#REF!,IF(O5=Dienste!$A$33,Dienste!$C$33,IF(O5=Dienste!$A$34,Dienste!$C$34,IF(O5=Dienste!$A$35,Dienste!$C$35,IF(O5=Dienste!$A$36,Dienste!$C$36,)))))))))))))))))))))))))))))))))))</f>
        <v>8</v>
      </c>
      <c r="BJ5" s="27">
        <f>IF(P5=Dienste!$A$2,Dienste!$C$2,IF(P5=Dienste!$A$3,Dienste!$C$3,IF(P5=Dienste!$A$4,Dienste!$C$4,IF(P5=Dienste!$A$5,Dienste!$C$5,IF(P5=Dienste!$A$6,Dienste!$C$6,IF(P5=Dienste!$A$7,Dienste!$C$7,IF(P5=Dienste!$A$8,Dienste!$C$8,IF(P5=Dienste!$A$9,Dienste!$C$9,IF(P5=Dienste!$A$10,Dienste!$C$10,IF(P5=Dienste!$A$11,Dienste!$C$11,IF(P5=Dienste!$A$12,Dienste!$C$12,IF(P5=Dienste!$A$13,Dienste!$C$13,IF(P5=Dienste!$A$14,Dienste!$C$14,IF(P5=Dienste!$A$15,Dienste!$C$15,IF(P5=Dienste!$A$16,Dienste!$C$16,IF(P5=Dienste!$A$17,Dienste!$C$17,IF(P5=Dienste!$A$18,Dienste!$C$18,IF(P5=Dienste!$A$19,Dienste!$C$19,IF(P5=Dienste!$A$20,Dienste!$C$20,IF(P5=Dienste!$A$21,Dienste!$C$21,IF(P5=Dienste!$A$22,Dienste!$C$22,IF(P5=Dienste!$A$23,Dienste!$C$23,IF(P5=Dienste!$A$24,Dienste!$C$24,IF(P5=Dienste!$A$25,Dienste!$C$25,IF(P5=Dienste!$A$26,Dienste!$C$26,IF(P5=Dienste!$A$27,Dienste!$C$27,IF(P5=Dienste!$A$28,Dienste!$C$28,IF(P5=Dienste!#REF!,Dienste!#REF!,IF(P5=Dienste!#REF!,Dienste!#REF!,IF(P5=Dienste!#REF!,Dienste!#REF!,IF(P5=Dienste!#REF!,Dienste!#REF!,IF(P5=Dienste!$A$33,Dienste!$C$33,IF(P5=Dienste!$A$34,Dienste!$C$34,IF(P5=Dienste!$A$35,Dienste!$C$35,IF(P5=Dienste!$A$36,Dienste!$C$36,)))))))))))))))))))))))))))))))))))</f>
        <v>8</v>
      </c>
      <c r="BK5" s="27">
        <f>IF(Q5=Dienste!$A$2,Dienste!$C$2,IF(Q5=Dienste!$A$3,Dienste!$C$3,IF(Q5=Dienste!$A$4,Dienste!$C$4,IF(Q5=Dienste!$A$5,Dienste!$C$5,IF(Q5=Dienste!$A$6,Dienste!$C$6,IF(Q5=Dienste!$A$7,Dienste!$C$7,IF(Q5=Dienste!$A$8,Dienste!$C$8,IF(Q5=Dienste!$A$9,Dienste!$C$9,IF(Q5=Dienste!$A$10,Dienste!$C$10,IF(Q5=Dienste!$A$11,Dienste!$C$11,IF(Q5=Dienste!$A$12,Dienste!$C$12,IF(Q5=Dienste!$A$13,Dienste!$C$13,IF(Q5=Dienste!$A$14,Dienste!$C$14,IF(Q5=Dienste!$A$15,Dienste!$C$15,IF(Q5=Dienste!$A$16,Dienste!$C$16,IF(Q5=Dienste!$A$17,Dienste!$C$17,IF(Q5=Dienste!$A$18,Dienste!$C$18,IF(Q5=Dienste!$A$19,Dienste!$C$19,IF(Q5=Dienste!$A$20,Dienste!$C$20,IF(Q5=Dienste!$A$21,Dienste!$C$21,IF(Q5=Dienste!$A$22,Dienste!$C$22,IF(Q5=Dienste!$A$23,Dienste!$C$23,IF(Q5=Dienste!$A$24,Dienste!$C$24,IF(Q5=Dienste!$A$25,Dienste!$C$25,IF(Q5=Dienste!$A$26,Dienste!$C$26,IF(Q5=Dienste!$A$27,Dienste!$C$27,IF(Q5=Dienste!$A$28,Dienste!$C$28,IF(Q5=Dienste!#REF!,Dienste!#REF!,IF(Q5=Dienste!#REF!,Dienste!#REF!,IF(Q5=Dienste!#REF!,Dienste!#REF!,IF(Q5=Dienste!#REF!,Dienste!#REF!,IF(Q5=Dienste!$A$33,Dienste!$C$33,IF(Q5=Dienste!$A$34,Dienste!$C$34,IF(Q5=Dienste!$A$35,Dienste!$C$35,IF(Q5=Dienste!$A$36,Dienste!$C$36,)))))))))))))))))))))))))))))))))))</f>
        <v>8</v>
      </c>
      <c r="BL5" s="27">
        <f>IF(R5=Dienste!$A$2,Dienste!$C$2,IF(R5=Dienste!$A$3,Dienste!$C$3,IF(R5=Dienste!$A$4,Dienste!$C$4,IF(R5=Dienste!$A$5,Dienste!$C$5,IF(R5=Dienste!$A$6,Dienste!$C$6,IF(R5=Dienste!$A$7,Dienste!$C$7,IF(R5=Dienste!$A$8,Dienste!$C$8,IF(R5=Dienste!$A$9,Dienste!$C$9,IF(R5=Dienste!$A$10,Dienste!$C$10,IF(R5=Dienste!$A$11,Dienste!$C$11,IF(R5=Dienste!$A$12,Dienste!$C$12,IF(R5=Dienste!$A$13,Dienste!$C$13,IF(R5=Dienste!$A$14,Dienste!$C$14,IF(R5=Dienste!$A$15,Dienste!$C$15,IF(R5=Dienste!$A$16,Dienste!$C$16,IF(R5=Dienste!$A$17,Dienste!$C$17,IF(R5=Dienste!$A$18,Dienste!$C$18,IF(R5=Dienste!$A$19,Dienste!$C$19,IF(R5=Dienste!$A$20,Dienste!$C$20,IF(R5=Dienste!$A$21,Dienste!$C$21,IF(R5=Dienste!$A$22,Dienste!$C$22,IF(R5=Dienste!$A$23,Dienste!$C$23,IF(R5=Dienste!$A$24,Dienste!$C$24,IF(R5=Dienste!$A$25,Dienste!$C$25,IF(R5=Dienste!$A$26,Dienste!$C$26,IF(R5=Dienste!$A$27,Dienste!$C$27,IF(R5=Dienste!$A$28,Dienste!$C$28,IF(R5=Dienste!#REF!,Dienste!#REF!,IF(R5=Dienste!#REF!,Dienste!#REF!,IF(R5=Dienste!#REF!,Dienste!#REF!,IF(R5=Dienste!#REF!,Dienste!#REF!,IF(R5=Dienste!$A$33,Dienste!$C$33,IF(R5=Dienste!$A$34,Dienste!$C$34,IF(R5=Dienste!$A$35,Dienste!$C$35,IF(R5=Dienste!$A$36,Dienste!$C$36,)))))))))))))))))))))))))))))))))))</f>
        <v>0</v>
      </c>
      <c r="BM5" s="27">
        <f>IF(S5=Dienste!$A$2,Dienste!$C$2,IF(S5=Dienste!$A$3,Dienste!$C$3,IF(S5=Dienste!$A$4,Dienste!$C$4,IF(S5=Dienste!$A$5,Dienste!$C$5,IF(S5=Dienste!$A$6,Dienste!$C$6,IF(S5=Dienste!$A$7,Dienste!$C$7,IF(S5=Dienste!$A$8,Dienste!$C$8,IF(S5=Dienste!$A$9,Dienste!$C$9,IF(S5=Dienste!$A$10,Dienste!$C$10,IF(S5=Dienste!$A$11,Dienste!$C$11,IF(S5=Dienste!$A$12,Dienste!$C$12,IF(S5=Dienste!$A$13,Dienste!$C$13,IF(S5=Dienste!$A$14,Dienste!$C$14,IF(S5=Dienste!$A$15,Dienste!$C$15,IF(S5=Dienste!$A$16,Dienste!$C$16,IF(S5=Dienste!$A$17,Dienste!$C$17,IF(S5=Dienste!$A$18,Dienste!$C$18,IF(S5=Dienste!$A$19,Dienste!$C$19,IF(S5=Dienste!$A$20,Dienste!$C$20,IF(S5=Dienste!$A$21,Dienste!$C$21,IF(S5=Dienste!$A$22,Dienste!$C$22,IF(S5=Dienste!$A$23,Dienste!$C$23,IF(S5=Dienste!$A$24,Dienste!$C$24,IF(S5=Dienste!$A$25,Dienste!$C$25,IF(S5=Dienste!$A$26,Dienste!$C$26,IF(S5=Dienste!$A$27,Dienste!$C$27,IF(S5=Dienste!$A$28,Dienste!$C$28,IF(S5=Dienste!#REF!,Dienste!#REF!,IF(S5=Dienste!#REF!,Dienste!#REF!,IF(S5=Dienste!#REF!,Dienste!#REF!,IF(S5=Dienste!#REF!,Dienste!#REF!,IF(S5=Dienste!$A$33,Dienste!$C$33,IF(S5=Dienste!$A$34,Dienste!$C$34,IF(S5=Dienste!$A$35,Dienste!$C$35,IF(S5=Dienste!$A$36,Dienste!$C$36,)))))))))))))))))))))))))))))))))))</f>
        <v>0</v>
      </c>
      <c r="BN5" s="27">
        <f>IF(T5=Dienste!$A$2,Dienste!$C$2,IF(T5=Dienste!$A$3,Dienste!$C$3,IF(T5=Dienste!$A$4,Dienste!$C$4,IF(T5=Dienste!$A$5,Dienste!$C$5,IF(T5=Dienste!$A$6,Dienste!$C$6,IF(T5=Dienste!$A$7,Dienste!$C$7,IF(T5=Dienste!$A$8,Dienste!$C$8,IF(T5=Dienste!$A$9,Dienste!$C$9,IF(T5=Dienste!$A$10,Dienste!$C$10,IF(T5=Dienste!$A$11,Dienste!$C$11,IF(T5=Dienste!$A$12,Dienste!$C$12,IF(T5=Dienste!$A$13,Dienste!$C$13,IF(T5=Dienste!$A$14,Dienste!$C$14,IF(T5=Dienste!$A$15,Dienste!$C$15,IF(T5=Dienste!$A$16,Dienste!$C$16,IF(T5=Dienste!$A$17,Dienste!$C$17,IF(T5=Dienste!$A$18,Dienste!$C$18,IF(T5=Dienste!$A$19,Dienste!$C$19,IF(T5=Dienste!$A$20,Dienste!$C$20,IF(T5=Dienste!$A$21,Dienste!$C$21,IF(T5=Dienste!$A$22,Dienste!$C$22,IF(T5=Dienste!$A$23,Dienste!$C$23,IF(T5=Dienste!$A$24,Dienste!$C$24,IF(T5=Dienste!$A$25,Dienste!$C$25,IF(T5=Dienste!$A$26,Dienste!$C$26,IF(T5=Dienste!$A$27,Dienste!$C$27,IF(T5=Dienste!$A$28,Dienste!$C$28,IF(T5=Dienste!#REF!,Dienste!#REF!,IF(T5=Dienste!#REF!,Dienste!#REF!,IF(T5=Dienste!#REF!,Dienste!#REF!,IF(T5=Dienste!#REF!,Dienste!#REF!,IF(T5=Dienste!$A$33,Dienste!$C$33,IF(T5=Dienste!$A$34,Dienste!$C$34,IF(T5=Dienste!$A$35,Dienste!$C$35,IF(T5=Dienste!$A$36,Dienste!$C$36,)))))))))))))))))))))))))))))))))))</f>
        <v>8</v>
      </c>
      <c r="BO5" s="27">
        <f>IF(U5=Dienste!$A$2,Dienste!$C$2,IF(U5=Dienste!$A$3,Dienste!$C$3,IF(U5=Dienste!$A$4,Dienste!$C$4,IF(U5=Dienste!$A$5,Dienste!$C$5,IF(U5=Dienste!$A$6,Dienste!$C$6,IF(U5=Dienste!$A$7,Dienste!$C$7,IF(U5=Dienste!$A$8,Dienste!$C$8,IF(U5=Dienste!$A$9,Dienste!$C$9,IF(U5=Dienste!$A$10,Dienste!$C$10,IF(U5=Dienste!$A$11,Dienste!$C$11,IF(U5=Dienste!$A$12,Dienste!$C$12,IF(U5=Dienste!$A$13,Dienste!$C$13,IF(U5=Dienste!$A$14,Dienste!$C$14,IF(U5=Dienste!$A$15,Dienste!$C$15,IF(U5=Dienste!$A$16,Dienste!$C$16,IF(U5=Dienste!$A$17,Dienste!$C$17,IF(U5=Dienste!$A$18,Dienste!$C$18,IF(U5=Dienste!$A$19,Dienste!$C$19,IF(U5=Dienste!$A$20,Dienste!$C$20,IF(U5=Dienste!$A$21,Dienste!$C$21,IF(U5=Dienste!$A$22,Dienste!$C$22,IF(U5=Dienste!$A$23,Dienste!$C$23,IF(U5=Dienste!$A$24,Dienste!$C$24,IF(U5=Dienste!$A$25,Dienste!$C$25,IF(U5=Dienste!$A$26,Dienste!$C$26,IF(U5=Dienste!$A$27,Dienste!$C$27,IF(U5=Dienste!$A$28,Dienste!$C$28,IF(U5=Dienste!#REF!,Dienste!#REF!,IF(U5=Dienste!#REF!,Dienste!#REF!,IF(U5=Dienste!#REF!,Dienste!#REF!,IF(U5=Dienste!#REF!,Dienste!#REF!,IF(U5=Dienste!$A$33,Dienste!$C$33,IF(U5=Dienste!$A$34,Dienste!$C$34,IF(U5=Dienste!$A$35,Dienste!$C$35,IF(U5=Dienste!$A$36,Dienste!$C$36,)))))))))))))))))))))))))))))))))))</f>
        <v>8</v>
      </c>
      <c r="BP5" s="27">
        <f>IF(V5=Dienste!$A$2,Dienste!$C$2,IF(V5=Dienste!$A$3,Dienste!$C$3,IF(V5=Dienste!$A$4,Dienste!$C$4,IF(V5=Dienste!$A$5,Dienste!$C$5,IF(V5=Dienste!$A$6,Dienste!$C$6,IF(V5=Dienste!$A$7,Dienste!$C$7,IF(V5=Dienste!$A$8,Dienste!$C$8,IF(V5=Dienste!$A$9,Dienste!$C$9,IF(V5=Dienste!$A$10,Dienste!$C$10,IF(V5=Dienste!$A$11,Dienste!$C$11,IF(V5=Dienste!$A$12,Dienste!$C$12,IF(V5=Dienste!$A$13,Dienste!$C$13,IF(V5=Dienste!$A$14,Dienste!$C$14,IF(V5=Dienste!$A$15,Dienste!$C$15,IF(V5=Dienste!$A$16,Dienste!$C$16,IF(V5=Dienste!$A$17,Dienste!$C$17,IF(V5=Dienste!$A$18,Dienste!$C$18,IF(V5=Dienste!$A$19,Dienste!$C$19,IF(V5=Dienste!$A$20,Dienste!$C$20,IF(V5=Dienste!$A$21,Dienste!$C$21,IF(V5=Dienste!$A$22,Dienste!$C$22,IF(V5=Dienste!$A$23,Dienste!$C$23,IF(V5=Dienste!$A$24,Dienste!$C$24,IF(V5=Dienste!$A$25,Dienste!$C$25,IF(V5=Dienste!$A$26,Dienste!$C$26,IF(V5=Dienste!$A$27,Dienste!$C$27,IF(V5=Dienste!$A$28,Dienste!$C$28,IF(V5=Dienste!#REF!,Dienste!#REF!,IF(V5=Dienste!#REF!,Dienste!#REF!,IF(V5=Dienste!#REF!,Dienste!#REF!,IF(V5=Dienste!#REF!,Dienste!#REF!,IF(V5=Dienste!$A$33,Dienste!$C$33,IF(V5=Dienste!$A$34,Dienste!$C$34,IF(V5=Dienste!$A$35,Dienste!$C$35,IF(V5=Dienste!$A$36,Dienste!$C$36,)))))))))))))))))))))))))))))))))))</f>
        <v>10</v>
      </c>
      <c r="BQ5" s="27">
        <f>IF(W5=Dienste!$A$2,Dienste!$C$2,IF(W5=Dienste!$A$3,Dienste!$C$3,IF(W5=Dienste!$A$4,Dienste!$C$4,IF(W5=Dienste!$A$5,Dienste!$C$5,IF(W5=Dienste!$A$6,Dienste!$C$6,IF(W5=Dienste!$A$7,Dienste!$C$7,IF(W5=Dienste!$A$8,Dienste!$C$8,IF(W5=Dienste!$A$9,Dienste!$C$9,IF(W5=Dienste!$A$10,Dienste!$C$10,IF(W5=Dienste!$A$11,Dienste!$C$11,IF(W5=Dienste!$A$12,Dienste!$C$12,IF(W5=Dienste!$A$13,Dienste!$C$13,IF(W5=Dienste!$A$14,Dienste!$C$14,IF(W5=Dienste!$A$15,Dienste!$C$15,IF(W5=Dienste!$A$16,Dienste!$C$16,IF(W5=Dienste!$A$17,Dienste!$C$17,IF(W5=Dienste!$A$18,Dienste!$C$18,IF(W5=Dienste!$A$19,Dienste!$C$19,IF(W5=Dienste!$A$20,Dienste!$C$20,IF(W5=Dienste!$A$21,Dienste!$C$21,IF(W5=Dienste!$A$22,Dienste!$C$22,IF(W5=Dienste!$A$23,Dienste!$C$23,IF(W5=Dienste!$A$24,Dienste!$C$24,IF(W5=Dienste!$A$25,Dienste!$C$25,IF(W5=Dienste!$A$26,Dienste!$C$26,IF(W5=Dienste!$A$27,Dienste!$C$27,IF(W5=Dienste!$A$28,Dienste!$C$28,IF(W5=Dienste!#REF!,Dienste!#REF!,IF(W5=Dienste!#REF!,Dienste!#REF!,IF(W5=Dienste!#REF!,Dienste!#REF!,IF(W5=Dienste!#REF!,Dienste!#REF!,IF(W5=Dienste!$A$33,Dienste!$C$33,IF(W5=Dienste!$A$34,Dienste!$C$34,IF(W5=Dienste!$A$35,Dienste!$C$35,IF(W5=Dienste!$A$36,Dienste!$C$36,)))))))))))))))))))))))))))))))))))</f>
        <v>10</v>
      </c>
      <c r="BR5" s="27">
        <f>IF(X5=Dienste!$A$2,Dienste!$C$2,IF(X5=Dienste!$A$3,Dienste!$C$3,IF(X5=Dienste!$A$4,Dienste!$C$4,IF(X5=Dienste!$A$5,Dienste!$C$5,IF(X5=Dienste!$A$6,Dienste!$C$6,IF(X5=Dienste!$A$7,Dienste!$C$7,IF(X5=Dienste!$A$8,Dienste!$C$8,IF(X5=Dienste!$A$9,Dienste!$C$9,IF(X5=Dienste!$A$10,Dienste!$C$10,IF(X5=Dienste!$A$11,Dienste!$C$11,IF(X5=Dienste!$A$12,Dienste!$C$12,IF(X5=Dienste!$A$13,Dienste!$C$13,IF(X5=Dienste!$A$14,Dienste!$C$14,IF(X5=Dienste!$A$15,Dienste!$C$15,IF(X5=Dienste!$A$16,Dienste!$C$16,IF(X5=Dienste!$A$17,Dienste!$C$17,IF(X5=Dienste!$A$18,Dienste!$C$18,IF(X5=Dienste!$A$19,Dienste!$C$19,IF(X5=Dienste!$A$20,Dienste!$C$20,IF(X5=Dienste!$A$21,Dienste!$C$21,IF(X5=Dienste!$A$22,Dienste!$C$22,IF(X5=Dienste!$A$23,Dienste!$C$23,IF(X5=Dienste!$A$24,Dienste!$C$24,IF(X5=Dienste!$A$25,Dienste!$C$25,IF(X5=Dienste!$A$26,Dienste!$C$26,IF(X5=Dienste!$A$27,Dienste!$C$27,IF(X5=Dienste!$A$28,Dienste!$C$28,IF(X5=Dienste!#REF!,Dienste!#REF!,IF(X5=Dienste!#REF!,Dienste!#REF!,IF(X5=Dienste!#REF!,Dienste!#REF!,IF(X5=Dienste!#REF!,Dienste!#REF!,IF(X5=Dienste!$A$33,Dienste!$C$33,IF(X5=Dienste!$A$34,Dienste!$C$34,IF(X5=Dienste!$A$35,Dienste!$C$35,IF(X5=Dienste!$A$36,Dienste!$C$36,)))))))))))))))))))))))))))))))))))</f>
        <v>10</v>
      </c>
      <c r="BS5" s="27" t="e">
        <f>IF(Y5=Dienste!$A$2,Dienste!$C$2,IF(Y5=Dienste!$A$3,Dienste!$C$3,IF(Y5=Dienste!$A$4,Dienste!$C$4,IF(Y5=Dienste!$A$5,Dienste!$C$5,IF(Y5=Dienste!$A$6,Dienste!$C$6,IF(Y5=Dienste!$A$7,Dienste!$C$7,IF(Y5=Dienste!$A$8,Dienste!$C$8,IF(Y5=Dienste!$A$9,Dienste!$C$9,IF(Y5=Dienste!$A$10,Dienste!$C$10,IF(Y5=Dienste!$A$11,Dienste!$C$11,IF(Y5=Dienste!$A$12,Dienste!$C$12,IF(Y5=Dienste!$A$13,Dienste!$C$13,IF(Y5=Dienste!$A$14,Dienste!$C$14,IF(Y5=Dienste!$A$15,Dienste!$C$15,IF(Y5=Dienste!$A$16,Dienste!$C$16,IF(Y5=Dienste!$A$17,Dienste!$C$17,IF(Y5=Dienste!$A$18,Dienste!$C$18,IF(Y5=Dienste!$A$19,Dienste!$C$19,IF(Y5=Dienste!$A$20,Dienste!$C$20,IF(Y5=Dienste!$A$21,Dienste!$C$21,IF(Y5=Dienste!$A$22,Dienste!$C$22,IF(Y5=Dienste!$A$23,Dienste!$C$23,IF(Y5=Dienste!$A$24,Dienste!$C$24,IF(Y5=Dienste!$A$25,Dienste!$C$25,IF(Y5=Dienste!$A$26,Dienste!$C$26,IF(Y5=Dienste!$A$27,Dienste!$C$27,IF(Y5=Dienste!$A$28,Dienste!$C$28,IF(Y5=Dienste!#REF!,Dienste!#REF!,IF(Y5=Dienste!#REF!,Dienste!#REF!,IF(Y5=Dienste!#REF!,Dienste!#REF!,IF(Y5=Dienste!#REF!,Dienste!#REF!,IF(Y5=Dienste!$A$33,Dienste!$C$33,IF(Y5=Dienste!$A$34,Dienste!$C$34,IF(Y5=Dienste!$A$35,Dienste!$C$35,IF(Y5=Dienste!$A$36,Dienste!$C$36,)))))))))))))))))))))))))))))))))))</f>
        <v>#REF!</v>
      </c>
      <c r="BT5" s="27">
        <f>IF(Z5=Dienste!$A$2,Dienste!$C$2,IF(Z5=Dienste!$A$3,Dienste!$C$3,IF(Z5=Dienste!$A$4,Dienste!$C$4,IF(Z5=Dienste!$A$5,Dienste!$C$5,IF(Z5=Dienste!$A$6,Dienste!$C$6,IF(Z5=Dienste!$A$7,Dienste!$C$7,IF(Z5=Dienste!$A$8,Dienste!$C$8,IF(Z5=Dienste!$A$9,Dienste!$C$9,IF(Z5=Dienste!$A$10,Dienste!$C$10,IF(Z5=Dienste!$A$11,Dienste!$C$11,IF(Z5=Dienste!$A$12,Dienste!$C$12,IF(Z5=Dienste!$A$13,Dienste!$C$13,IF(Z5=Dienste!$A$14,Dienste!$C$14,IF(Z5=Dienste!$A$15,Dienste!$C$15,IF(Z5=Dienste!$A$16,Dienste!$C$16,IF(Z5=Dienste!$A$17,Dienste!$C$17,IF(Z5=Dienste!$A$18,Dienste!$C$18,IF(Z5=Dienste!$A$19,Dienste!$C$19,IF(Z5=Dienste!$A$20,Dienste!$C$20,IF(Z5=Dienste!$A$21,Dienste!$C$21,IF(Z5=Dienste!$A$22,Dienste!$C$22,IF(Z5=Dienste!$A$23,Dienste!$C$23,IF(Z5=Dienste!$A$24,Dienste!$C$24,IF(Z5=Dienste!$A$25,Dienste!$C$25,IF(Z5=Dienste!$A$26,Dienste!$C$26,IF(Z5=Dienste!$A$27,Dienste!$C$27,IF(Z5=Dienste!$A$28,Dienste!$C$28,IF(Z5=Dienste!#REF!,Dienste!#REF!,IF(Z5=Dienste!#REF!,Dienste!#REF!,IF(Z5=Dienste!#REF!,Dienste!#REF!,IF(Z5=Dienste!#REF!,Dienste!#REF!,IF(Z5=Dienste!$A$33,Dienste!$C$33,IF(Z5=Dienste!$A$34,Dienste!$C$34,IF(Z5=Dienste!$A$35,Dienste!$C$35,IF(Z5=Dienste!$A$36,Dienste!$C$36,)))))))))))))))))))))))))))))))))))</f>
        <v>0</v>
      </c>
      <c r="BU5" s="27">
        <f>IF(AA5=Dienste!$A$2,Dienste!$C$2,IF(AA5=Dienste!$A$3,Dienste!$C$3,IF(AA5=Dienste!$A$4,Dienste!$C$4,IF(AA5=Dienste!$A$5,Dienste!$C$5,IF(AA5=Dienste!$A$6,Dienste!$C$6,IF(AA5=Dienste!$A$7,Dienste!$C$7,IF(AA5=Dienste!$A$8,Dienste!$C$8,IF(AA5=Dienste!$A$9,Dienste!$C$9,IF(AA5=Dienste!$A$10,Dienste!$C$10,IF(AA5=Dienste!$A$11,Dienste!$C$11,IF(AA5=Dienste!$A$12,Dienste!$C$12,IF(AA5=Dienste!$A$13,Dienste!$C$13,IF(AA5=Dienste!$A$14,Dienste!$C$14,IF(AA5=Dienste!$A$15,Dienste!$C$15,IF(AA5=Dienste!$A$16,Dienste!$C$16,IF(AA5=Dienste!$A$17,Dienste!$C$17,IF(AA5=Dienste!$A$18,Dienste!$C$18,IF(AA5=Dienste!$A$19,Dienste!$C$19,IF(AA5=Dienste!$A$20,Dienste!$C$20,IF(AA5=Dienste!$A$21,Dienste!$C$21,IF(AA5=Dienste!$A$22,Dienste!$C$22,IF(AA5=Dienste!$A$23,Dienste!$C$23,IF(AA5=Dienste!$A$24,Dienste!$C$24,IF(AA5=Dienste!$A$25,Dienste!$C$25,IF(AA5=Dienste!$A$26,Dienste!$C$26,IF(AA5=Dienste!$A$27,Dienste!$C$27,IF(AA5=Dienste!$A$28,Dienste!$C$28,IF(AA5=Dienste!#REF!,Dienste!#REF!,IF(AA5=Dienste!#REF!,Dienste!#REF!,IF(AA5=Dienste!#REF!,Dienste!#REF!,IF(AA5=Dienste!#REF!,Dienste!#REF!,IF(AA5=Dienste!$A$33,Dienste!$C$33,IF(AA5=Dienste!$A$34,Dienste!$C$34,IF(AA5=Dienste!$A$35,Dienste!$C$35,IF(AA5=Dienste!$A$36,Dienste!$C$36,)))))))))))))))))))))))))))))))))))</f>
        <v>8</v>
      </c>
      <c r="BV5" s="27">
        <f>IF(AB5=Dienste!$A$2,Dienste!$C$2,IF(AB5=Dienste!$A$3,Dienste!$C$3,IF(AB5=Dienste!$A$4,Dienste!$C$4,IF(AB5=Dienste!$A$5,Dienste!$C$5,IF(AB5=Dienste!$A$6,Dienste!$C$6,IF(AB5=Dienste!$A$7,Dienste!$C$7,IF(AB5=Dienste!$A$8,Dienste!$C$8,IF(AB5=Dienste!$A$9,Dienste!$C$9,IF(AB5=Dienste!$A$10,Dienste!$C$10,IF(AB5=Dienste!$A$11,Dienste!$C$11,IF(AB5=Dienste!$A$12,Dienste!$C$12,IF(AB5=Dienste!$A$13,Dienste!$C$13,IF(AB5=Dienste!$A$14,Dienste!$C$14,IF(AB5=Dienste!$A$15,Dienste!$C$15,IF(AB5=Dienste!$A$16,Dienste!$C$16,IF(AB5=Dienste!$A$17,Dienste!$C$17,IF(AB5=Dienste!$A$18,Dienste!$C$18,IF(AB5=Dienste!$A$19,Dienste!$C$19,IF(AB5=Dienste!$A$20,Dienste!$C$20,IF(AB5=Dienste!$A$21,Dienste!$C$21,IF(AB5=Dienste!$A$22,Dienste!$C$22,IF(AB5=Dienste!$A$23,Dienste!$C$23,IF(AB5=Dienste!$A$24,Dienste!$C$24,IF(AB5=Dienste!$A$25,Dienste!$C$25,IF(AB5=Dienste!$A$26,Dienste!$C$26,IF(AB5=Dienste!$A$27,Dienste!$C$27,IF(AB5=Dienste!$A$28,Dienste!$C$28,IF(AB5=Dienste!#REF!,Dienste!#REF!,IF(AB5=Dienste!#REF!,Dienste!#REF!,IF(AB5=Dienste!#REF!,Dienste!#REF!,IF(AB5=Dienste!#REF!,Dienste!#REF!,IF(AB5=Dienste!$A$33,Dienste!$C$33,IF(AB5=Dienste!$A$34,Dienste!$C$34,IF(AB5=Dienste!$A$35,Dienste!$C$35,IF(AB5=Dienste!$A$36,Dienste!$C$36,)))))))))))))))))))))))))))))))))))</f>
        <v>8</v>
      </c>
      <c r="BW5" s="27" t="e">
        <f>IF(AC5=Dienste!$A$2,Dienste!$C$2,IF(AC5=Dienste!$A$3,Dienste!$C$3,IF(AC5=Dienste!$A$4,Dienste!$C$4,IF(AC5=Dienste!$A$5,Dienste!$C$5,IF(AC5=Dienste!$A$6,Dienste!$C$6,IF(AC5=Dienste!$A$7,Dienste!$C$7,IF(AC5=Dienste!$A$8,Dienste!$C$8,IF(AC5=Dienste!$A$9,Dienste!$C$9,IF(AC5=Dienste!$A$10,Dienste!$C$10,IF(AC5=Dienste!$A$11,Dienste!$C$11,IF(AC5=Dienste!$A$12,Dienste!$C$12,IF(AC5=Dienste!$A$13,Dienste!$C$13,IF(AC5=Dienste!$A$14,Dienste!$C$14,IF(AC5=Dienste!$A$15,Dienste!$C$15,IF(AC5=Dienste!$A$16,Dienste!$C$16,IF(AC5=Dienste!$A$17,Dienste!$C$17,IF(AC5=Dienste!$A$18,Dienste!$C$18,IF(AC5=Dienste!$A$19,Dienste!$C$19,IF(AC5=Dienste!$A$20,Dienste!$C$20,IF(AC5=Dienste!$A$21,Dienste!$C$21,IF(AC5=Dienste!$A$22,Dienste!$C$22,IF(AC5=Dienste!$A$23,Dienste!$C$23,IF(AC5=Dienste!$A$24,Dienste!$C$24,IF(AC5=Dienste!$A$25,Dienste!$C$25,IF(AC5=Dienste!$A$26,Dienste!$C$26,IF(AC5=Dienste!$A$27,Dienste!$C$27,IF(AC5=Dienste!$A$28,Dienste!$C$28,IF(AC5=Dienste!#REF!,Dienste!#REF!,IF(AC5=Dienste!#REF!,Dienste!#REF!,IF(AC5=Dienste!#REF!,Dienste!#REF!,IF(AC5=Dienste!#REF!,Dienste!#REF!,IF(AC5=Dienste!$A$33,Dienste!$C$33,IF(AC5=Dienste!$A$34,Dienste!$C$34,IF(AC5=Dienste!$A$35,Dienste!$C$35,IF(AC5=Dienste!$A$36,Dienste!$C$36,)))))))))))))))))))))))))))))))))))</f>
        <v>#REF!</v>
      </c>
      <c r="BX5" s="27">
        <f>IF(AD5=Dienste!$A$2,Dienste!$C$2,IF(AD5=Dienste!$A$3,Dienste!$C$3,IF(AD5=Dienste!$A$4,Dienste!$C$4,IF(AD5=Dienste!$A$5,Dienste!$C$5,IF(AD5=Dienste!$A$6,Dienste!$C$6,IF(AD5=Dienste!$A$7,Dienste!$C$7,IF(AD5=Dienste!$A$8,Dienste!$C$8,IF(AD5=Dienste!$A$9,Dienste!$C$9,IF(AD5=Dienste!$A$10,Dienste!$C$10,IF(AD5=Dienste!$A$11,Dienste!$C$11,IF(AD5=Dienste!$A$12,Dienste!$C$12,IF(AD5=Dienste!$A$13,Dienste!$C$13,IF(AD5=Dienste!$A$14,Dienste!$C$14,IF(AD5=Dienste!$A$15,Dienste!$C$15,IF(AD5=Dienste!$A$16,Dienste!$C$16,IF(AD5=Dienste!$A$17,Dienste!$C$17,IF(AD5=Dienste!$A$18,Dienste!$C$18,IF(AD5=Dienste!$A$19,Dienste!$C$19,IF(AD5=Dienste!$A$20,Dienste!$C$20,IF(AD5=Dienste!$A$21,Dienste!$C$21,IF(AD5=Dienste!$A$22,Dienste!$C$22,IF(AD5=Dienste!$A$23,Dienste!$C$23,IF(AD5=Dienste!$A$24,Dienste!$C$24,IF(AD5=Dienste!$A$25,Dienste!$C$25,IF(AD5=Dienste!$A$26,Dienste!$C$26,IF(AD5=Dienste!$A$27,Dienste!$C$27,IF(AD5=Dienste!$A$28,Dienste!$C$28,IF(AD5=Dienste!#REF!,Dienste!#REF!,IF(AD5=Dienste!#REF!,Dienste!#REF!,IF(AD5=Dienste!#REF!,Dienste!#REF!,IF(AD5=Dienste!#REF!,Dienste!#REF!,IF(AD5=Dienste!$A$33,Dienste!$C$33,IF(AD5=Dienste!$A$34,Dienste!$C$34,IF(AD5=Dienste!$A$35,Dienste!$C$35,IF(AD5=Dienste!$A$36,Dienste!$C$36,)))))))))))))))))))))))))))))))))))</f>
        <v>8</v>
      </c>
      <c r="BY5" s="27">
        <f>IF(AE5=Dienste!$A$2,Dienste!$C$2,IF(AE5=Dienste!$A$3,Dienste!$C$3,IF(AE5=Dienste!$A$4,Dienste!$C$4,IF(AE5=Dienste!$A$5,Dienste!$C$5,IF(AE5=Dienste!$A$6,Dienste!$C$6,IF(AE5=Dienste!$A$7,Dienste!$C$7,IF(AE5=Dienste!$A$8,Dienste!$C$8,IF(AE5=Dienste!$A$9,Dienste!$C$9,IF(AE5=Dienste!$A$10,Dienste!$C$10,IF(AE5=Dienste!$A$11,Dienste!$C$11,IF(AE5=Dienste!$A$12,Dienste!$C$12,IF(AE5=Dienste!$A$13,Dienste!$C$13,IF(AE5=Dienste!$A$14,Dienste!$C$14,IF(AE5=Dienste!$A$15,Dienste!$C$15,IF(AE5=Dienste!$A$16,Dienste!$C$16,IF(AE5=Dienste!$A$17,Dienste!$C$17,IF(AE5=Dienste!$A$18,Dienste!$C$18,IF(AE5=Dienste!$A$19,Dienste!$C$19,IF(AE5=Dienste!$A$20,Dienste!$C$20,IF(AE5=Dienste!$A$21,Dienste!$C$21,IF(AE5=Dienste!$A$22,Dienste!$C$22,IF(AE5=Dienste!$A$23,Dienste!$C$23,IF(AE5=Dienste!$A$24,Dienste!$C$24,IF(AE5=Dienste!$A$25,Dienste!$C$25,IF(AE5=Dienste!$A$26,Dienste!$C$26,IF(AE5=Dienste!$A$27,Dienste!$C$27,IF(AE5=Dienste!$A$28,Dienste!$C$28,IF(AE5=Dienste!#REF!,Dienste!#REF!,IF(AE5=Dienste!#REF!,Dienste!#REF!,IF(AE5=Dienste!#REF!,Dienste!#REF!,IF(AE5=Dienste!#REF!,Dienste!#REF!,IF(AE5=Dienste!$A$33,Dienste!$C$33,IF(AE5=Dienste!$A$34,Dienste!$C$34,IF(AE5=Dienste!$A$35,Dienste!$C$35,IF(AE5=Dienste!$A$36,Dienste!$C$36,)))))))))))))))))))))))))))))))))))</f>
        <v>10</v>
      </c>
      <c r="BZ5" s="27">
        <f>IF(AF5=Dienste!$A$2,Dienste!$C$2,IF(AF5=Dienste!$A$3,Dienste!$C$3,IF(AF5=Dienste!$A$4,Dienste!$C$4,IF(AF5=Dienste!$A$5,Dienste!$C$5,IF(AF5=Dienste!$A$6,Dienste!$C$6,IF(AF5=Dienste!$A$7,Dienste!$C$7,IF(AF5=Dienste!$A$8,Dienste!$C$8,IF(AF5=Dienste!$A$9,Dienste!$C$9,IF(AF5=Dienste!$A$10,Dienste!$C$10,IF(AF5=Dienste!$A$11,Dienste!$C$11,IF(AF5=Dienste!$A$12,Dienste!$C$12,IF(AF5=Dienste!$A$13,Dienste!$C$13,IF(AF5=Dienste!$A$14,Dienste!$C$14,IF(AF5=Dienste!$A$15,Dienste!$C$15,IF(AF5=Dienste!$A$16,Dienste!$C$16,IF(AF5=Dienste!$A$17,Dienste!$C$17,IF(AF5=Dienste!$A$18,Dienste!$C$18,IF(AF5=Dienste!$A$19,Dienste!$C$19,IF(AF5=Dienste!$A$20,Dienste!$C$20,IF(AF5=Dienste!$A$21,Dienste!$C$21,IF(AF5=Dienste!$A$22,Dienste!$C$22,IF(AF5=Dienste!$A$23,Dienste!$C$23,IF(AF5=Dienste!$A$24,Dienste!$C$24,IF(AF5=Dienste!$A$25,Dienste!$C$25,IF(AF5=Dienste!$A$26,Dienste!$C$26,IF(AF5=Dienste!$A$27,Dienste!$C$27,IF(AF5=Dienste!$A$28,Dienste!$C$28,IF(AF5=Dienste!#REF!,Dienste!#REF!,IF(AF5=Dienste!#REF!,Dienste!#REF!,IF(AF5=Dienste!#REF!,Dienste!#REF!,IF(AF5=Dienste!#REF!,Dienste!#REF!,IF(AF5=Dienste!$A$33,Dienste!$C$33,IF(AF5=Dienste!$A$34,Dienste!$C$34,IF(AF5=Dienste!$A$35,Dienste!$C$35,IF(AF5=Dienste!$A$36,Dienste!$C$36,)))))))))))))))))))))))))))))))))))</f>
        <v>0</v>
      </c>
      <c r="CA5" s="27">
        <f>IF(AG5=Dienste!$A$2,Dienste!$C$2,IF(AG5=Dienste!$A$3,Dienste!$C$3,IF(AG5=Dienste!$A$4,Dienste!$C$4,IF(AG5=Dienste!$A$5,Dienste!$C$5,IF(AG5=Dienste!$A$6,Dienste!$C$6,IF(AG5=Dienste!$A$7,Dienste!$C$7,IF(AG5=Dienste!$A$8,Dienste!$C$8,IF(AG5=Dienste!$A$9,Dienste!$C$9,IF(AG5=Dienste!$A$10,Dienste!$C$10,IF(AG5=Dienste!$A$11,Dienste!$C$11,IF(AG5=Dienste!$A$12,Dienste!$C$12,IF(AG5=Dienste!$A$13,Dienste!$C$13,IF(AG5=Dienste!$A$14,Dienste!$C$14,IF(AG5=Dienste!$A$15,Dienste!$C$15,IF(AG5=Dienste!$A$16,Dienste!$C$16,IF(AG5=Dienste!$A$17,Dienste!$C$17,IF(AG5=Dienste!$A$18,Dienste!$C$18,IF(AG5=Dienste!$A$19,Dienste!$C$19,IF(AG5=Dienste!$A$20,Dienste!$C$20,IF(AG5=Dienste!$A$21,Dienste!$C$21,IF(AG5=Dienste!$A$22,Dienste!$C$22,IF(AG5=Dienste!$A$23,Dienste!$C$23,IF(AG5=Dienste!$A$24,Dienste!$C$24,IF(AG5=Dienste!$A$25,Dienste!$C$25,IF(AG5=Dienste!$A$26,Dienste!$C$26,IF(AG5=Dienste!$A$27,Dienste!$C$27,IF(AG5=Dienste!$A$28,Dienste!$C$28,IF(AG5=Dienste!#REF!,Dienste!#REF!,IF(AG5=Dienste!#REF!,Dienste!#REF!,IF(AG5=Dienste!#REF!,Dienste!#REF!,IF(AG5=Dienste!#REF!,Dienste!#REF!,IF(AG5=Dienste!$A$33,Dienste!$C$33,IF(AG5=Dienste!$A$34,Dienste!$C$34,IF(AG5=Dienste!$A$35,Dienste!$C$35,IF(AG5=Dienste!$A$36,Dienste!$C$36,)))))))))))))))))))))))))))))))))))</f>
        <v>0</v>
      </c>
      <c r="CB5" s="27">
        <f>IF(AH5=Dienste!$A$2,Dienste!$C$2,IF(AH5=Dienste!$A$3,Dienste!$C$3,IF(AH5=Dienste!$A$4,Dienste!$C$4,IF(AH5=Dienste!$A$5,Dienste!$C$5,IF(AH5=Dienste!$A$6,Dienste!$C$6,IF(AH5=Dienste!$A$7,Dienste!$C$7,IF(AH5=Dienste!$A$8,Dienste!$C$8,IF(AH5=Dienste!$A$9,Dienste!$C$9,IF(AH5=Dienste!$A$10,Dienste!$C$10,IF(AH5=Dienste!$A$11,Dienste!$C$11,IF(AH5=Dienste!$A$12,Dienste!$C$12,IF(AH5=Dienste!$A$13,Dienste!$C$13,IF(AH5=Dienste!$A$14,Dienste!$C$14,IF(AH5=Dienste!$A$15,Dienste!$C$15,IF(AH5=Dienste!$A$16,Dienste!$C$16,IF(AH5=Dienste!$A$17,Dienste!$C$17,IF(AH5=Dienste!$A$18,Dienste!$C$18,IF(AH5=Dienste!$A$19,Dienste!$C$19,IF(AH5=Dienste!$A$20,Dienste!$C$20,IF(AH5=Dienste!$A$21,Dienste!$C$21,IF(AH5=Dienste!$A$22,Dienste!$C$22,IF(AH5=Dienste!$A$23,Dienste!$C$23,IF(AH5=Dienste!$A$24,Dienste!$C$24,IF(AH5=Dienste!$A$25,Dienste!$C$25,IF(AH5=Dienste!$A$26,Dienste!$C$26,IF(AH5=Dienste!$A$27,Dienste!$C$27,IF(AH5=Dienste!$A$28,Dienste!$C$28,IF(AH5=Dienste!#REF!,Dienste!#REF!,IF(AH5=Dienste!#REF!,Dienste!#REF!,IF(AH5=Dienste!#REF!,Dienste!#REF!,IF(AH5=Dienste!#REF!,Dienste!#REF!,IF(AH5=Dienste!$A$33,Dienste!$C$33,IF(AH5=Dienste!$A$34,Dienste!$C$34,IF(AH5=Dienste!$A$35,Dienste!$C$35,IF(AH5=Dienste!$A$36,Dienste!$C$36,)))))))))))))))))))))))))))))))))))</f>
        <v>10</v>
      </c>
      <c r="CC5" s="27" t="e">
        <f>IF(AI5=Dienste!$A$2,Dienste!$C$2,IF(AI5=Dienste!$A$3,Dienste!$C$3,IF(AI5=Dienste!$A$4,Dienste!$C$4,IF(AI5=Dienste!$A$5,Dienste!$C$5,IF(AI5=Dienste!$A$6,Dienste!$C$6,IF(AI5=Dienste!$A$7,Dienste!$C$7,IF(AI5=Dienste!$A$8,Dienste!$C$8,IF(AI5=Dienste!$A$9,Dienste!$C$9,IF(AI5=Dienste!$A$10,Dienste!$C$10,IF(AI5=Dienste!$A$11,Dienste!$C$11,IF(AI5=Dienste!$A$12,Dienste!$C$12,IF(AI5=Dienste!$A$13,Dienste!$C$13,IF(AI5=Dienste!$A$14,Dienste!$C$14,IF(AI5=Dienste!$A$15,Dienste!$C$15,IF(AI5=Dienste!$A$16,Dienste!$C$16,IF(AI5=Dienste!$A$17,Dienste!$C$17,IF(AI5=Dienste!$A$18,Dienste!$C$18,IF(AI5=Dienste!$A$19,Dienste!$C$19,IF(AI5=Dienste!$A$20,Dienste!$C$20,IF(AI5=Dienste!$A$21,Dienste!$C$21,IF(AI5=Dienste!$A$22,Dienste!$C$22,IF(AI5=Dienste!$A$23,Dienste!$C$23,IF(AI5=Dienste!$A$24,Dienste!$C$24,IF(AI5=Dienste!$A$25,Dienste!$C$25,IF(AI5=Dienste!$A$26,Dienste!$C$26,IF(AI5=Dienste!$A$27,Dienste!$C$27,IF(AI5=Dienste!$A$28,Dienste!$C$28,IF(AI5=Dienste!#REF!,Dienste!#REF!,IF(AI5=Dienste!#REF!,Dienste!#REF!,IF(AI5=Dienste!#REF!,Dienste!#REF!,IF(AI5=Dienste!#REF!,Dienste!#REF!,IF(AI5=Dienste!$A$33,Dienste!$C$33,IF(AI5=Dienste!$A$34,Dienste!$C$34,IF(AI5=Dienste!$A$35,Dienste!$C$35,IF(AI5=Dienste!$A$36,Dienste!$C$36,)))))))))))))))))))))))))))))))))))</f>
        <v>#REF!</v>
      </c>
    </row>
    <row r="6" spans="1:81" x14ac:dyDescent="0.25">
      <c r="A6" s="109" t="s">
        <v>124</v>
      </c>
      <c r="B6" s="15" t="s">
        <v>230</v>
      </c>
      <c r="C6" s="15">
        <v>32</v>
      </c>
      <c r="D6" s="98">
        <v>1</v>
      </c>
      <c r="E6" s="104" t="s">
        <v>83</v>
      </c>
      <c r="F6" s="9" t="s">
        <v>31</v>
      </c>
      <c r="G6" s="9" t="s">
        <v>31</v>
      </c>
      <c r="H6" s="9" t="s">
        <v>31</v>
      </c>
      <c r="I6" s="9" t="s">
        <v>31</v>
      </c>
      <c r="J6" s="9" t="s">
        <v>5</v>
      </c>
      <c r="K6" s="9" t="s">
        <v>83</v>
      </c>
      <c r="L6" s="9" t="s">
        <v>83</v>
      </c>
      <c r="M6" s="9" t="s">
        <v>31</v>
      </c>
      <c r="N6" s="9" t="s">
        <v>31</v>
      </c>
      <c r="O6" s="9" t="s">
        <v>31</v>
      </c>
      <c r="P6" s="9" t="s">
        <v>32</v>
      </c>
      <c r="Q6" s="9" t="s">
        <v>31</v>
      </c>
      <c r="R6" s="9" t="s">
        <v>83</v>
      </c>
      <c r="S6" s="9" t="s">
        <v>83</v>
      </c>
      <c r="T6" s="9" t="s">
        <v>5</v>
      </c>
      <c r="U6" s="9" t="s">
        <v>31</v>
      </c>
      <c r="V6" s="9" t="s">
        <v>31</v>
      </c>
      <c r="W6" s="9" t="s">
        <v>31</v>
      </c>
      <c r="X6" s="9" t="s">
        <v>31</v>
      </c>
      <c r="Y6" s="9" t="s">
        <v>83</v>
      </c>
      <c r="Z6" s="9" t="s">
        <v>83</v>
      </c>
      <c r="AA6" s="9" t="s">
        <v>5</v>
      </c>
      <c r="AB6" s="9" t="s">
        <v>31</v>
      </c>
      <c r="AC6" s="9" t="s">
        <v>31</v>
      </c>
      <c r="AD6" s="9" t="s">
        <v>31</v>
      </c>
      <c r="AE6" s="9" t="s">
        <v>31</v>
      </c>
      <c r="AF6" s="9" t="s">
        <v>83</v>
      </c>
      <c r="AG6" s="9" t="s">
        <v>83</v>
      </c>
      <c r="AH6" s="9" t="s">
        <v>5</v>
      </c>
      <c r="AI6" s="15"/>
      <c r="AJ6" s="109">
        <v>-0.6</v>
      </c>
      <c r="AK6" s="15">
        <v>134.4</v>
      </c>
      <c r="AL6" s="109">
        <v>136</v>
      </c>
      <c r="AM6" s="15">
        <v>0.99999999999999434</v>
      </c>
      <c r="AN6" s="170">
        <v>1.5999999999999943</v>
      </c>
      <c r="AO6" s="109">
        <v>0</v>
      </c>
      <c r="AP6" s="15">
        <v>0</v>
      </c>
      <c r="AQ6" s="98">
        <v>5</v>
      </c>
      <c r="AR6" s="109">
        <v>48</v>
      </c>
      <c r="AS6" s="15">
        <v>33.115384615384613</v>
      </c>
      <c r="AT6" s="98">
        <v>26</v>
      </c>
      <c r="AU6" s="96" t="e">
        <f t="shared" si="2"/>
        <v>#REF!</v>
      </c>
      <c r="AV6" s="27" t="e">
        <f t="shared" si="0"/>
        <v>#REF!</v>
      </c>
      <c r="AW6" s="58" t="e">
        <f t="shared" si="1"/>
        <v>#REF!</v>
      </c>
      <c r="AY6" s="27">
        <f>IF(E6=Dienste!$A$2,Dienste!$C$2,IF(E6=Dienste!$A$3,Dienste!$C$3,IF(E6=Dienste!$A$4,Dienste!$C$4,IF(E6=Dienste!$A$5,Dienste!$C$5,IF(E6=Dienste!$A$6,Dienste!$C$6,IF(E6=Dienste!$A$7,Dienste!$C$7,IF(E6=Dienste!$A$8,Dienste!$C$8,IF(E6=Dienste!$A$9,Dienste!$C$9,IF(E6=Dienste!$A$10,Dienste!$C$10,IF(E6=Dienste!$A$11,Dienste!$C$11,IF(E6=Dienste!$A$12,Dienste!$C$12,IF(E6=Dienste!$A$13,Dienste!$C$13,IF(E6=Dienste!$A$14,Dienste!$C$14,IF(E6=Dienste!$A$15,Dienste!$C$15,IF(E6=Dienste!$A$16,Dienste!$C$16,IF(E6=Dienste!$A$17,Dienste!$C$17,IF(E6=Dienste!$A$18,Dienste!$C$18,IF(E6=Dienste!$A$19,Dienste!$C$19,IF(E6=Dienste!$A$20,Dienste!$C$20,IF(E6=Dienste!$A$21,Dienste!$C$21,IF(E6=Dienste!$A$22,Dienste!$C$22,IF(E6=Dienste!$A$23,Dienste!$C$23,IF(E6=Dienste!$A$24,Dienste!$C$24,IF(E6=Dienste!$A$25,Dienste!$C$25,IF(E6=Dienste!$A$26,Dienste!$C$26,IF(E6=Dienste!$A$27,Dienste!$C$27,IF(E6=Dienste!$A$28,Dienste!$C$28,IF(E6=Dienste!#REF!,Dienste!#REF!,IF(E6=Dienste!#REF!,Dienste!#REF!,IF(E6=Dienste!#REF!,Dienste!#REF!,IF(E6=Dienste!#REF!,Dienste!#REF!,IF(E6=Dienste!$A$33,Dienste!$C$33,IF(E6=Dienste!$A$34,Dienste!$C$34,IF(E6=Dienste!$A$35,Dienste!$C$35,IF(E6=Dienste!$A$36,Dienste!$C$36,)))))))))))))))))))))))))))))))))))</f>
        <v>0</v>
      </c>
      <c r="AZ6" s="27">
        <f>IF(F6=Dienste!$A$2,Dienste!$C$2,IF(F6=Dienste!$A$3,Dienste!$C$3,IF(F6=Dienste!$A$4,Dienste!$C$4,IF(F6=Dienste!$A$5,Dienste!$C$5,IF(F6=Dienste!$A$6,Dienste!$C$6,IF(F6=Dienste!$A$7,Dienste!$C$7,IF(F6=Dienste!$A$8,Dienste!$C$8,IF(F6=Dienste!$A$9,Dienste!$C$9,IF(F6=Dienste!$A$10,Dienste!$C$10,IF(F6=Dienste!$A$11,Dienste!$C$11,IF(F6=Dienste!$A$12,Dienste!$C$12,IF(F6=Dienste!$A$13,Dienste!$C$13,IF(F6=Dienste!$A$14,Dienste!$C$14,IF(F6=Dienste!$A$15,Dienste!$C$15,IF(F6=Dienste!$A$16,Dienste!$C$16,IF(F6=Dienste!$A$17,Dienste!$C$17,IF(F6=Dienste!$A$18,Dienste!$C$18,IF(F6=Dienste!$A$19,Dienste!$C$19,IF(F6=Dienste!$A$20,Dienste!$C$20,IF(F6=Dienste!$A$21,Dienste!$C$21,IF(F6=Dienste!$A$22,Dienste!$C$22,IF(F6=Dienste!$A$23,Dienste!$C$23,IF(F6=Dienste!$A$24,Dienste!$C$24,IF(F6=Dienste!$A$25,Dienste!$C$25,IF(F6=Dienste!$A$26,Dienste!$C$26,IF(F6=Dienste!$A$27,Dienste!$C$27,IF(F6=Dienste!$A$28,Dienste!$C$28,IF(F6=Dienste!#REF!,Dienste!#REF!,IF(F6=Dienste!#REF!,Dienste!#REF!,IF(F6=Dienste!#REF!,Dienste!#REF!,IF(F6=Dienste!#REF!,Dienste!#REF!,IF(F6=Dienste!$A$33,Dienste!$C$33,IF(F6=Dienste!$A$34,Dienste!$C$34,IF(F6=Dienste!$A$35,Dienste!$C$35,IF(F6=Dienste!$A$36,Dienste!$C$36,)))))))))))))))))))))))))))))))))))</f>
        <v>8</v>
      </c>
      <c r="BA6" s="27">
        <f>IF(G6=Dienste!$A$2,Dienste!$C$2,IF(G6=Dienste!$A$3,Dienste!$C$3,IF(G6=Dienste!$A$4,Dienste!$C$4,IF(G6=Dienste!$A$5,Dienste!$C$5,IF(G6=Dienste!$A$6,Dienste!$C$6,IF(G6=Dienste!$A$7,Dienste!$C$7,IF(G6=Dienste!$A$8,Dienste!$C$8,IF(G6=Dienste!$A$9,Dienste!$C$9,IF(G6=Dienste!$A$10,Dienste!$C$10,IF(G6=Dienste!$A$11,Dienste!$C$11,IF(G6=Dienste!$A$12,Dienste!$C$12,IF(G6=Dienste!$A$13,Dienste!$C$13,IF(G6=Dienste!$A$14,Dienste!$C$14,IF(G6=Dienste!$A$15,Dienste!$C$15,IF(G6=Dienste!$A$16,Dienste!$C$16,IF(G6=Dienste!$A$17,Dienste!$C$17,IF(G6=Dienste!$A$18,Dienste!$C$18,IF(G6=Dienste!$A$19,Dienste!$C$19,IF(G6=Dienste!$A$20,Dienste!$C$20,IF(G6=Dienste!$A$21,Dienste!$C$21,IF(G6=Dienste!$A$22,Dienste!$C$22,IF(G6=Dienste!$A$23,Dienste!$C$23,IF(G6=Dienste!$A$24,Dienste!$C$24,IF(G6=Dienste!$A$25,Dienste!$C$25,IF(G6=Dienste!$A$26,Dienste!$C$26,IF(G6=Dienste!$A$27,Dienste!$C$27,IF(G6=Dienste!$A$28,Dienste!$C$28,IF(G6=Dienste!#REF!,Dienste!#REF!,IF(G6=Dienste!#REF!,Dienste!#REF!,IF(G6=Dienste!#REF!,Dienste!#REF!,IF(G6=Dienste!#REF!,Dienste!#REF!,IF(G6=Dienste!$A$33,Dienste!$C$33,IF(G6=Dienste!$A$34,Dienste!$C$34,IF(G6=Dienste!$A$35,Dienste!$C$35,IF(G6=Dienste!$A$36,Dienste!$C$36,)))))))))))))))))))))))))))))))))))</f>
        <v>8</v>
      </c>
      <c r="BB6" s="27">
        <f>IF(H6=Dienste!$A$2,Dienste!$C$2,IF(H6=Dienste!$A$3,Dienste!$C$3,IF(H6=Dienste!$A$4,Dienste!$C$4,IF(H6=Dienste!$A$5,Dienste!$C$5,IF(H6=Dienste!$A$6,Dienste!$C$6,IF(H6=Dienste!$A$7,Dienste!$C$7,IF(H6=Dienste!$A$8,Dienste!$C$8,IF(H6=Dienste!$A$9,Dienste!$C$9,IF(H6=Dienste!$A$10,Dienste!$C$10,IF(H6=Dienste!$A$11,Dienste!$C$11,IF(H6=Dienste!$A$12,Dienste!$C$12,IF(H6=Dienste!$A$13,Dienste!$C$13,IF(H6=Dienste!$A$14,Dienste!$C$14,IF(H6=Dienste!$A$15,Dienste!$C$15,IF(H6=Dienste!$A$16,Dienste!$C$16,IF(H6=Dienste!$A$17,Dienste!$C$17,IF(H6=Dienste!$A$18,Dienste!$C$18,IF(H6=Dienste!$A$19,Dienste!$C$19,IF(H6=Dienste!$A$20,Dienste!$C$20,IF(H6=Dienste!$A$21,Dienste!$C$21,IF(H6=Dienste!$A$22,Dienste!$C$22,IF(H6=Dienste!$A$23,Dienste!$C$23,IF(H6=Dienste!$A$24,Dienste!$C$24,IF(H6=Dienste!$A$25,Dienste!$C$25,IF(H6=Dienste!$A$26,Dienste!$C$26,IF(H6=Dienste!$A$27,Dienste!$C$27,IF(H6=Dienste!$A$28,Dienste!$C$28,IF(H6=Dienste!#REF!,Dienste!#REF!,IF(H6=Dienste!#REF!,Dienste!#REF!,IF(H6=Dienste!#REF!,Dienste!#REF!,IF(H6=Dienste!#REF!,Dienste!#REF!,IF(H6=Dienste!$A$33,Dienste!$C$33,IF(H6=Dienste!$A$34,Dienste!$C$34,IF(H6=Dienste!$A$35,Dienste!$C$35,IF(H6=Dienste!$A$36,Dienste!$C$36,)))))))))))))))))))))))))))))))))))</f>
        <v>8</v>
      </c>
      <c r="BC6" s="27">
        <f>IF(I6=Dienste!$A$2,Dienste!$C$2,IF(I6=Dienste!$A$3,Dienste!$C$3,IF(I6=Dienste!$A$4,Dienste!$C$4,IF(I6=Dienste!$A$5,Dienste!$C$5,IF(I6=Dienste!$A$6,Dienste!$C$6,IF(I6=Dienste!$A$7,Dienste!$C$7,IF(I6=Dienste!$A$8,Dienste!$C$8,IF(I6=Dienste!$A$9,Dienste!$C$9,IF(I6=Dienste!$A$10,Dienste!$C$10,IF(I6=Dienste!$A$11,Dienste!$C$11,IF(I6=Dienste!$A$12,Dienste!$C$12,IF(I6=Dienste!$A$13,Dienste!$C$13,IF(I6=Dienste!$A$14,Dienste!$C$14,IF(I6=Dienste!$A$15,Dienste!$C$15,IF(I6=Dienste!$A$16,Dienste!$C$16,IF(I6=Dienste!$A$17,Dienste!$C$17,IF(I6=Dienste!$A$18,Dienste!$C$18,IF(I6=Dienste!$A$19,Dienste!$C$19,IF(I6=Dienste!$A$20,Dienste!$C$20,IF(I6=Dienste!$A$21,Dienste!$C$21,IF(I6=Dienste!$A$22,Dienste!$C$22,IF(I6=Dienste!$A$23,Dienste!$C$23,IF(I6=Dienste!$A$24,Dienste!$C$24,IF(I6=Dienste!$A$25,Dienste!$C$25,IF(I6=Dienste!$A$26,Dienste!$C$26,IF(I6=Dienste!$A$27,Dienste!$C$27,IF(I6=Dienste!$A$28,Dienste!$C$28,IF(I6=Dienste!#REF!,Dienste!#REF!,IF(I6=Dienste!#REF!,Dienste!#REF!,IF(I6=Dienste!#REF!,Dienste!#REF!,IF(I6=Dienste!#REF!,Dienste!#REF!,IF(I6=Dienste!$A$33,Dienste!$C$33,IF(I6=Dienste!$A$34,Dienste!$C$34,IF(I6=Dienste!$A$35,Dienste!$C$35,IF(I6=Dienste!$A$36,Dienste!$C$36,)))))))))))))))))))))))))))))))))))</f>
        <v>8</v>
      </c>
      <c r="BD6" s="27">
        <f>IF(J6=Dienste!$A$2,Dienste!$C$2,IF(J6=Dienste!$A$3,Dienste!$C$3,IF(J6=Dienste!$A$4,Dienste!$C$4,IF(J6=Dienste!$A$5,Dienste!$C$5,IF(J6=Dienste!$A$6,Dienste!$C$6,IF(J6=Dienste!$A$7,Dienste!$C$7,IF(J6=Dienste!$A$8,Dienste!$C$8,IF(J6=Dienste!$A$9,Dienste!$C$9,IF(J6=Dienste!$A$10,Dienste!$C$10,IF(J6=Dienste!$A$11,Dienste!$C$11,IF(J6=Dienste!$A$12,Dienste!$C$12,IF(J6=Dienste!$A$13,Dienste!$C$13,IF(J6=Dienste!$A$14,Dienste!$C$14,IF(J6=Dienste!$A$15,Dienste!$C$15,IF(J6=Dienste!$A$16,Dienste!$C$16,IF(J6=Dienste!$A$17,Dienste!$C$17,IF(J6=Dienste!$A$18,Dienste!$C$18,IF(J6=Dienste!$A$19,Dienste!$C$19,IF(J6=Dienste!$A$20,Dienste!$C$20,IF(J6=Dienste!$A$21,Dienste!$C$21,IF(J6=Dienste!$A$22,Dienste!$C$22,IF(J6=Dienste!$A$23,Dienste!$C$23,IF(J6=Dienste!$A$24,Dienste!$C$24,IF(J6=Dienste!$A$25,Dienste!$C$25,IF(J6=Dienste!$A$26,Dienste!$C$26,IF(J6=Dienste!$A$27,Dienste!$C$27,IF(J6=Dienste!$A$28,Dienste!$C$28,IF(J6=Dienste!#REF!,Dienste!#REF!,IF(J6=Dienste!#REF!,Dienste!#REF!,IF(J6=Dienste!#REF!,Dienste!#REF!,IF(J6=Dienste!#REF!,Dienste!#REF!,IF(J6=Dienste!$A$33,Dienste!$C$33,IF(J6=Dienste!$A$34,Dienste!$C$34,IF(J6=Dienste!$A$35,Dienste!$C$35,IF(J6=Dienste!$A$36,Dienste!$C$36,)))))))))))))))))))))))))))))))))))</f>
        <v>0</v>
      </c>
      <c r="BE6" s="27">
        <f>IF(K6=Dienste!$A$2,Dienste!$C$2,IF(K6=Dienste!$A$3,Dienste!$C$3,IF(K6=Dienste!$A$4,Dienste!$C$4,IF(K6=Dienste!$A$5,Dienste!$C$5,IF(K6=Dienste!$A$6,Dienste!$C$6,IF(K6=Dienste!$A$7,Dienste!$C$7,IF(K6=Dienste!$A$8,Dienste!$C$8,IF(K6=Dienste!$A$9,Dienste!$C$9,IF(K6=Dienste!$A$10,Dienste!$C$10,IF(K6=Dienste!$A$11,Dienste!$C$11,IF(K6=Dienste!$A$12,Dienste!$C$12,IF(K6=Dienste!$A$13,Dienste!$C$13,IF(K6=Dienste!$A$14,Dienste!$C$14,IF(K6=Dienste!$A$15,Dienste!$C$15,IF(K6=Dienste!$A$16,Dienste!$C$16,IF(K6=Dienste!$A$17,Dienste!$C$17,IF(K6=Dienste!$A$18,Dienste!$C$18,IF(K6=Dienste!$A$19,Dienste!$C$19,IF(K6=Dienste!$A$20,Dienste!$C$20,IF(K6=Dienste!$A$21,Dienste!$C$21,IF(K6=Dienste!$A$22,Dienste!$C$22,IF(K6=Dienste!$A$23,Dienste!$C$23,IF(K6=Dienste!$A$24,Dienste!$C$24,IF(K6=Dienste!$A$25,Dienste!$C$25,IF(K6=Dienste!$A$26,Dienste!$C$26,IF(K6=Dienste!$A$27,Dienste!$C$27,IF(K6=Dienste!$A$28,Dienste!$C$28,IF(K6=Dienste!#REF!,Dienste!#REF!,IF(K6=Dienste!#REF!,Dienste!#REF!,IF(K6=Dienste!#REF!,Dienste!#REF!,IF(K6=Dienste!#REF!,Dienste!#REF!,IF(K6=Dienste!$A$33,Dienste!$C$33,IF(K6=Dienste!$A$34,Dienste!$C$34,IF(K6=Dienste!$A$35,Dienste!$C$35,IF(K6=Dienste!$A$36,Dienste!$C$36,)))))))))))))))))))))))))))))))))))</f>
        <v>0</v>
      </c>
      <c r="BF6" s="27">
        <f>IF(L6=Dienste!$A$2,Dienste!$C$2,IF(L6=Dienste!$A$3,Dienste!$C$3,IF(L6=Dienste!$A$4,Dienste!$C$4,IF(L6=Dienste!$A$5,Dienste!$C$5,IF(L6=Dienste!$A$6,Dienste!$C$6,IF(L6=Dienste!$A$7,Dienste!$C$7,IF(L6=Dienste!$A$8,Dienste!$C$8,IF(L6=Dienste!$A$9,Dienste!$C$9,IF(L6=Dienste!$A$10,Dienste!$C$10,IF(L6=Dienste!$A$11,Dienste!$C$11,IF(L6=Dienste!$A$12,Dienste!$C$12,IF(L6=Dienste!$A$13,Dienste!$C$13,IF(L6=Dienste!$A$14,Dienste!$C$14,IF(L6=Dienste!$A$15,Dienste!$C$15,IF(L6=Dienste!$A$16,Dienste!$C$16,IF(L6=Dienste!$A$17,Dienste!$C$17,IF(L6=Dienste!$A$18,Dienste!$C$18,IF(L6=Dienste!$A$19,Dienste!$C$19,IF(L6=Dienste!$A$20,Dienste!$C$20,IF(L6=Dienste!$A$21,Dienste!$C$21,IF(L6=Dienste!$A$22,Dienste!$C$22,IF(L6=Dienste!$A$23,Dienste!$C$23,IF(L6=Dienste!$A$24,Dienste!$C$24,IF(L6=Dienste!$A$25,Dienste!$C$25,IF(L6=Dienste!$A$26,Dienste!$C$26,IF(L6=Dienste!$A$27,Dienste!$C$27,IF(L6=Dienste!$A$28,Dienste!$C$28,IF(L6=Dienste!#REF!,Dienste!#REF!,IF(L6=Dienste!#REF!,Dienste!#REF!,IF(L6=Dienste!#REF!,Dienste!#REF!,IF(L6=Dienste!#REF!,Dienste!#REF!,IF(L6=Dienste!$A$33,Dienste!$C$33,IF(L6=Dienste!$A$34,Dienste!$C$34,IF(L6=Dienste!$A$35,Dienste!$C$35,IF(L6=Dienste!$A$36,Dienste!$C$36,)))))))))))))))))))))))))))))))))))</f>
        <v>0</v>
      </c>
      <c r="BG6" s="27">
        <f>IF(M6=Dienste!$A$2,Dienste!$C$2,IF(M6=Dienste!$A$3,Dienste!$C$3,IF(M6=Dienste!$A$4,Dienste!$C$4,IF(M6=Dienste!$A$5,Dienste!$C$5,IF(M6=Dienste!$A$6,Dienste!$C$6,IF(M6=Dienste!$A$7,Dienste!$C$7,IF(M6=Dienste!$A$8,Dienste!$C$8,IF(M6=Dienste!$A$9,Dienste!$C$9,IF(M6=Dienste!$A$10,Dienste!$C$10,IF(M6=Dienste!$A$11,Dienste!$C$11,IF(M6=Dienste!$A$12,Dienste!$C$12,IF(M6=Dienste!$A$13,Dienste!$C$13,IF(M6=Dienste!$A$14,Dienste!$C$14,IF(M6=Dienste!$A$15,Dienste!$C$15,IF(M6=Dienste!$A$16,Dienste!$C$16,IF(M6=Dienste!$A$17,Dienste!$C$17,IF(M6=Dienste!$A$18,Dienste!$C$18,IF(M6=Dienste!$A$19,Dienste!$C$19,IF(M6=Dienste!$A$20,Dienste!$C$20,IF(M6=Dienste!$A$21,Dienste!$C$21,IF(M6=Dienste!$A$22,Dienste!$C$22,IF(M6=Dienste!$A$23,Dienste!$C$23,IF(M6=Dienste!$A$24,Dienste!$C$24,IF(M6=Dienste!$A$25,Dienste!$C$25,IF(M6=Dienste!$A$26,Dienste!$C$26,IF(M6=Dienste!$A$27,Dienste!$C$27,IF(M6=Dienste!$A$28,Dienste!$C$28,IF(M6=Dienste!#REF!,Dienste!#REF!,IF(M6=Dienste!#REF!,Dienste!#REF!,IF(M6=Dienste!#REF!,Dienste!#REF!,IF(M6=Dienste!#REF!,Dienste!#REF!,IF(M6=Dienste!$A$33,Dienste!$C$33,IF(M6=Dienste!$A$34,Dienste!$C$34,IF(M6=Dienste!$A$35,Dienste!$C$35,IF(M6=Dienste!$A$36,Dienste!$C$36,)))))))))))))))))))))))))))))))))))</f>
        <v>8</v>
      </c>
      <c r="BH6" s="27">
        <f>IF(N6=Dienste!$A$2,Dienste!$C$2,IF(N6=Dienste!$A$3,Dienste!$C$3,IF(N6=Dienste!$A$4,Dienste!$C$4,IF(N6=Dienste!$A$5,Dienste!$C$5,IF(N6=Dienste!$A$6,Dienste!$C$6,IF(N6=Dienste!$A$7,Dienste!$C$7,IF(N6=Dienste!$A$8,Dienste!$C$8,IF(N6=Dienste!$A$9,Dienste!$C$9,IF(N6=Dienste!$A$10,Dienste!$C$10,IF(N6=Dienste!$A$11,Dienste!$C$11,IF(N6=Dienste!$A$12,Dienste!$C$12,IF(N6=Dienste!$A$13,Dienste!$C$13,IF(N6=Dienste!$A$14,Dienste!$C$14,IF(N6=Dienste!$A$15,Dienste!$C$15,IF(N6=Dienste!$A$16,Dienste!$C$16,IF(N6=Dienste!$A$17,Dienste!$C$17,IF(N6=Dienste!$A$18,Dienste!$C$18,IF(N6=Dienste!$A$19,Dienste!$C$19,IF(N6=Dienste!$A$20,Dienste!$C$20,IF(N6=Dienste!$A$21,Dienste!$C$21,IF(N6=Dienste!$A$22,Dienste!$C$22,IF(N6=Dienste!$A$23,Dienste!$C$23,IF(N6=Dienste!$A$24,Dienste!$C$24,IF(N6=Dienste!$A$25,Dienste!$C$25,IF(N6=Dienste!$A$26,Dienste!$C$26,IF(N6=Dienste!$A$27,Dienste!$C$27,IF(N6=Dienste!$A$28,Dienste!$C$28,IF(N6=Dienste!#REF!,Dienste!#REF!,IF(N6=Dienste!#REF!,Dienste!#REF!,IF(N6=Dienste!#REF!,Dienste!#REF!,IF(N6=Dienste!#REF!,Dienste!#REF!,IF(N6=Dienste!$A$33,Dienste!$C$33,IF(N6=Dienste!$A$34,Dienste!$C$34,IF(N6=Dienste!$A$35,Dienste!$C$35,IF(N6=Dienste!$A$36,Dienste!$C$36,)))))))))))))))))))))))))))))))))))</f>
        <v>8</v>
      </c>
      <c r="BI6" s="27">
        <f>IF(O6=Dienste!$A$2,Dienste!$C$2,IF(O6=Dienste!$A$3,Dienste!$C$3,IF(O6=Dienste!$A$4,Dienste!$C$4,IF(O6=Dienste!$A$5,Dienste!$C$5,IF(O6=Dienste!$A$6,Dienste!$C$6,IF(O6=Dienste!$A$7,Dienste!$C$7,IF(O6=Dienste!$A$8,Dienste!$C$8,IF(O6=Dienste!$A$9,Dienste!$C$9,IF(O6=Dienste!$A$10,Dienste!$C$10,IF(O6=Dienste!$A$11,Dienste!$C$11,IF(O6=Dienste!$A$12,Dienste!$C$12,IF(O6=Dienste!$A$13,Dienste!$C$13,IF(O6=Dienste!$A$14,Dienste!$C$14,IF(O6=Dienste!$A$15,Dienste!$C$15,IF(O6=Dienste!$A$16,Dienste!$C$16,IF(O6=Dienste!$A$17,Dienste!$C$17,IF(O6=Dienste!$A$18,Dienste!$C$18,IF(O6=Dienste!$A$19,Dienste!$C$19,IF(O6=Dienste!$A$20,Dienste!$C$20,IF(O6=Dienste!$A$21,Dienste!$C$21,IF(O6=Dienste!$A$22,Dienste!$C$22,IF(O6=Dienste!$A$23,Dienste!$C$23,IF(O6=Dienste!$A$24,Dienste!$C$24,IF(O6=Dienste!$A$25,Dienste!$C$25,IF(O6=Dienste!$A$26,Dienste!$C$26,IF(O6=Dienste!$A$27,Dienste!$C$27,IF(O6=Dienste!$A$28,Dienste!$C$28,IF(O6=Dienste!#REF!,Dienste!#REF!,IF(O6=Dienste!#REF!,Dienste!#REF!,IF(O6=Dienste!#REF!,Dienste!#REF!,IF(O6=Dienste!#REF!,Dienste!#REF!,IF(O6=Dienste!$A$33,Dienste!$C$33,IF(O6=Dienste!$A$34,Dienste!$C$34,IF(O6=Dienste!$A$35,Dienste!$C$35,IF(O6=Dienste!$A$36,Dienste!$C$36,)))))))))))))))))))))))))))))))))))</f>
        <v>8</v>
      </c>
      <c r="BJ6" s="27">
        <f>IF(P6=Dienste!$A$2,Dienste!$C$2,IF(P6=Dienste!$A$3,Dienste!$C$3,IF(P6=Dienste!$A$4,Dienste!$C$4,IF(P6=Dienste!$A$5,Dienste!$C$5,IF(P6=Dienste!$A$6,Dienste!$C$6,IF(P6=Dienste!$A$7,Dienste!$C$7,IF(P6=Dienste!$A$8,Dienste!$C$8,IF(P6=Dienste!$A$9,Dienste!$C$9,IF(P6=Dienste!$A$10,Dienste!$C$10,IF(P6=Dienste!$A$11,Dienste!$C$11,IF(P6=Dienste!$A$12,Dienste!$C$12,IF(P6=Dienste!$A$13,Dienste!$C$13,IF(P6=Dienste!$A$14,Dienste!$C$14,IF(P6=Dienste!$A$15,Dienste!$C$15,IF(P6=Dienste!$A$16,Dienste!$C$16,IF(P6=Dienste!$A$17,Dienste!$C$17,IF(P6=Dienste!$A$18,Dienste!$C$18,IF(P6=Dienste!$A$19,Dienste!$C$19,IF(P6=Dienste!$A$20,Dienste!$C$20,IF(P6=Dienste!$A$21,Dienste!$C$21,IF(P6=Dienste!$A$22,Dienste!$C$22,IF(P6=Dienste!$A$23,Dienste!$C$23,IF(P6=Dienste!$A$24,Dienste!$C$24,IF(P6=Dienste!$A$25,Dienste!$C$25,IF(P6=Dienste!$A$26,Dienste!$C$26,IF(P6=Dienste!$A$27,Dienste!$C$27,IF(P6=Dienste!$A$28,Dienste!$C$28,IF(P6=Dienste!#REF!,Dienste!#REF!,IF(P6=Dienste!#REF!,Dienste!#REF!,IF(P6=Dienste!#REF!,Dienste!#REF!,IF(P6=Dienste!#REF!,Dienste!#REF!,IF(P6=Dienste!$A$33,Dienste!$C$33,IF(P6=Dienste!$A$34,Dienste!$C$34,IF(P6=Dienste!$A$35,Dienste!$C$35,IF(P6=Dienste!$A$36,Dienste!$C$36,)))))))))))))))))))))))))))))))))))</f>
        <v>8</v>
      </c>
      <c r="BK6" s="27">
        <f>IF(Q6=Dienste!$A$2,Dienste!$C$2,IF(Q6=Dienste!$A$3,Dienste!$C$3,IF(Q6=Dienste!$A$4,Dienste!$C$4,IF(Q6=Dienste!$A$5,Dienste!$C$5,IF(Q6=Dienste!$A$6,Dienste!$C$6,IF(Q6=Dienste!$A$7,Dienste!$C$7,IF(Q6=Dienste!$A$8,Dienste!$C$8,IF(Q6=Dienste!$A$9,Dienste!$C$9,IF(Q6=Dienste!$A$10,Dienste!$C$10,IF(Q6=Dienste!$A$11,Dienste!$C$11,IF(Q6=Dienste!$A$12,Dienste!$C$12,IF(Q6=Dienste!$A$13,Dienste!$C$13,IF(Q6=Dienste!$A$14,Dienste!$C$14,IF(Q6=Dienste!$A$15,Dienste!$C$15,IF(Q6=Dienste!$A$16,Dienste!$C$16,IF(Q6=Dienste!$A$17,Dienste!$C$17,IF(Q6=Dienste!$A$18,Dienste!$C$18,IF(Q6=Dienste!$A$19,Dienste!$C$19,IF(Q6=Dienste!$A$20,Dienste!$C$20,IF(Q6=Dienste!$A$21,Dienste!$C$21,IF(Q6=Dienste!$A$22,Dienste!$C$22,IF(Q6=Dienste!$A$23,Dienste!$C$23,IF(Q6=Dienste!$A$24,Dienste!$C$24,IF(Q6=Dienste!$A$25,Dienste!$C$25,IF(Q6=Dienste!$A$26,Dienste!$C$26,IF(Q6=Dienste!$A$27,Dienste!$C$27,IF(Q6=Dienste!$A$28,Dienste!$C$28,IF(Q6=Dienste!#REF!,Dienste!#REF!,IF(Q6=Dienste!#REF!,Dienste!#REF!,IF(Q6=Dienste!#REF!,Dienste!#REF!,IF(Q6=Dienste!#REF!,Dienste!#REF!,IF(Q6=Dienste!$A$33,Dienste!$C$33,IF(Q6=Dienste!$A$34,Dienste!$C$34,IF(Q6=Dienste!$A$35,Dienste!$C$35,IF(Q6=Dienste!$A$36,Dienste!$C$36,)))))))))))))))))))))))))))))))))))</f>
        <v>8</v>
      </c>
      <c r="BL6" s="27">
        <f>IF(R6=Dienste!$A$2,Dienste!$C$2,IF(R6=Dienste!$A$3,Dienste!$C$3,IF(R6=Dienste!$A$4,Dienste!$C$4,IF(R6=Dienste!$A$5,Dienste!$C$5,IF(R6=Dienste!$A$6,Dienste!$C$6,IF(R6=Dienste!$A$7,Dienste!$C$7,IF(R6=Dienste!$A$8,Dienste!$C$8,IF(R6=Dienste!$A$9,Dienste!$C$9,IF(R6=Dienste!$A$10,Dienste!$C$10,IF(R6=Dienste!$A$11,Dienste!$C$11,IF(R6=Dienste!$A$12,Dienste!$C$12,IF(R6=Dienste!$A$13,Dienste!$C$13,IF(R6=Dienste!$A$14,Dienste!$C$14,IF(R6=Dienste!$A$15,Dienste!$C$15,IF(R6=Dienste!$A$16,Dienste!$C$16,IF(R6=Dienste!$A$17,Dienste!$C$17,IF(R6=Dienste!$A$18,Dienste!$C$18,IF(R6=Dienste!$A$19,Dienste!$C$19,IF(R6=Dienste!$A$20,Dienste!$C$20,IF(R6=Dienste!$A$21,Dienste!$C$21,IF(R6=Dienste!$A$22,Dienste!$C$22,IF(R6=Dienste!$A$23,Dienste!$C$23,IF(R6=Dienste!$A$24,Dienste!$C$24,IF(R6=Dienste!$A$25,Dienste!$C$25,IF(R6=Dienste!$A$26,Dienste!$C$26,IF(R6=Dienste!$A$27,Dienste!$C$27,IF(R6=Dienste!$A$28,Dienste!$C$28,IF(R6=Dienste!#REF!,Dienste!#REF!,IF(R6=Dienste!#REF!,Dienste!#REF!,IF(R6=Dienste!#REF!,Dienste!#REF!,IF(R6=Dienste!#REF!,Dienste!#REF!,IF(R6=Dienste!$A$33,Dienste!$C$33,IF(R6=Dienste!$A$34,Dienste!$C$34,IF(R6=Dienste!$A$35,Dienste!$C$35,IF(R6=Dienste!$A$36,Dienste!$C$36,)))))))))))))))))))))))))))))))))))</f>
        <v>0</v>
      </c>
      <c r="BM6" s="27">
        <f>IF(S6=Dienste!$A$2,Dienste!$C$2,IF(S6=Dienste!$A$3,Dienste!$C$3,IF(S6=Dienste!$A$4,Dienste!$C$4,IF(S6=Dienste!$A$5,Dienste!$C$5,IF(S6=Dienste!$A$6,Dienste!$C$6,IF(S6=Dienste!$A$7,Dienste!$C$7,IF(S6=Dienste!$A$8,Dienste!$C$8,IF(S6=Dienste!$A$9,Dienste!$C$9,IF(S6=Dienste!$A$10,Dienste!$C$10,IF(S6=Dienste!$A$11,Dienste!$C$11,IF(S6=Dienste!$A$12,Dienste!$C$12,IF(S6=Dienste!$A$13,Dienste!$C$13,IF(S6=Dienste!$A$14,Dienste!$C$14,IF(S6=Dienste!$A$15,Dienste!$C$15,IF(S6=Dienste!$A$16,Dienste!$C$16,IF(S6=Dienste!$A$17,Dienste!$C$17,IF(S6=Dienste!$A$18,Dienste!$C$18,IF(S6=Dienste!$A$19,Dienste!$C$19,IF(S6=Dienste!$A$20,Dienste!$C$20,IF(S6=Dienste!$A$21,Dienste!$C$21,IF(S6=Dienste!$A$22,Dienste!$C$22,IF(S6=Dienste!$A$23,Dienste!$C$23,IF(S6=Dienste!$A$24,Dienste!$C$24,IF(S6=Dienste!$A$25,Dienste!$C$25,IF(S6=Dienste!$A$26,Dienste!$C$26,IF(S6=Dienste!$A$27,Dienste!$C$27,IF(S6=Dienste!$A$28,Dienste!$C$28,IF(S6=Dienste!#REF!,Dienste!#REF!,IF(S6=Dienste!#REF!,Dienste!#REF!,IF(S6=Dienste!#REF!,Dienste!#REF!,IF(S6=Dienste!#REF!,Dienste!#REF!,IF(S6=Dienste!$A$33,Dienste!$C$33,IF(S6=Dienste!$A$34,Dienste!$C$34,IF(S6=Dienste!$A$35,Dienste!$C$35,IF(S6=Dienste!$A$36,Dienste!$C$36,)))))))))))))))))))))))))))))))))))</f>
        <v>0</v>
      </c>
      <c r="BN6" s="27">
        <f>IF(T6=Dienste!$A$2,Dienste!$C$2,IF(T6=Dienste!$A$3,Dienste!$C$3,IF(T6=Dienste!$A$4,Dienste!$C$4,IF(T6=Dienste!$A$5,Dienste!$C$5,IF(T6=Dienste!$A$6,Dienste!$C$6,IF(T6=Dienste!$A$7,Dienste!$C$7,IF(T6=Dienste!$A$8,Dienste!$C$8,IF(T6=Dienste!$A$9,Dienste!$C$9,IF(T6=Dienste!$A$10,Dienste!$C$10,IF(T6=Dienste!$A$11,Dienste!$C$11,IF(T6=Dienste!$A$12,Dienste!$C$12,IF(T6=Dienste!$A$13,Dienste!$C$13,IF(T6=Dienste!$A$14,Dienste!$C$14,IF(T6=Dienste!$A$15,Dienste!$C$15,IF(T6=Dienste!$A$16,Dienste!$C$16,IF(T6=Dienste!$A$17,Dienste!$C$17,IF(T6=Dienste!$A$18,Dienste!$C$18,IF(T6=Dienste!$A$19,Dienste!$C$19,IF(T6=Dienste!$A$20,Dienste!$C$20,IF(T6=Dienste!$A$21,Dienste!$C$21,IF(T6=Dienste!$A$22,Dienste!$C$22,IF(T6=Dienste!$A$23,Dienste!$C$23,IF(T6=Dienste!$A$24,Dienste!$C$24,IF(T6=Dienste!$A$25,Dienste!$C$25,IF(T6=Dienste!$A$26,Dienste!$C$26,IF(T6=Dienste!$A$27,Dienste!$C$27,IF(T6=Dienste!$A$28,Dienste!$C$28,IF(T6=Dienste!#REF!,Dienste!#REF!,IF(T6=Dienste!#REF!,Dienste!#REF!,IF(T6=Dienste!#REF!,Dienste!#REF!,IF(T6=Dienste!#REF!,Dienste!#REF!,IF(T6=Dienste!$A$33,Dienste!$C$33,IF(T6=Dienste!$A$34,Dienste!$C$34,IF(T6=Dienste!$A$35,Dienste!$C$35,IF(T6=Dienste!$A$36,Dienste!$C$36,)))))))))))))))))))))))))))))))))))</f>
        <v>0</v>
      </c>
      <c r="BO6" s="27">
        <f>IF(U6=Dienste!$A$2,Dienste!$C$2,IF(U6=Dienste!$A$3,Dienste!$C$3,IF(U6=Dienste!$A$4,Dienste!$C$4,IF(U6=Dienste!$A$5,Dienste!$C$5,IF(U6=Dienste!$A$6,Dienste!$C$6,IF(U6=Dienste!$A$7,Dienste!$C$7,IF(U6=Dienste!$A$8,Dienste!$C$8,IF(U6=Dienste!$A$9,Dienste!$C$9,IF(U6=Dienste!$A$10,Dienste!$C$10,IF(U6=Dienste!$A$11,Dienste!$C$11,IF(U6=Dienste!$A$12,Dienste!$C$12,IF(U6=Dienste!$A$13,Dienste!$C$13,IF(U6=Dienste!$A$14,Dienste!$C$14,IF(U6=Dienste!$A$15,Dienste!$C$15,IF(U6=Dienste!$A$16,Dienste!$C$16,IF(U6=Dienste!$A$17,Dienste!$C$17,IF(U6=Dienste!$A$18,Dienste!$C$18,IF(U6=Dienste!$A$19,Dienste!$C$19,IF(U6=Dienste!$A$20,Dienste!$C$20,IF(U6=Dienste!$A$21,Dienste!$C$21,IF(U6=Dienste!$A$22,Dienste!$C$22,IF(U6=Dienste!$A$23,Dienste!$C$23,IF(U6=Dienste!$A$24,Dienste!$C$24,IF(U6=Dienste!$A$25,Dienste!$C$25,IF(U6=Dienste!$A$26,Dienste!$C$26,IF(U6=Dienste!$A$27,Dienste!$C$27,IF(U6=Dienste!$A$28,Dienste!$C$28,IF(U6=Dienste!#REF!,Dienste!#REF!,IF(U6=Dienste!#REF!,Dienste!#REF!,IF(U6=Dienste!#REF!,Dienste!#REF!,IF(U6=Dienste!#REF!,Dienste!#REF!,IF(U6=Dienste!$A$33,Dienste!$C$33,IF(U6=Dienste!$A$34,Dienste!$C$34,IF(U6=Dienste!$A$35,Dienste!$C$35,IF(U6=Dienste!$A$36,Dienste!$C$36,)))))))))))))))))))))))))))))))))))</f>
        <v>8</v>
      </c>
      <c r="BP6" s="27">
        <f>IF(V6=Dienste!$A$2,Dienste!$C$2,IF(V6=Dienste!$A$3,Dienste!$C$3,IF(V6=Dienste!$A$4,Dienste!$C$4,IF(V6=Dienste!$A$5,Dienste!$C$5,IF(V6=Dienste!$A$6,Dienste!$C$6,IF(V6=Dienste!$A$7,Dienste!$C$7,IF(V6=Dienste!$A$8,Dienste!$C$8,IF(V6=Dienste!$A$9,Dienste!$C$9,IF(V6=Dienste!$A$10,Dienste!$C$10,IF(V6=Dienste!$A$11,Dienste!$C$11,IF(V6=Dienste!$A$12,Dienste!$C$12,IF(V6=Dienste!$A$13,Dienste!$C$13,IF(V6=Dienste!$A$14,Dienste!$C$14,IF(V6=Dienste!$A$15,Dienste!$C$15,IF(V6=Dienste!$A$16,Dienste!$C$16,IF(V6=Dienste!$A$17,Dienste!$C$17,IF(V6=Dienste!$A$18,Dienste!$C$18,IF(V6=Dienste!$A$19,Dienste!$C$19,IF(V6=Dienste!$A$20,Dienste!$C$20,IF(V6=Dienste!$A$21,Dienste!$C$21,IF(V6=Dienste!$A$22,Dienste!$C$22,IF(V6=Dienste!$A$23,Dienste!$C$23,IF(V6=Dienste!$A$24,Dienste!$C$24,IF(V6=Dienste!$A$25,Dienste!$C$25,IF(V6=Dienste!$A$26,Dienste!$C$26,IF(V6=Dienste!$A$27,Dienste!$C$27,IF(V6=Dienste!$A$28,Dienste!$C$28,IF(V6=Dienste!#REF!,Dienste!#REF!,IF(V6=Dienste!#REF!,Dienste!#REF!,IF(V6=Dienste!#REF!,Dienste!#REF!,IF(V6=Dienste!#REF!,Dienste!#REF!,IF(V6=Dienste!$A$33,Dienste!$C$33,IF(V6=Dienste!$A$34,Dienste!$C$34,IF(V6=Dienste!$A$35,Dienste!$C$35,IF(V6=Dienste!$A$36,Dienste!$C$36,)))))))))))))))))))))))))))))))))))</f>
        <v>8</v>
      </c>
      <c r="BQ6" s="27">
        <f>IF(W6=Dienste!$A$2,Dienste!$C$2,IF(W6=Dienste!$A$3,Dienste!$C$3,IF(W6=Dienste!$A$4,Dienste!$C$4,IF(W6=Dienste!$A$5,Dienste!$C$5,IF(W6=Dienste!$A$6,Dienste!$C$6,IF(W6=Dienste!$A$7,Dienste!$C$7,IF(W6=Dienste!$A$8,Dienste!$C$8,IF(W6=Dienste!$A$9,Dienste!$C$9,IF(W6=Dienste!$A$10,Dienste!$C$10,IF(W6=Dienste!$A$11,Dienste!$C$11,IF(W6=Dienste!$A$12,Dienste!$C$12,IF(W6=Dienste!$A$13,Dienste!$C$13,IF(W6=Dienste!$A$14,Dienste!$C$14,IF(W6=Dienste!$A$15,Dienste!$C$15,IF(W6=Dienste!$A$16,Dienste!$C$16,IF(W6=Dienste!$A$17,Dienste!$C$17,IF(W6=Dienste!$A$18,Dienste!$C$18,IF(W6=Dienste!$A$19,Dienste!$C$19,IF(W6=Dienste!$A$20,Dienste!$C$20,IF(W6=Dienste!$A$21,Dienste!$C$21,IF(W6=Dienste!$A$22,Dienste!$C$22,IF(W6=Dienste!$A$23,Dienste!$C$23,IF(W6=Dienste!$A$24,Dienste!$C$24,IF(W6=Dienste!$A$25,Dienste!$C$25,IF(W6=Dienste!$A$26,Dienste!$C$26,IF(W6=Dienste!$A$27,Dienste!$C$27,IF(W6=Dienste!$A$28,Dienste!$C$28,IF(W6=Dienste!#REF!,Dienste!#REF!,IF(W6=Dienste!#REF!,Dienste!#REF!,IF(W6=Dienste!#REF!,Dienste!#REF!,IF(W6=Dienste!#REF!,Dienste!#REF!,IF(W6=Dienste!$A$33,Dienste!$C$33,IF(W6=Dienste!$A$34,Dienste!$C$34,IF(W6=Dienste!$A$35,Dienste!$C$35,IF(W6=Dienste!$A$36,Dienste!$C$36,)))))))))))))))))))))))))))))))))))</f>
        <v>8</v>
      </c>
      <c r="BR6" s="27">
        <f>IF(X6=Dienste!$A$2,Dienste!$C$2,IF(X6=Dienste!$A$3,Dienste!$C$3,IF(X6=Dienste!$A$4,Dienste!$C$4,IF(X6=Dienste!$A$5,Dienste!$C$5,IF(X6=Dienste!$A$6,Dienste!$C$6,IF(X6=Dienste!$A$7,Dienste!$C$7,IF(X6=Dienste!$A$8,Dienste!$C$8,IF(X6=Dienste!$A$9,Dienste!$C$9,IF(X6=Dienste!$A$10,Dienste!$C$10,IF(X6=Dienste!$A$11,Dienste!$C$11,IF(X6=Dienste!$A$12,Dienste!$C$12,IF(X6=Dienste!$A$13,Dienste!$C$13,IF(X6=Dienste!$A$14,Dienste!$C$14,IF(X6=Dienste!$A$15,Dienste!$C$15,IF(X6=Dienste!$A$16,Dienste!$C$16,IF(X6=Dienste!$A$17,Dienste!$C$17,IF(X6=Dienste!$A$18,Dienste!$C$18,IF(X6=Dienste!$A$19,Dienste!$C$19,IF(X6=Dienste!$A$20,Dienste!$C$20,IF(X6=Dienste!$A$21,Dienste!$C$21,IF(X6=Dienste!$A$22,Dienste!$C$22,IF(X6=Dienste!$A$23,Dienste!$C$23,IF(X6=Dienste!$A$24,Dienste!$C$24,IF(X6=Dienste!$A$25,Dienste!$C$25,IF(X6=Dienste!$A$26,Dienste!$C$26,IF(X6=Dienste!$A$27,Dienste!$C$27,IF(X6=Dienste!$A$28,Dienste!$C$28,IF(X6=Dienste!#REF!,Dienste!#REF!,IF(X6=Dienste!#REF!,Dienste!#REF!,IF(X6=Dienste!#REF!,Dienste!#REF!,IF(X6=Dienste!#REF!,Dienste!#REF!,IF(X6=Dienste!$A$33,Dienste!$C$33,IF(X6=Dienste!$A$34,Dienste!$C$34,IF(X6=Dienste!$A$35,Dienste!$C$35,IF(X6=Dienste!$A$36,Dienste!$C$36,)))))))))))))))))))))))))))))))))))</f>
        <v>8</v>
      </c>
      <c r="BS6" s="27">
        <f>IF(Y6=Dienste!$A$2,Dienste!$C$2,IF(Y6=Dienste!$A$3,Dienste!$C$3,IF(Y6=Dienste!$A$4,Dienste!$C$4,IF(Y6=Dienste!$A$5,Dienste!$C$5,IF(Y6=Dienste!$A$6,Dienste!$C$6,IF(Y6=Dienste!$A$7,Dienste!$C$7,IF(Y6=Dienste!$A$8,Dienste!$C$8,IF(Y6=Dienste!$A$9,Dienste!$C$9,IF(Y6=Dienste!$A$10,Dienste!$C$10,IF(Y6=Dienste!$A$11,Dienste!$C$11,IF(Y6=Dienste!$A$12,Dienste!$C$12,IF(Y6=Dienste!$A$13,Dienste!$C$13,IF(Y6=Dienste!$A$14,Dienste!$C$14,IF(Y6=Dienste!$A$15,Dienste!$C$15,IF(Y6=Dienste!$A$16,Dienste!$C$16,IF(Y6=Dienste!$A$17,Dienste!$C$17,IF(Y6=Dienste!$A$18,Dienste!$C$18,IF(Y6=Dienste!$A$19,Dienste!$C$19,IF(Y6=Dienste!$A$20,Dienste!$C$20,IF(Y6=Dienste!$A$21,Dienste!$C$21,IF(Y6=Dienste!$A$22,Dienste!$C$22,IF(Y6=Dienste!$A$23,Dienste!$C$23,IF(Y6=Dienste!$A$24,Dienste!$C$24,IF(Y6=Dienste!$A$25,Dienste!$C$25,IF(Y6=Dienste!$A$26,Dienste!$C$26,IF(Y6=Dienste!$A$27,Dienste!$C$27,IF(Y6=Dienste!$A$28,Dienste!$C$28,IF(Y6=Dienste!#REF!,Dienste!#REF!,IF(Y6=Dienste!#REF!,Dienste!#REF!,IF(Y6=Dienste!#REF!,Dienste!#REF!,IF(Y6=Dienste!#REF!,Dienste!#REF!,IF(Y6=Dienste!$A$33,Dienste!$C$33,IF(Y6=Dienste!$A$34,Dienste!$C$34,IF(Y6=Dienste!$A$35,Dienste!$C$35,IF(Y6=Dienste!$A$36,Dienste!$C$36,)))))))))))))))))))))))))))))))))))</f>
        <v>0</v>
      </c>
      <c r="BT6" s="27">
        <f>IF(Z6=Dienste!$A$2,Dienste!$C$2,IF(Z6=Dienste!$A$3,Dienste!$C$3,IF(Z6=Dienste!$A$4,Dienste!$C$4,IF(Z6=Dienste!$A$5,Dienste!$C$5,IF(Z6=Dienste!$A$6,Dienste!$C$6,IF(Z6=Dienste!$A$7,Dienste!$C$7,IF(Z6=Dienste!$A$8,Dienste!$C$8,IF(Z6=Dienste!$A$9,Dienste!$C$9,IF(Z6=Dienste!$A$10,Dienste!$C$10,IF(Z6=Dienste!$A$11,Dienste!$C$11,IF(Z6=Dienste!$A$12,Dienste!$C$12,IF(Z6=Dienste!$A$13,Dienste!$C$13,IF(Z6=Dienste!$A$14,Dienste!$C$14,IF(Z6=Dienste!$A$15,Dienste!$C$15,IF(Z6=Dienste!$A$16,Dienste!$C$16,IF(Z6=Dienste!$A$17,Dienste!$C$17,IF(Z6=Dienste!$A$18,Dienste!$C$18,IF(Z6=Dienste!$A$19,Dienste!$C$19,IF(Z6=Dienste!$A$20,Dienste!$C$20,IF(Z6=Dienste!$A$21,Dienste!$C$21,IF(Z6=Dienste!$A$22,Dienste!$C$22,IF(Z6=Dienste!$A$23,Dienste!$C$23,IF(Z6=Dienste!$A$24,Dienste!$C$24,IF(Z6=Dienste!$A$25,Dienste!$C$25,IF(Z6=Dienste!$A$26,Dienste!$C$26,IF(Z6=Dienste!$A$27,Dienste!$C$27,IF(Z6=Dienste!$A$28,Dienste!$C$28,IF(Z6=Dienste!#REF!,Dienste!#REF!,IF(Z6=Dienste!#REF!,Dienste!#REF!,IF(Z6=Dienste!#REF!,Dienste!#REF!,IF(Z6=Dienste!#REF!,Dienste!#REF!,IF(Z6=Dienste!$A$33,Dienste!$C$33,IF(Z6=Dienste!$A$34,Dienste!$C$34,IF(Z6=Dienste!$A$35,Dienste!$C$35,IF(Z6=Dienste!$A$36,Dienste!$C$36,)))))))))))))))))))))))))))))))))))</f>
        <v>0</v>
      </c>
      <c r="BU6" s="27">
        <f>IF(AA6=Dienste!$A$2,Dienste!$C$2,IF(AA6=Dienste!$A$3,Dienste!$C$3,IF(AA6=Dienste!$A$4,Dienste!$C$4,IF(AA6=Dienste!$A$5,Dienste!$C$5,IF(AA6=Dienste!$A$6,Dienste!$C$6,IF(AA6=Dienste!$A$7,Dienste!$C$7,IF(AA6=Dienste!$A$8,Dienste!$C$8,IF(AA6=Dienste!$A$9,Dienste!$C$9,IF(AA6=Dienste!$A$10,Dienste!$C$10,IF(AA6=Dienste!$A$11,Dienste!$C$11,IF(AA6=Dienste!$A$12,Dienste!$C$12,IF(AA6=Dienste!$A$13,Dienste!$C$13,IF(AA6=Dienste!$A$14,Dienste!$C$14,IF(AA6=Dienste!$A$15,Dienste!$C$15,IF(AA6=Dienste!$A$16,Dienste!$C$16,IF(AA6=Dienste!$A$17,Dienste!$C$17,IF(AA6=Dienste!$A$18,Dienste!$C$18,IF(AA6=Dienste!$A$19,Dienste!$C$19,IF(AA6=Dienste!$A$20,Dienste!$C$20,IF(AA6=Dienste!$A$21,Dienste!$C$21,IF(AA6=Dienste!$A$22,Dienste!$C$22,IF(AA6=Dienste!$A$23,Dienste!$C$23,IF(AA6=Dienste!$A$24,Dienste!$C$24,IF(AA6=Dienste!$A$25,Dienste!$C$25,IF(AA6=Dienste!$A$26,Dienste!$C$26,IF(AA6=Dienste!$A$27,Dienste!$C$27,IF(AA6=Dienste!$A$28,Dienste!$C$28,IF(AA6=Dienste!#REF!,Dienste!#REF!,IF(AA6=Dienste!#REF!,Dienste!#REF!,IF(AA6=Dienste!#REF!,Dienste!#REF!,IF(AA6=Dienste!#REF!,Dienste!#REF!,IF(AA6=Dienste!$A$33,Dienste!$C$33,IF(AA6=Dienste!$A$34,Dienste!$C$34,IF(AA6=Dienste!$A$35,Dienste!$C$35,IF(AA6=Dienste!$A$36,Dienste!$C$36,)))))))))))))))))))))))))))))))))))</f>
        <v>0</v>
      </c>
      <c r="BV6" s="27">
        <f>IF(AB6=Dienste!$A$2,Dienste!$C$2,IF(AB6=Dienste!$A$3,Dienste!$C$3,IF(AB6=Dienste!$A$4,Dienste!$C$4,IF(AB6=Dienste!$A$5,Dienste!$C$5,IF(AB6=Dienste!$A$6,Dienste!$C$6,IF(AB6=Dienste!$A$7,Dienste!$C$7,IF(AB6=Dienste!$A$8,Dienste!$C$8,IF(AB6=Dienste!$A$9,Dienste!$C$9,IF(AB6=Dienste!$A$10,Dienste!$C$10,IF(AB6=Dienste!$A$11,Dienste!$C$11,IF(AB6=Dienste!$A$12,Dienste!$C$12,IF(AB6=Dienste!$A$13,Dienste!$C$13,IF(AB6=Dienste!$A$14,Dienste!$C$14,IF(AB6=Dienste!$A$15,Dienste!$C$15,IF(AB6=Dienste!$A$16,Dienste!$C$16,IF(AB6=Dienste!$A$17,Dienste!$C$17,IF(AB6=Dienste!$A$18,Dienste!$C$18,IF(AB6=Dienste!$A$19,Dienste!$C$19,IF(AB6=Dienste!$A$20,Dienste!$C$20,IF(AB6=Dienste!$A$21,Dienste!$C$21,IF(AB6=Dienste!$A$22,Dienste!$C$22,IF(AB6=Dienste!$A$23,Dienste!$C$23,IF(AB6=Dienste!$A$24,Dienste!$C$24,IF(AB6=Dienste!$A$25,Dienste!$C$25,IF(AB6=Dienste!$A$26,Dienste!$C$26,IF(AB6=Dienste!$A$27,Dienste!$C$27,IF(AB6=Dienste!$A$28,Dienste!$C$28,IF(AB6=Dienste!#REF!,Dienste!#REF!,IF(AB6=Dienste!#REF!,Dienste!#REF!,IF(AB6=Dienste!#REF!,Dienste!#REF!,IF(AB6=Dienste!#REF!,Dienste!#REF!,IF(AB6=Dienste!$A$33,Dienste!$C$33,IF(AB6=Dienste!$A$34,Dienste!$C$34,IF(AB6=Dienste!$A$35,Dienste!$C$35,IF(AB6=Dienste!$A$36,Dienste!$C$36,)))))))))))))))))))))))))))))))))))</f>
        <v>8</v>
      </c>
      <c r="BW6" s="27">
        <f>IF(AC6=Dienste!$A$2,Dienste!$C$2,IF(AC6=Dienste!$A$3,Dienste!$C$3,IF(AC6=Dienste!$A$4,Dienste!$C$4,IF(AC6=Dienste!$A$5,Dienste!$C$5,IF(AC6=Dienste!$A$6,Dienste!$C$6,IF(AC6=Dienste!$A$7,Dienste!$C$7,IF(AC6=Dienste!$A$8,Dienste!$C$8,IF(AC6=Dienste!$A$9,Dienste!$C$9,IF(AC6=Dienste!$A$10,Dienste!$C$10,IF(AC6=Dienste!$A$11,Dienste!$C$11,IF(AC6=Dienste!$A$12,Dienste!$C$12,IF(AC6=Dienste!$A$13,Dienste!$C$13,IF(AC6=Dienste!$A$14,Dienste!$C$14,IF(AC6=Dienste!$A$15,Dienste!$C$15,IF(AC6=Dienste!$A$16,Dienste!$C$16,IF(AC6=Dienste!$A$17,Dienste!$C$17,IF(AC6=Dienste!$A$18,Dienste!$C$18,IF(AC6=Dienste!$A$19,Dienste!$C$19,IF(AC6=Dienste!$A$20,Dienste!$C$20,IF(AC6=Dienste!$A$21,Dienste!$C$21,IF(AC6=Dienste!$A$22,Dienste!$C$22,IF(AC6=Dienste!$A$23,Dienste!$C$23,IF(AC6=Dienste!$A$24,Dienste!$C$24,IF(AC6=Dienste!$A$25,Dienste!$C$25,IF(AC6=Dienste!$A$26,Dienste!$C$26,IF(AC6=Dienste!$A$27,Dienste!$C$27,IF(AC6=Dienste!$A$28,Dienste!$C$28,IF(AC6=Dienste!#REF!,Dienste!#REF!,IF(AC6=Dienste!#REF!,Dienste!#REF!,IF(AC6=Dienste!#REF!,Dienste!#REF!,IF(AC6=Dienste!#REF!,Dienste!#REF!,IF(AC6=Dienste!$A$33,Dienste!$C$33,IF(AC6=Dienste!$A$34,Dienste!$C$34,IF(AC6=Dienste!$A$35,Dienste!$C$35,IF(AC6=Dienste!$A$36,Dienste!$C$36,)))))))))))))))))))))))))))))))))))</f>
        <v>8</v>
      </c>
      <c r="BX6" s="27">
        <f>IF(AD6=Dienste!$A$2,Dienste!$C$2,IF(AD6=Dienste!$A$3,Dienste!$C$3,IF(AD6=Dienste!$A$4,Dienste!$C$4,IF(AD6=Dienste!$A$5,Dienste!$C$5,IF(AD6=Dienste!$A$6,Dienste!$C$6,IF(AD6=Dienste!$A$7,Dienste!$C$7,IF(AD6=Dienste!$A$8,Dienste!$C$8,IF(AD6=Dienste!$A$9,Dienste!$C$9,IF(AD6=Dienste!$A$10,Dienste!$C$10,IF(AD6=Dienste!$A$11,Dienste!$C$11,IF(AD6=Dienste!$A$12,Dienste!$C$12,IF(AD6=Dienste!$A$13,Dienste!$C$13,IF(AD6=Dienste!$A$14,Dienste!$C$14,IF(AD6=Dienste!$A$15,Dienste!$C$15,IF(AD6=Dienste!$A$16,Dienste!$C$16,IF(AD6=Dienste!$A$17,Dienste!$C$17,IF(AD6=Dienste!$A$18,Dienste!$C$18,IF(AD6=Dienste!$A$19,Dienste!$C$19,IF(AD6=Dienste!$A$20,Dienste!$C$20,IF(AD6=Dienste!$A$21,Dienste!$C$21,IF(AD6=Dienste!$A$22,Dienste!$C$22,IF(AD6=Dienste!$A$23,Dienste!$C$23,IF(AD6=Dienste!$A$24,Dienste!$C$24,IF(AD6=Dienste!$A$25,Dienste!$C$25,IF(AD6=Dienste!$A$26,Dienste!$C$26,IF(AD6=Dienste!$A$27,Dienste!$C$27,IF(AD6=Dienste!$A$28,Dienste!$C$28,IF(AD6=Dienste!#REF!,Dienste!#REF!,IF(AD6=Dienste!#REF!,Dienste!#REF!,IF(AD6=Dienste!#REF!,Dienste!#REF!,IF(AD6=Dienste!#REF!,Dienste!#REF!,IF(AD6=Dienste!$A$33,Dienste!$C$33,IF(AD6=Dienste!$A$34,Dienste!$C$34,IF(AD6=Dienste!$A$35,Dienste!$C$35,IF(AD6=Dienste!$A$36,Dienste!$C$36,)))))))))))))))))))))))))))))))))))</f>
        <v>8</v>
      </c>
      <c r="BY6" s="27">
        <f>IF(AE6=Dienste!$A$2,Dienste!$C$2,IF(AE6=Dienste!$A$3,Dienste!$C$3,IF(AE6=Dienste!$A$4,Dienste!$C$4,IF(AE6=Dienste!$A$5,Dienste!$C$5,IF(AE6=Dienste!$A$6,Dienste!$C$6,IF(AE6=Dienste!$A$7,Dienste!$C$7,IF(AE6=Dienste!$A$8,Dienste!$C$8,IF(AE6=Dienste!$A$9,Dienste!$C$9,IF(AE6=Dienste!$A$10,Dienste!$C$10,IF(AE6=Dienste!$A$11,Dienste!$C$11,IF(AE6=Dienste!$A$12,Dienste!$C$12,IF(AE6=Dienste!$A$13,Dienste!$C$13,IF(AE6=Dienste!$A$14,Dienste!$C$14,IF(AE6=Dienste!$A$15,Dienste!$C$15,IF(AE6=Dienste!$A$16,Dienste!$C$16,IF(AE6=Dienste!$A$17,Dienste!$C$17,IF(AE6=Dienste!$A$18,Dienste!$C$18,IF(AE6=Dienste!$A$19,Dienste!$C$19,IF(AE6=Dienste!$A$20,Dienste!$C$20,IF(AE6=Dienste!$A$21,Dienste!$C$21,IF(AE6=Dienste!$A$22,Dienste!$C$22,IF(AE6=Dienste!$A$23,Dienste!$C$23,IF(AE6=Dienste!$A$24,Dienste!$C$24,IF(AE6=Dienste!$A$25,Dienste!$C$25,IF(AE6=Dienste!$A$26,Dienste!$C$26,IF(AE6=Dienste!$A$27,Dienste!$C$27,IF(AE6=Dienste!$A$28,Dienste!$C$28,IF(AE6=Dienste!#REF!,Dienste!#REF!,IF(AE6=Dienste!#REF!,Dienste!#REF!,IF(AE6=Dienste!#REF!,Dienste!#REF!,IF(AE6=Dienste!#REF!,Dienste!#REF!,IF(AE6=Dienste!$A$33,Dienste!$C$33,IF(AE6=Dienste!$A$34,Dienste!$C$34,IF(AE6=Dienste!$A$35,Dienste!$C$35,IF(AE6=Dienste!$A$36,Dienste!$C$36,)))))))))))))))))))))))))))))))))))</f>
        <v>8</v>
      </c>
      <c r="BZ6" s="27">
        <f>IF(AF6=Dienste!$A$2,Dienste!$C$2,IF(AF6=Dienste!$A$3,Dienste!$C$3,IF(AF6=Dienste!$A$4,Dienste!$C$4,IF(AF6=Dienste!$A$5,Dienste!$C$5,IF(AF6=Dienste!$A$6,Dienste!$C$6,IF(AF6=Dienste!$A$7,Dienste!$C$7,IF(AF6=Dienste!$A$8,Dienste!$C$8,IF(AF6=Dienste!$A$9,Dienste!$C$9,IF(AF6=Dienste!$A$10,Dienste!$C$10,IF(AF6=Dienste!$A$11,Dienste!$C$11,IF(AF6=Dienste!$A$12,Dienste!$C$12,IF(AF6=Dienste!$A$13,Dienste!$C$13,IF(AF6=Dienste!$A$14,Dienste!$C$14,IF(AF6=Dienste!$A$15,Dienste!$C$15,IF(AF6=Dienste!$A$16,Dienste!$C$16,IF(AF6=Dienste!$A$17,Dienste!$C$17,IF(AF6=Dienste!$A$18,Dienste!$C$18,IF(AF6=Dienste!$A$19,Dienste!$C$19,IF(AF6=Dienste!$A$20,Dienste!$C$20,IF(AF6=Dienste!$A$21,Dienste!$C$21,IF(AF6=Dienste!$A$22,Dienste!$C$22,IF(AF6=Dienste!$A$23,Dienste!$C$23,IF(AF6=Dienste!$A$24,Dienste!$C$24,IF(AF6=Dienste!$A$25,Dienste!$C$25,IF(AF6=Dienste!$A$26,Dienste!$C$26,IF(AF6=Dienste!$A$27,Dienste!$C$27,IF(AF6=Dienste!$A$28,Dienste!$C$28,IF(AF6=Dienste!#REF!,Dienste!#REF!,IF(AF6=Dienste!#REF!,Dienste!#REF!,IF(AF6=Dienste!#REF!,Dienste!#REF!,IF(AF6=Dienste!#REF!,Dienste!#REF!,IF(AF6=Dienste!$A$33,Dienste!$C$33,IF(AF6=Dienste!$A$34,Dienste!$C$34,IF(AF6=Dienste!$A$35,Dienste!$C$35,IF(AF6=Dienste!$A$36,Dienste!$C$36,)))))))))))))))))))))))))))))))))))</f>
        <v>0</v>
      </c>
      <c r="CA6" s="27">
        <f>IF(AG6=Dienste!$A$2,Dienste!$C$2,IF(AG6=Dienste!$A$3,Dienste!$C$3,IF(AG6=Dienste!$A$4,Dienste!$C$4,IF(AG6=Dienste!$A$5,Dienste!$C$5,IF(AG6=Dienste!$A$6,Dienste!$C$6,IF(AG6=Dienste!$A$7,Dienste!$C$7,IF(AG6=Dienste!$A$8,Dienste!$C$8,IF(AG6=Dienste!$A$9,Dienste!$C$9,IF(AG6=Dienste!$A$10,Dienste!$C$10,IF(AG6=Dienste!$A$11,Dienste!$C$11,IF(AG6=Dienste!$A$12,Dienste!$C$12,IF(AG6=Dienste!$A$13,Dienste!$C$13,IF(AG6=Dienste!$A$14,Dienste!$C$14,IF(AG6=Dienste!$A$15,Dienste!$C$15,IF(AG6=Dienste!$A$16,Dienste!$C$16,IF(AG6=Dienste!$A$17,Dienste!$C$17,IF(AG6=Dienste!$A$18,Dienste!$C$18,IF(AG6=Dienste!$A$19,Dienste!$C$19,IF(AG6=Dienste!$A$20,Dienste!$C$20,IF(AG6=Dienste!$A$21,Dienste!$C$21,IF(AG6=Dienste!$A$22,Dienste!$C$22,IF(AG6=Dienste!$A$23,Dienste!$C$23,IF(AG6=Dienste!$A$24,Dienste!$C$24,IF(AG6=Dienste!$A$25,Dienste!$C$25,IF(AG6=Dienste!$A$26,Dienste!$C$26,IF(AG6=Dienste!$A$27,Dienste!$C$27,IF(AG6=Dienste!$A$28,Dienste!$C$28,IF(AG6=Dienste!#REF!,Dienste!#REF!,IF(AG6=Dienste!#REF!,Dienste!#REF!,IF(AG6=Dienste!#REF!,Dienste!#REF!,IF(AG6=Dienste!#REF!,Dienste!#REF!,IF(AG6=Dienste!$A$33,Dienste!$C$33,IF(AG6=Dienste!$A$34,Dienste!$C$34,IF(AG6=Dienste!$A$35,Dienste!$C$35,IF(AG6=Dienste!$A$36,Dienste!$C$36,)))))))))))))))))))))))))))))))))))</f>
        <v>0</v>
      </c>
      <c r="CB6" s="27">
        <f>IF(AH6=Dienste!$A$2,Dienste!$C$2,IF(AH6=Dienste!$A$3,Dienste!$C$3,IF(AH6=Dienste!$A$4,Dienste!$C$4,IF(AH6=Dienste!$A$5,Dienste!$C$5,IF(AH6=Dienste!$A$6,Dienste!$C$6,IF(AH6=Dienste!$A$7,Dienste!$C$7,IF(AH6=Dienste!$A$8,Dienste!$C$8,IF(AH6=Dienste!$A$9,Dienste!$C$9,IF(AH6=Dienste!$A$10,Dienste!$C$10,IF(AH6=Dienste!$A$11,Dienste!$C$11,IF(AH6=Dienste!$A$12,Dienste!$C$12,IF(AH6=Dienste!$A$13,Dienste!$C$13,IF(AH6=Dienste!$A$14,Dienste!$C$14,IF(AH6=Dienste!$A$15,Dienste!$C$15,IF(AH6=Dienste!$A$16,Dienste!$C$16,IF(AH6=Dienste!$A$17,Dienste!$C$17,IF(AH6=Dienste!$A$18,Dienste!$C$18,IF(AH6=Dienste!$A$19,Dienste!$C$19,IF(AH6=Dienste!$A$20,Dienste!$C$20,IF(AH6=Dienste!$A$21,Dienste!$C$21,IF(AH6=Dienste!$A$22,Dienste!$C$22,IF(AH6=Dienste!$A$23,Dienste!$C$23,IF(AH6=Dienste!$A$24,Dienste!$C$24,IF(AH6=Dienste!$A$25,Dienste!$C$25,IF(AH6=Dienste!$A$26,Dienste!$C$26,IF(AH6=Dienste!$A$27,Dienste!$C$27,IF(AH6=Dienste!$A$28,Dienste!$C$28,IF(AH6=Dienste!#REF!,Dienste!#REF!,IF(AH6=Dienste!#REF!,Dienste!#REF!,IF(AH6=Dienste!#REF!,Dienste!#REF!,IF(AH6=Dienste!#REF!,Dienste!#REF!,IF(AH6=Dienste!$A$33,Dienste!$C$33,IF(AH6=Dienste!$A$34,Dienste!$C$34,IF(AH6=Dienste!$A$35,Dienste!$C$35,IF(AH6=Dienste!$A$36,Dienste!$C$36,)))))))))))))))))))))))))))))))))))</f>
        <v>0</v>
      </c>
      <c r="CC6" s="27" t="e">
        <f>IF(AI6=Dienste!$A$2,Dienste!$C$2,IF(AI6=Dienste!$A$3,Dienste!$C$3,IF(AI6=Dienste!$A$4,Dienste!$C$4,IF(AI6=Dienste!$A$5,Dienste!$C$5,IF(AI6=Dienste!$A$6,Dienste!$C$6,IF(AI6=Dienste!$A$7,Dienste!$C$7,IF(AI6=Dienste!$A$8,Dienste!$C$8,IF(AI6=Dienste!$A$9,Dienste!$C$9,IF(AI6=Dienste!$A$10,Dienste!$C$10,IF(AI6=Dienste!$A$11,Dienste!$C$11,IF(AI6=Dienste!$A$12,Dienste!$C$12,IF(AI6=Dienste!$A$13,Dienste!$C$13,IF(AI6=Dienste!$A$14,Dienste!$C$14,IF(AI6=Dienste!$A$15,Dienste!$C$15,IF(AI6=Dienste!$A$16,Dienste!$C$16,IF(AI6=Dienste!$A$17,Dienste!$C$17,IF(AI6=Dienste!$A$18,Dienste!$C$18,IF(AI6=Dienste!$A$19,Dienste!$C$19,IF(AI6=Dienste!$A$20,Dienste!$C$20,IF(AI6=Dienste!$A$21,Dienste!$C$21,IF(AI6=Dienste!$A$22,Dienste!$C$22,IF(AI6=Dienste!$A$23,Dienste!$C$23,IF(AI6=Dienste!$A$24,Dienste!$C$24,IF(AI6=Dienste!$A$25,Dienste!$C$25,IF(AI6=Dienste!$A$26,Dienste!$C$26,IF(AI6=Dienste!$A$27,Dienste!$C$27,IF(AI6=Dienste!$A$28,Dienste!$C$28,IF(AI6=Dienste!#REF!,Dienste!#REF!,IF(AI6=Dienste!#REF!,Dienste!#REF!,IF(AI6=Dienste!#REF!,Dienste!#REF!,IF(AI6=Dienste!#REF!,Dienste!#REF!,IF(AI6=Dienste!$A$33,Dienste!$C$33,IF(AI6=Dienste!$A$34,Dienste!$C$34,IF(AI6=Dienste!$A$35,Dienste!$C$35,IF(AI6=Dienste!$A$36,Dienste!$C$36,)))))))))))))))))))))))))))))))))))</f>
        <v>#REF!</v>
      </c>
    </row>
    <row r="7" spans="1:81" x14ac:dyDescent="0.25">
      <c r="A7" s="109" t="s">
        <v>125</v>
      </c>
      <c r="B7" s="15" t="s">
        <v>231</v>
      </c>
      <c r="C7" s="15">
        <v>40</v>
      </c>
      <c r="D7" s="98">
        <v>0</v>
      </c>
      <c r="E7" s="104" t="s">
        <v>83</v>
      </c>
      <c r="F7" s="9" t="s">
        <v>43</v>
      </c>
      <c r="G7" s="9" t="s">
        <v>32</v>
      </c>
      <c r="H7" s="9" t="s">
        <v>83</v>
      </c>
      <c r="I7" s="9" t="s">
        <v>31</v>
      </c>
      <c r="J7" s="9" t="s">
        <v>6</v>
      </c>
      <c r="K7" s="9" t="s">
        <v>19</v>
      </c>
      <c r="L7" s="9" t="s">
        <v>83</v>
      </c>
      <c r="M7" s="9" t="s">
        <v>32</v>
      </c>
      <c r="N7" s="9" t="s">
        <v>31</v>
      </c>
      <c r="O7" s="9" t="s">
        <v>53</v>
      </c>
      <c r="P7" s="9" t="s">
        <v>65</v>
      </c>
      <c r="Q7" s="9" t="s">
        <v>69</v>
      </c>
      <c r="R7" s="9" t="s">
        <v>83</v>
      </c>
      <c r="S7" s="9" t="s">
        <v>53</v>
      </c>
      <c r="T7" s="9" t="s">
        <v>65</v>
      </c>
      <c r="U7" s="9" t="s">
        <v>83</v>
      </c>
      <c r="V7" s="9" t="s">
        <v>31</v>
      </c>
      <c r="W7" s="9" t="s">
        <v>53</v>
      </c>
      <c r="X7" s="9" t="s">
        <v>65</v>
      </c>
      <c r="Y7" s="9" t="s">
        <v>83</v>
      </c>
      <c r="Z7" s="9" t="s">
        <v>83</v>
      </c>
      <c r="AA7" s="9" t="s">
        <v>31</v>
      </c>
      <c r="AB7" s="9" t="s">
        <v>31</v>
      </c>
      <c r="AC7" s="9" t="s">
        <v>31</v>
      </c>
      <c r="AD7" s="9" t="s">
        <v>31</v>
      </c>
      <c r="AE7" s="9" t="s">
        <v>32</v>
      </c>
      <c r="AF7" s="9" t="s">
        <v>83</v>
      </c>
      <c r="AG7" s="9" t="s">
        <v>53</v>
      </c>
      <c r="AH7" s="9" t="s">
        <v>65</v>
      </c>
      <c r="AI7" s="15"/>
      <c r="AJ7" s="109">
        <v>11.6</v>
      </c>
      <c r="AK7" s="15">
        <v>168</v>
      </c>
      <c r="AL7" s="109">
        <v>172</v>
      </c>
      <c r="AM7" s="15">
        <v>15.6</v>
      </c>
      <c r="AN7" s="170">
        <v>4</v>
      </c>
      <c r="AO7" s="109">
        <v>27.199999999999989</v>
      </c>
      <c r="AP7" s="15">
        <v>5</v>
      </c>
      <c r="AQ7" s="98">
        <v>2</v>
      </c>
      <c r="AR7" s="109">
        <v>48</v>
      </c>
      <c r="AS7" s="15">
        <v>43.123076923076923</v>
      </c>
      <c r="AT7" s="98">
        <v>26</v>
      </c>
      <c r="AU7" s="96" t="e">
        <f t="shared" si="2"/>
        <v>#REF!</v>
      </c>
      <c r="AV7" s="27" t="e">
        <f t="shared" si="0"/>
        <v>#REF!</v>
      </c>
      <c r="AW7" s="58" t="e">
        <f t="shared" si="1"/>
        <v>#REF!</v>
      </c>
      <c r="AY7" s="27">
        <f>IF(E7=Dienste!$A$2,Dienste!$C$2,IF(E7=Dienste!$A$3,Dienste!$C$3,IF(E7=Dienste!$A$4,Dienste!$C$4,IF(E7=Dienste!$A$5,Dienste!$C$5,IF(E7=Dienste!$A$6,Dienste!$C$6,IF(E7=Dienste!$A$7,Dienste!$C$7,IF(E7=Dienste!$A$8,Dienste!$C$8,IF(E7=Dienste!$A$9,Dienste!$C$9,IF(E7=Dienste!$A$10,Dienste!$C$10,IF(E7=Dienste!$A$11,Dienste!$C$11,IF(E7=Dienste!$A$12,Dienste!$C$12,IF(E7=Dienste!$A$13,Dienste!$C$13,IF(E7=Dienste!$A$14,Dienste!$C$14,IF(E7=Dienste!$A$15,Dienste!$C$15,IF(E7=Dienste!$A$16,Dienste!$C$16,IF(E7=Dienste!$A$17,Dienste!$C$17,IF(E7=Dienste!$A$18,Dienste!$C$18,IF(E7=Dienste!$A$19,Dienste!$C$19,IF(E7=Dienste!$A$20,Dienste!$C$20,IF(E7=Dienste!$A$21,Dienste!$C$21,IF(E7=Dienste!$A$22,Dienste!$C$22,IF(E7=Dienste!$A$23,Dienste!$C$23,IF(E7=Dienste!$A$24,Dienste!$C$24,IF(E7=Dienste!$A$25,Dienste!$C$25,IF(E7=Dienste!$A$26,Dienste!$C$26,IF(E7=Dienste!$A$27,Dienste!$C$27,IF(E7=Dienste!$A$28,Dienste!$C$28,IF(E7=Dienste!#REF!,Dienste!#REF!,IF(E7=Dienste!#REF!,Dienste!#REF!,IF(E7=Dienste!#REF!,Dienste!#REF!,IF(E7=Dienste!#REF!,Dienste!#REF!,IF(E7=Dienste!$A$33,Dienste!$C$33,IF(E7=Dienste!$A$34,Dienste!$C$34,IF(E7=Dienste!$A$35,Dienste!$C$35,IF(E7=Dienste!$A$36,Dienste!$C$36,)))))))))))))))))))))))))))))))))))</f>
        <v>0</v>
      </c>
      <c r="AZ7" s="27">
        <f>IF(F7=Dienste!$A$2,Dienste!$C$2,IF(F7=Dienste!$A$3,Dienste!$C$3,IF(F7=Dienste!$A$4,Dienste!$C$4,IF(F7=Dienste!$A$5,Dienste!$C$5,IF(F7=Dienste!$A$6,Dienste!$C$6,IF(F7=Dienste!$A$7,Dienste!$C$7,IF(F7=Dienste!$A$8,Dienste!$C$8,IF(F7=Dienste!$A$9,Dienste!$C$9,IF(F7=Dienste!$A$10,Dienste!$C$10,IF(F7=Dienste!$A$11,Dienste!$C$11,IF(F7=Dienste!$A$12,Dienste!$C$12,IF(F7=Dienste!$A$13,Dienste!$C$13,IF(F7=Dienste!$A$14,Dienste!$C$14,IF(F7=Dienste!$A$15,Dienste!$C$15,IF(F7=Dienste!$A$16,Dienste!$C$16,IF(F7=Dienste!$A$17,Dienste!$C$17,IF(F7=Dienste!$A$18,Dienste!$C$18,IF(F7=Dienste!$A$19,Dienste!$C$19,IF(F7=Dienste!$A$20,Dienste!$C$20,IF(F7=Dienste!$A$21,Dienste!$C$21,IF(F7=Dienste!$A$22,Dienste!$C$22,IF(F7=Dienste!$A$23,Dienste!$C$23,IF(F7=Dienste!$A$24,Dienste!$C$24,IF(F7=Dienste!$A$25,Dienste!$C$25,IF(F7=Dienste!$A$26,Dienste!$C$26,IF(F7=Dienste!$A$27,Dienste!$C$27,IF(F7=Dienste!$A$28,Dienste!$C$28,IF(F7=Dienste!#REF!,Dienste!#REF!,IF(F7=Dienste!#REF!,Dienste!#REF!,IF(F7=Dienste!#REF!,Dienste!#REF!,IF(F7=Dienste!#REF!,Dienste!#REF!,IF(F7=Dienste!$A$33,Dienste!$C$33,IF(F7=Dienste!$A$34,Dienste!$C$34,IF(F7=Dienste!$A$35,Dienste!$C$35,IF(F7=Dienste!$A$36,Dienste!$C$36,)))))))))))))))))))))))))))))))))))</f>
        <v>8</v>
      </c>
      <c r="BA7" s="27">
        <f>IF(G7=Dienste!$A$2,Dienste!$C$2,IF(G7=Dienste!$A$3,Dienste!$C$3,IF(G7=Dienste!$A$4,Dienste!$C$4,IF(G7=Dienste!$A$5,Dienste!$C$5,IF(G7=Dienste!$A$6,Dienste!$C$6,IF(G7=Dienste!$A$7,Dienste!$C$7,IF(G7=Dienste!$A$8,Dienste!$C$8,IF(G7=Dienste!$A$9,Dienste!$C$9,IF(G7=Dienste!$A$10,Dienste!$C$10,IF(G7=Dienste!$A$11,Dienste!$C$11,IF(G7=Dienste!$A$12,Dienste!$C$12,IF(G7=Dienste!$A$13,Dienste!$C$13,IF(G7=Dienste!$A$14,Dienste!$C$14,IF(G7=Dienste!$A$15,Dienste!$C$15,IF(G7=Dienste!$A$16,Dienste!$C$16,IF(G7=Dienste!$A$17,Dienste!$C$17,IF(G7=Dienste!$A$18,Dienste!$C$18,IF(G7=Dienste!$A$19,Dienste!$C$19,IF(G7=Dienste!$A$20,Dienste!$C$20,IF(G7=Dienste!$A$21,Dienste!$C$21,IF(G7=Dienste!$A$22,Dienste!$C$22,IF(G7=Dienste!$A$23,Dienste!$C$23,IF(G7=Dienste!$A$24,Dienste!$C$24,IF(G7=Dienste!$A$25,Dienste!$C$25,IF(G7=Dienste!$A$26,Dienste!$C$26,IF(G7=Dienste!$A$27,Dienste!$C$27,IF(G7=Dienste!$A$28,Dienste!$C$28,IF(G7=Dienste!#REF!,Dienste!#REF!,IF(G7=Dienste!#REF!,Dienste!#REF!,IF(G7=Dienste!#REF!,Dienste!#REF!,IF(G7=Dienste!#REF!,Dienste!#REF!,IF(G7=Dienste!$A$33,Dienste!$C$33,IF(G7=Dienste!$A$34,Dienste!$C$34,IF(G7=Dienste!$A$35,Dienste!$C$35,IF(G7=Dienste!$A$36,Dienste!$C$36,)))))))))))))))))))))))))))))))))))</f>
        <v>8</v>
      </c>
      <c r="BB7" s="27">
        <f>IF(H7=Dienste!$A$2,Dienste!$C$2,IF(H7=Dienste!$A$3,Dienste!$C$3,IF(H7=Dienste!$A$4,Dienste!$C$4,IF(H7=Dienste!$A$5,Dienste!$C$5,IF(H7=Dienste!$A$6,Dienste!$C$6,IF(H7=Dienste!$A$7,Dienste!$C$7,IF(H7=Dienste!$A$8,Dienste!$C$8,IF(H7=Dienste!$A$9,Dienste!$C$9,IF(H7=Dienste!$A$10,Dienste!$C$10,IF(H7=Dienste!$A$11,Dienste!$C$11,IF(H7=Dienste!$A$12,Dienste!$C$12,IF(H7=Dienste!$A$13,Dienste!$C$13,IF(H7=Dienste!$A$14,Dienste!$C$14,IF(H7=Dienste!$A$15,Dienste!$C$15,IF(H7=Dienste!$A$16,Dienste!$C$16,IF(H7=Dienste!$A$17,Dienste!$C$17,IF(H7=Dienste!$A$18,Dienste!$C$18,IF(H7=Dienste!$A$19,Dienste!$C$19,IF(H7=Dienste!$A$20,Dienste!$C$20,IF(H7=Dienste!$A$21,Dienste!$C$21,IF(H7=Dienste!$A$22,Dienste!$C$22,IF(H7=Dienste!$A$23,Dienste!$C$23,IF(H7=Dienste!$A$24,Dienste!$C$24,IF(H7=Dienste!$A$25,Dienste!$C$25,IF(H7=Dienste!$A$26,Dienste!$C$26,IF(H7=Dienste!$A$27,Dienste!$C$27,IF(H7=Dienste!$A$28,Dienste!$C$28,IF(H7=Dienste!#REF!,Dienste!#REF!,IF(H7=Dienste!#REF!,Dienste!#REF!,IF(H7=Dienste!#REF!,Dienste!#REF!,IF(H7=Dienste!#REF!,Dienste!#REF!,IF(H7=Dienste!$A$33,Dienste!$C$33,IF(H7=Dienste!$A$34,Dienste!$C$34,IF(H7=Dienste!$A$35,Dienste!$C$35,IF(H7=Dienste!$A$36,Dienste!$C$36,)))))))))))))))))))))))))))))))))))</f>
        <v>0</v>
      </c>
      <c r="BC7" s="27">
        <f>IF(I7=Dienste!$A$2,Dienste!$C$2,IF(I7=Dienste!$A$3,Dienste!$C$3,IF(I7=Dienste!$A$4,Dienste!$C$4,IF(I7=Dienste!$A$5,Dienste!$C$5,IF(I7=Dienste!$A$6,Dienste!$C$6,IF(I7=Dienste!$A$7,Dienste!$C$7,IF(I7=Dienste!$A$8,Dienste!$C$8,IF(I7=Dienste!$A$9,Dienste!$C$9,IF(I7=Dienste!$A$10,Dienste!$C$10,IF(I7=Dienste!$A$11,Dienste!$C$11,IF(I7=Dienste!$A$12,Dienste!$C$12,IF(I7=Dienste!$A$13,Dienste!$C$13,IF(I7=Dienste!$A$14,Dienste!$C$14,IF(I7=Dienste!$A$15,Dienste!$C$15,IF(I7=Dienste!$A$16,Dienste!$C$16,IF(I7=Dienste!$A$17,Dienste!$C$17,IF(I7=Dienste!$A$18,Dienste!$C$18,IF(I7=Dienste!$A$19,Dienste!$C$19,IF(I7=Dienste!$A$20,Dienste!$C$20,IF(I7=Dienste!$A$21,Dienste!$C$21,IF(I7=Dienste!$A$22,Dienste!$C$22,IF(I7=Dienste!$A$23,Dienste!$C$23,IF(I7=Dienste!$A$24,Dienste!$C$24,IF(I7=Dienste!$A$25,Dienste!$C$25,IF(I7=Dienste!$A$26,Dienste!$C$26,IF(I7=Dienste!$A$27,Dienste!$C$27,IF(I7=Dienste!$A$28,Dienste!$C$28,IF(I7=Dienste!#REF!,Dienste!#REF!,IF(I7=Dienste!#REF!,Dienste!#REF!,IF(I7=Dienste!#REF!,Dienste!#REF!,IF(I7=Dienste!#REF!,Dienste!#REF!,IF(I7=Dienste!$A$33,Dienste!$C$33,IF(I7=Dienste!$A$34,Dienste!$C$34,IF(I7=Dienste!$A$35,Dienste!$C$35,IF(I7=Dienste!$A$36,Dienste!$C$36,)))))))))))))))))))))))))))))))))))</f>
        <v>8</v>
      </c>
      <c r="BD7" s="27">
        <f>IF(J7=Dienste!$A$2,Dienste!$C$2,IF(J7=Dienste!$A$3,Dienste!$C$3,IF(J7=Dienste!$A$4,Dienste!$C$4,IF(J7=Dienste!$A$5,Dienste!$C$5,IF(J7=Dienste!$A$6,Dienste!$C$6,IF(J7=Dienste!$A$7,Dienste!$C$7,IF(J7=Dienste!$A$8,Dienste!$C$8,IF(J7=Dienste!$A$9,Dienste!$C$9,IF(J7=Dienste!$A$10,Dienste!$C$10,IF(J7=Dienste!$A$11,Dienste!$C$11,IF(J7=Dienste!$A$12,Dienste!$C$12,IF(J7=Dienste!$A$13,Dienste!$C$13,IF(J7=Dienste!$A$14,Dienste!$C$14,IF(J7=Dienste!$A$15,Dienste!$C$15,IF(J7=Dienste!$A$16,Dienste!$C$16,IF(J7=Dienste!$A$17,Dienste!$C$17,IF(J7=Dienste!$A$18,Dienste!$C$18,IF(J7=Dienste!$A$19,Dienste!$C$19,IF(J7=Dienste!$A$20,Dienste!$C$20,IF(J7=Dienste!$A$21,Dienste!$C$21,IF(J7=Dienste!$A$22,Dienste!$C$22,IF(J7=Dienste!$A$23,Dienste!$C$23,IF(J7=Dienste!$A$24,Dienste!$C$24,IF(J7=Dienste!$A$25,Dienste!$C$25,IF(J7=Dienste!$A$26,Dienste!$C$26,IF(J7=Dienste!$A$27,Dienste!$C$27,IF(J7=Dienste!$A$28,Dienste!$C$28,IF(J7=Dienste!#REF!,Dienste!#REF!,IF(J7=Dienste!#REF!,Dienste!#REF!,IF(J7=Dienste!#REF!,Dienste!#REF!,IF(J7=Dienste!#REF!,Dienste!#REF!,IF(J7=Dienste!$A$33,Dienste!$C$33,IF(J7=Dienste!$A$34,Dienste!$C$34,IF(J7=Dienste!$A$35,Dienste!$C$35,IF(J7=Dienste!$A$36,Dienste!$C$36,)))))))))))))))))))))))))))))))))))</f>
        <v>8</v>
      </c>
      <c r="BE7" s="27">
        <f>IF(K7=Dienste!$A$2,Dienste!$C$2,IF(K7=Dienste!$A$3,Dienste!$C$3,IF(K7=Dienste!$A$4,Dienste!$C$4,IF(K7=Dienste!$A$5,Dienste!$C$5,IF(K7=Dienste!$A$6,Dienste!$C$6,IF(K7=Dienste!$A$7,Dienste!$C$7,IF(K7=Dienste!$A$8,Dienste!$C$8,IF(K7=Dienste!$A$9,Dienste!$C$9,IF(K7=Dienste!$A$10,Dienste!$C$10,IF(K7=Dienste!$A$11,Dienste!$C$11,IF(K7=Dienste!$A$12,Dienste!$C$12,IF(K7=Dienste!$A$13,Dienste!$C$13,IF(K7=Dienste!$A$14,Dienste!$C$14,IF(K7=Dienste!$A$15,Dienste!$C$15,IF(K7=Dienste!$A$16,Dienste!$C$16,IF(K7=Dienste!$A$17,Dienste!$C$17,IF(K7=Dienste!$A$18,Dienste!$C$18,IF(K7=Dienste!$A$19,Dienste!$C$19,IF(K7=Dienste!$A$20,Dienste!$C$20,IF(K7=Dienste!$A$21,Dienste!$C$21,IF(K7=Dienste!$A$22,Dienste!$C$22,IF(K7=Dienste!$A$23,Dienste!$C$23,IF(K7=Dienste!$A$24,Dienste!$C$24,IF(K7=Dienste!$A$25,Dienste!$C$25,IF(K7=Dienste!$A$26,Dienste!$C$26,IF(K7=Dienste!$A$27,Dienste!$C$27,IF(K7=Dienste!$A$28,Dienste!$C$28,IF(K7=Dienste!#REF!,Dienste!#REF!,IF(K7=Dienste!#REF!,Dienste!#REF!,IF(K7=Dienste!#REF!,Dienste!#REF!,IF(K7=Dienste!#REF!,Dienste!#REF!,IF(K7=Dienste!$A$33,Dienste!$C$33,IF(K7=Dienste!$A$34,Dienste!$C$34,IF(K7=Dienste!$A$35,Dienste!$C$35,IF(K7=Dienste!$A$36,Dienste!$C$36,)))))))))))))))))))))))))))))))))))</f>
        <v>0</v>
      </c>
      <c r="BF7" s="27">
        <f>IF(L7=Dienste!$A$2,Dienste!$C$2,IF(L7=Dienste!$A$3,Dienste!$C$3,IF(L7=Dienste!$A$4,Dienste!$C$4,IF(L7=Dienste!$A$5,Dienste!$C$5,IF(L7=Dienste!$A$6,Dienste!$C$6,IF(L7=Dienste!$A$7,Dienste!$C$7,IF(L7=Dienste!$A$8,Dienste!$C$8,IF(L7=Dienste!$A$9,Dienste!$C$9,IF(L7=Dienste!$A$10,Dienste!$C$10,IF(L7=Dienste!$A$11,Dienste!$C$11,IF(L7=Dienste!$A$12,Dienste!$C$12,IF(L7=Dienste!$A$13,Dienste!$C$13,IF(L7=Dienste!$A$14,Dienste!$C$14,IF(L7=Dienste!$A$15,Dienste!$C$15,IF(L7=Dienste!$A$16,Dienste!$C$16,IF(L7=Dienste!$A$17,Dienste!$C$17,IF(L7=Dienste!$A$18,Dienste!$C$18,IF(L7=Dienste!$A$19,Dienste!$C$19,IF(L7=Dienste!$A$20,Dienste!$C$20,IF(L7=Dienste!$A$21,Dienste!$C$21,IF(L7=Dienste!$A$22,Dienste!$C$22,IF(L7=Dienste!$A$23,Dienste!$C$23,IF(L7=Dienste!$A$24,Dienste!$C$24,IF(L7=Dienste!$A$25,Dienste!$C$25,IF(L7=Dienste!$A$26,Dienste!$C$26,IF(L7=Dienste!$A$27,Dienste!$C$27,IF(L7=Dienste!$A$28,Dienste!$C$28,IF(L7=Dienste!#REF!,Dienste!#REF!,IF(L7=Dienste!#REF!,Dienste!#REF!,IF(L7=Dienste!#REF!,Dienste!#REF!,IF(L7=Dienste!#REF!,Dienste!#REF!,IF(L7=Dienste!$A$33,Dienste!$C$33,IF(L7=Dienste!$A$34,Dienste!$C$34,IF(L7=Dienste!$A$35,Dienste!$C$35,IF(L7=Dienste!$A$36,Dienste!$C$36,)))))))))))))))))))))))))))))))))))</f>
        <v>0</v>
      </c>
      <c r="BG7" s="27">
        <f>IF(M7=Dienste!$A$2,Dienste!$C$2,IF(M7=Dienste!$A$3,Dienste!$C$3,IF(M7=Dienste!$A$4,Dienste!$C$4,IF(M7=Dienste!$A$5,Dienste!$C$5,IF(M7=Dienste!$A$6,Dienste!$C$6,IF(M7=Dienste!$A$7,Dienste!$C$7,IF(M7=Dienste!$A$8,Dienste!$C$8,IF(M7=Dienste!$A$9,Dienste!$C$9,IF(M7=Dienste!$A$10,Dienste!$C$10,IF(M7=Dienste!$A$11,Dienste!$C$11,IF(M7=Dienste!$A$12,Dienste!$C$12,IF(M7=Dienste!$A$13,Dienste!$C$13,IF(M7=Dienste!$A$14,Dienste!$C$14,IF(M7=Dienste!$A$15,Dienste!$C$15,IF(M7=Dienste!$A$16,Dienste!$C$16,IF(M7=Dienste!$A$17,Dienste!$C$17,IF(M7=Dienste!$A$18,Dienste!$C$18,IF(M7=Dienste!$A$19,Dienste!$C$19,IF(M7=Dienste!$A$20,Dienste!$C$20,IF(M7=Dienste!$A$21,Dienste!$C$21,IF(M7=Dienste!$A$22,Dienste!$C$22,IF(M7=Dienste!$A$23,Dienste!$C$23,IF(M7=Dienste!$A$24,Dienste!$C$24,IF(M7=Dienste!$A$25,Dienste!$C$25,IF(M7=Dienste!$A$26,Dienste!$C$26,IF(M7=Dienste!$A$27,Dienste!$C$27,IF(M7=Dienste!$A$28,Dienste!$C$28,IF(M7=Dienste!#REF!,Dienste!#REF!,IF(M7=Dienste!#REF!,Dienste!#REF!,IF(M7=Dienste!#REF!,Dienste!#REF!,IF(M7=Dienste!#REF!,Dienste!#REF!,IF(M7=Dienste!$A$33,Dienste!$C$33,IF(M7=Dienste!$A$34,Dienste!$C$34,IF(M7=Dienste!$A$35,Dienste!$C$35,IF(M7=Dienste!$A$36,Dienste!$C$36,)))))))))))))))))))))))))))))))))))</f>
        <v>8</v>
      </c>
      <c r="BH7" s="27">
        <f>IF(N7=Dienste!$A$2,Dienste!$C$2,IF(N7=Dienste!$A$3,Dienste!$C$3,IF(N7=Dienste!$A$4,Dienste!$C$4,IF(N7=Dienste!$A$5,Dienste!$C$5,IF(N7=Dienste!$A$6,Dienste!$C$6,IF(N7=Dienste!$A$7,Dienste!$C$7,IF(N7=Dienste!$A$8,Dienste!$C$8,IF(N7=Dienste!$A$9,Dienste!$C$9,IF(N7=Dienste!$A$10,Dienste!$C$10,IF(N7=Dienste!$A$11,Dienste!$C$11,IF(N7=Dienste!$A$12,Dienste!$C$12,IF(N7=Dienste!$A$13,Dienste!$C$13,IF(N7=Dienste!$A$14,Dienste!$C$14,IF(N7=Dienste!$A$15,Dienste!$C$15,IF(N7=Dienste!$A$16,Dienste!$C$16,IF(N7=Dienste!$A$17,Dienste!$C$17,IF(N7=Dienste!$A$18,Dienste!$C$18,IF(N7=Dienste!$A$19,Dienste!$C$19,IF(N7=Dienste!$A$20,Dienste!$C$20,IF(N7=Dienste!$A$21,Dienste!$C$21,IF(N7=Dienste!$A$22,Dienste!$C$22,IF(N7=Dienste!$A$23,Dienste!$C$23,IF(N7=Dienste!$A$24,Dienste!$C$24,IF(N7=Dienste!$A$25,Dienste!$C$25,IF(N7=Dienste!$A$26,Dienste!$C$26,IF(N7=Dienste!$A$27,Dienste!$C$27,IF(N7=Dienste!$A$28,Dienste!$C$28,IF(N7=Dienste!#REF!,Dienste!#REF!,IF(N7=Dienste!#REF!,Dienste!#REF!,IF(N7=Dienste!#REF!,Dienste!#REF!,IF(N7=Dienste!#REF!,Dienste!#REF!,IF(N7=Dienste!$A$33,Dienste!$C$33,IF(N7=Dienste!$A$34,Dienste!$C$34,IF(N7=Dienste!$A$35,Dienste!$C$35,IF(N7=Dienste!$A$36,Dienste!$C$36,)))))))))))))))))))))))))))))))))))</f>
        <v>8</v>
      </c>
      <c r="BI7" s="27">
        <f>IF(O7=Dienste!$A$2,Dienste!$C$2,IF(O7=Dienste!$A$3,Dienste!$C$3,IF(O7=Dienste!$A$4,Dienste!$C$4,IF(O7=Dienste!$A$5,Dienste!$C$5,IF(O7=Dienste!$A$6,Dienste!$C$6,IF(O7=Dienste!$A$7,Dienste!$C$7,IF(O7=Dienste!$A$8,Dienste!$C$8,IF(O7=Dienste!$A$9,Dienste!$C$9,IF(O7=Dienste!$A$10,Dienste!$C$10,IF(O7=Dienste!$A$11,Dienste!$C$11,IF(O7=Dienste!$A$12,Dienste!$C$12,IF(O7=Dienste!$A$13,Dienste!$C$13,IF(O7=Dienste!$A$14,Dienste!$C$14,IF(O7=Dienste!$A$15,Dienste!$C$15,IF(O7=Dienste!$A$16,Dienste!$C$16,IF(O7=Dienste!$A$17,Dienste!$C$17,IF(O7=Dienste!$A$18,Dienste!$C$18,IF(O7=Dienste!$A$19,Dienste!$C$19,IF(O7=Dienste!$A$20,Dienste!$C$20,IF(O7=Dienste!$A$21,Dienste!$C$21,IF(O7=Dienste!$A$22,Dienste!$C$22,IF(O7=Dienste!$A$23,Dienste!$C$23,IF(O7=Dienste!$A$24,Dienste!$C$24,IF(O7=Dienste!$A$25,Dienste!$C$25,IF(O7=Dienste!$A$26,Dienste!$C$26,IF(O7=Dienste!$A$27,Dienste!$C$27,IF(O7=Dienste!$A$28,Dienste!$C$28,IF(O7=Dienste!#REF!,Dienste!#REF!,IF(O7=Dienste!#REF!,Dienste!#REF!,IF(O7=Dienste!#REF!,Dienste!#REF!,IF(O7=Dienste!#REF!,Dienste!#REF!,IF(O7=Dienste!$A$33,Dienste!$C$33,IF(O7=Dienste!$A$34,Dienste!$C$34,IF(O7=Dienste!$A$35,Dienste!$C$35,IF(O7=Dienste!$A$36,Dienste!$C$36,)))))))))))))))))))))))))))))))))))</f>
        <v>9</v>
      </c>
      <c r="BJ7" s="27">
        <f>IF(P7=Dienste!$A$2,Dienste!$C$2,IF(P7=Dienste!$A$3,Dienste!$C$3,IF(P7=Dienste!$A$4,Dienste!$C$4,IF(P7=Dienste!$A$5,Dienste!$C$5,IF(P7=Dienste!$A$6,Dienste!$C$6,IF(P7=Dienste!$A$7,Dienste!$C$7,IF(P7=Dienste!$A$8,Dienste!$C$8,IF(P7=Dienste!$A$9,Dienste!$C$9,IF(P7=Dienste!$A$10,Dienste!$C$10,IF(P7=Dienste!$A$11,Dienste!$C$11,IF(P7=Dienste!$A$12,Dienste!$C$12,IF(P7=Dienste!$A$13,Dienste!$C$13,IF(P7=Dienste!$A$14,Dienste!$C$14,IF(P7=Dienste!$A$15,Dienste!$C$15,IF(P7=Dienste!$A$16,Dienste!$C$16,IF(P7=Dienste!$A$17,Dienste!$C$17,IF(P7=Dienste!$A$18,Dienste!$C$18,IF(P7=Dienste!$A$19,Dienste!$C$19,IF(P7=Dienste!$A$20,Dienste!$C$20,IF(P7=Dienste!$A$21,Dienste!$C$21,IF(P7=Dienste!$A$22,Dienste!$C$22,IF(P7=Dienste!$A$23,Dienste!$C$23,IF(P7=Dienste!$A$24,Dienste!$C$24,IF(P7=Dienste!$A$25,Dienste!$C$25,IF(P7=Dienste!$A$26,Dienste!$C$26,IF(P7=Dienste!$A$27,Dienste!$C$27,IF(P7=Dienste!$A$28,Dienste!$C$28,IF(P7=Dienste!#REF!,Dienste!#REF!,IF(P7=Dienste!#REF!,Dienste!#REF!,IF(P7=Dienste!#REF!,Dienste!#REF!,IF(P7=Dienste!#REF!,Dienste!#REF!,IF(P7=Dienste!$A$33,Dienste!$C$33,IF(P7=Dienste!$A$34,Dienste!$C$34,IF(P7=Dienste!$A$35,Dienste!$C$35,IF(P7=Dienste!$A$36,Dienste!$C$36,)))))))))))))))))))))))))))))))))))</f>
        <v>8</v>
      </c>
      <c r="BK7" s="27">
        <f>IF(Q7=Dienste!$A$2,Dienste!$C$2,IF(Q7=Dienste!$A$3,Dienste!$C$3,IF(Q7=Dienste!$A$4,Dienste!$C$4,IF(Q7=Dienste!$A$5,Dienste!$C$5,IF(Q7=Dienste!$A$6,Dienste!$C$6,IF(Q7=Dienste!$A$7,Dienste!$C$7,IF(Q7=Dienste!$A$8,Dienste!$C$8,IF(Q7=Dienste!$A$9,Dienste!$C$9,IF(Q7=Dienste!$A$10,Dienste!$C$10,IF(Q7=Dienste!$A$11,Dienste!$C$11,IF(Q7=Dienste!$A$12,Dienste!$C$12,IF(Q7=Dienste!$A$13,Dienste!$C$13,IF(Q7=Dienste!$A$14,Dienste!$C$14,IF(Q7=Dienste!$A$15,Dienste!$C$15,IF(Q7=Dienste!$A$16,Dienste!$C$16,IF(Q7=Dienste!$A$17,Dienste!$C$17,IF(Q7=Dienste!$A$18,Dienste!$C$18,IF(Q7=Dienste!$A$19,Dienste!$C$19,IF(Q7=Dienste!$A$20,Dienste!$C$20,IF(Q7=Dienste!$A$21,Dienste!$C$21,IF(Q7=Dienste!$A$22,Dienste!$C$22,IF(Q7=Dienste!$A$23,Dienste!$C$23,IF(Q7=Dienste!$A$24,Dienste!$C$24,IF(Q7=Dienste!$A$25,Dienste!$C$25,IF(Q7=Dienste!$A$26,Dienste!$C$26,IF(Q7=Dienste!$A$27,Dienste!$C$27,IF(Q7=Dienste!$A$28,Dienste!$C$28,IF(Q7=Dienste!#REF!,Dienste!#REF!,IF(Q7=Dienste!#REF!,Dienste!#REF!,IF(Q7=Dienste!#REF!,Dienste!#REF!,IF(Q7=Dienste!#REF!,Dienste!#REF!,IF(Q7=Dienste!$A$33,Dienste!$C$33,IF(Q7=Dienste!$A$34,Dienste!$C$34,IF(Q7=Dienste!$A$35,Dienste!$C$35,IF(Q7=Dienste!$A$36,Dienste!$C$36,)))))))))))))))))))))))))))))))))))</f>
        <v>8</v>
      </c>
      <c r="BL7" s="27">
        <f>IF(R7=Dienste!$A$2,Dienste!$C$2,IF(R7=Dienste!$A$3,Dienste!$C$3,IF(R7=Dienste!$A$4,Dienste!$C$4,IF(R7=Dienste!$A$5,Dienste!$C$5,IF(R7=Dienste!$A$6,Dienste!$C$6,IF(R7=Dienste!$A$7,Dienste!$C$7,IF(R7=Dienste!$A$8,Dienste!$C$8,IF(R7=Dienste!$A$9,Dienste!$C$9,IF(R7=Dienste!$A$10,Dienste!$C$10,IF(R7=Dienste!$A$11,Dienste!$C$11,IF(R7=Dienste!$A$12,Dienste!$C$12,IF(R7=Dienste!$A$13,Dienste!$C$13,IF(R7=Dienste!$A$14,Dienste!$C$14,IF(R7=Dienste!$A$15,Dienste!$C$15,IF(R7=Dienste!$A$16,Dienste!$C$16,IF(R7=Dienste!$A$17,Dienste!$C$17,IF(R7=Dienste!$A$18,Dienste!$C$18,IF(R7=Dienste!$A$19,Dienste!$C$19,IF(R7=Dienste!$A$20,Dienste!$C$20,IF(R7=Dienste!$A$21,Dienste!$C$21,IF(R7=Dienste!$A$22,Dienste!$C$22,IF(R7=Dienste!$A$23,Dienste!$C$23,IF(R7=Dienste!$A$24,Dienste!$C$24,IF(R7=Dienste!$A$25,Dienste!$C$25,IF(R7=Dienste!$A$26,Dienste!$C$26,IF(R7=Dienste!$A$27,Dienste!$C$27,IF(R7=Dienste!$A$28,Dienste!$C$28,IF(R7=Dienste!#REF!,Dienste!#REF!,IF(R7=Dienste!#REF!,Dienste!#REF!,IF(R7=Dienste!#REF!,Dienste!#REF!,IF(R7=Dienste!#REF!,Dienste!#REF!,IF(R7=Dienste!$A$33,Dienste!$C$33,IF(R7=Dienste!$A$34,Dienste!$C$34,IF(R7=Dienste!$A$35,Dienste!$C$35,IF(R7=Dienste!$A$36,Dienste!$C$36,)))))))))))))))))))))))))))))))))))</f>
        <v>0</v>
      </c>
      <c r="BM7" s="27">
        <f>IF(S7=Dienste!$A$2,Dienste!$C$2,IF(S7=Dienste!$A$3,Dienste!$C$3,IF(S7=Dienste!$A$4,Dienste!$C$4,IF(S7=Dienste!$A$5,Dienste!$C$5,IF(S7=Dienste!$A$6,Dienste!$C$6,IF(S7=Dienste!$A$7,Dienste!$C$7,IF(S7=Dienste!$A$8,Dienste!$C$8,IF(S7=Dienste!$A$9,Dienste!$C$9,IF(S7=Dienste!$A$10,Dienste!$C$10,IF(S7=Dienste!$A$11,Dienste!$C$11,IF(S7=Dienste!$A$12,Dienste!$C$12,IF(S7=Dienste!$A$13,Dienste!$C$13,IF(S7=Dienste!$A$14,Dienste!$C$14,IF(S7=Dienste!$A$15,Dienste!$C$15,IF(S7=Dienste!$A$16,Dienste!$C$16,IF(S7=Dienste!$A$17,Dienste!$C$17,IF(S7=Dienste!$A$18,Dienste!$C$18,IF(S7=Dienste!$A$19,Dienste!$C$19,IF(S7=Dienste!$A$20,Dienste!$C$20,IF(S7=Dienste!$A$21,Dienste!$C$21,IF(S7=Dienste!$A$22,Dienste!$C$22,IF(S7=Dienste!$A$23,Dienste!$C$23,IF(S7=Dienste!$A$24,Dienste!$C$24,IF(S7=Dienste!$A$25,Dienste!$C$25,IF(S7=Dienste!$A$26,Dienste!$C$26,IF(S7=Dienste!$A$27,Dienste!$C$27,IF(S7=Dienste!$A$28,Dienste!$C$28,IF(S7=Dienste!#REF!,Dienste!#REF!,IF(S7=Dienste!#REF!,Dienste!#REF!,IF(S7=Dienste!#REF!,Dienste!#REF!,IF(S7=Dienste!#REF!,Dienste!#REF!,IF(S7=Dienste!$A$33,Dienste!$C$33,IF(S7=Dienste!$A$34,Dienste!$C$34,IF(S7=Dienste!$A$35,Dienste!$C$35,IF(S7=Dienste!$A$36,Dienste!$C$36,)))))))))))))))))))))))))))))))))))</f>
        <v>9</v>
      </c>
      <c r="BN7" s="27">
        <f>IF(T7=Dienste!$A$2,Dienste!$C$2,IF(T7=Dienste!$A$3,Dienste!$C$3,IF(T7=Dienste!$A$4,Dienste!$C$4,IF(T7=Dienste!$A$5,Dienste!$C$5,IF(T7=Dienste!$A$6,Dienste!$C$6,IF(T7=Dienste!$A$7,Dienste!$C$7,IF(T7=Dienste!$A$8,Dienste!$C$8,IF(T7=Dienste!$A$9,Dienste!$C$9,IF(T7=Dienste!$A$10,Dienste!$C$10,IF(T7=Dienste!$A$11,Dienste!$C$11,IF(T7=Dienste!$A$12,Dienste!$C$12,IF(T7=Dienste!$A$13,Dienste!$C$13,IF(T7=Dienste!$A$14,Dienste!$C$14,IF(T7=Dienste!$A$15,Dienste!$C$15,IF(T7=Dienste!$A$16,Dienste!$C$16,IF(T7=Dienste!$A$17,Dienste!$C$17,IF(T7=Dienste!$A$18,Dienste!$C$18,IF(T7=Dienste!$A$19,Dienste!$C$19,IF(T7=Dienste!$A$20,Dienste!$C$20,IF(T7=Dienste!$A$21,Dienste!$C$21,IF(T7=Dienste!$A$22,Dienste!$C$22,IF(T7=Dienste!$A$23,Dienste!$C$23,IF(T7=Dienste!$A$24,Dienste!$C$24,IF(T7=Dienste!$A$25,Dienste!$C$25,IF(T7=Dienste!$A$26,Dienste!$C$26,IF(T7=Dienste!$A$27,Dienste!$C$27,IF(T7=Dienste!$A$28,Dienste!$C$28,IF(T7=Dienste!#REF!,Dienste!#REF!,IF(T7=Dienste!#REF!,Dienste!#REF!,IF(T7=Dienste!#REF!,Dienste!#REF!,IF(T7=Dienste!#REF!,Dienste!#REF!,IF(T7=Dienste!$A$33,Dienste!$C$33,IF(T7=Dienste!$A$34,Dienste!$C$34,IF(T7=Dienste!$A$35,Dienste!$C$35,IF(T7=Dienste!$A$36,Dienste!$C$36,)))))))))))))))))))))))))))))))))))</f>
        <v>8</v>
      </c>
      <c r="BO7" s="27">
        <f>IF(U7=Dienste!$A$2,Dienste!$C$2,IF(U7=Dienste!$A$3,Dienste!$C$3,IF(U7=Dienste!$A$4,Dienste!$C$4,IF(U7=Dienste!$A$5,Dienste!$C$5,IF(U7=Dienste!$A$6,Dienste!$C$6,IF(U7=Dienste!$A$7,Dienste!$C$7,IF(U7=Dienste!$A$8,Dienste!$C$8,IF(U7=Dienste!$A$9,Dienste!$C$9,IF(U7=Dienste!$A$10,Dienste!$C$10,IF(U7=Dienste!$A$11,Dienste!$C$11,IF(U7=Dienste!$A$12,Dienste!$C$12,IF(U7=Dienste!$A$13,Dienste!$C$13,IF(U7=Dienste!$A$14,Dienste!$C$14,IF(U7=Dienste!$A$15,Dienste!$C$15,IF(U7=Dienste!$A$16,Dienste!$C$16,IF(U7=Dienste!$A$17,Dienste!$C$17,IF(U7=Dienste!$A$18,Dienste!$C$18,IF(U7=Dienste!$A$19,Dienste!$C$19,IF(U7=Dienste!$A$20,Dienste!$C$20,IF(U7=Dienste!$A$21,Dienste!$C$21,IF(U7=Dienste!$A$22,Dienste!$C$22,IF(U7=Dienste!$A$23,Dienste!$C$23,IF(U7=Dienste!$A$24,Dienste!$C$24,IF(U7=Dienste!$A$25,Dienste!$C$25,IF(U7=Dienste!$A$26,Dienste!$C$26,IF(U7=Dienste!$A$27,Dienste!$C$27,IF(U7=Dienste!$A$28,Dienste!$C$28,IF(U7=Dienste!#REF!,Dienste!#REF!,IF(U7=Dienste!#REF!,Dienste!#REF!,IF(U7=Dienste!#REF!,Dienste!#REF!,IF(U7=Dienste!#REF!,Dienste!#REF!,IF(U7=Dienste!$A$33,Dienste!$C$33,IF(U7=Dienste!$A$34,Dienste!$C$34,IF(U7=Dienste!$A$35,Dienste!$C$35,IF(U7=Dienste!$A$36,Dienste!$C$36,)))))))))))))))))))))))))))))))))))</f>
        <v>0</v>
      </c>
      <c r="BP7" s="27">
        <f>IF(V7=Dienste!$A$2,Dienste!$C$2,IF(V7=Dienste!$A$3,Dienste!$C$3,IF(V7=Dienste!$A$4,Dienste!$C$4,IF(V7=Dienste!$A$5,Dienste!$C$5,IF(V7=Dienste!$A$6,Dienste!$C$6,IF(V7=Dienste!$A$7,Dienste!$C$7,IF(V7=Dienste!$A$8,Dienste!$C$8,IF(V7=Dienste!$A$9,Dienste!$C$9,IF(V7=Dienste!$A$10,Dienste!$C$10,IF(V7=Dienste!$A$11,Dienste!$C$11,IF(V7=Dienste!$A$12,Dienste!$C$12,IF(V7=Dienste!$A$13,Dienste!$C$13,IF(V7=Dienste!$A$14,Dienste!$C$14,IF(V7=Dienste!$A$15,Dienste!$C$15,IF(V7=Dienste!$A$16,Dienste!$C$16,IF(V7=Dienste!$A$17,Dienste!$C$17,IF(V7=Dienste!$A$18,Dienste!$C$18,IF(V7=Dienste!$A$19,Dienste!$C$19,IF(V7=Dienste!$A$20,Dienste!$C$20,IF(V7=Dienste!$A$21,Dienste!$C$21,IF(V7=Dienste!$A$22,Dienste!$C$22,IF(V7=Dienste!$A$23,Dienste!$C$23,IF(V7=Dienste!$A$24,Dienste!$C$24,IF(V7=Dienste!$A$25,Dienste!$C$25,IF(V7=Dienste!$A$26,Dienste!$C$26,IF(V7=Dienste!$A$27,Dienste!$C$27,IF(V7=Dienste!$A$28,Dienste!$C$28,IF(V7=Dienste!#REF!,Dienste!#REF!,IF(V7=Dienste!#REF!,Dienste!#REF!,IF(V7=Dienste!#REF!,Dienste!#REF!,IF(V7=Dienste!#REF!,Dienste!#REF!,IF(V7=Dienste!$A$33,Dienste!$C$33,IF(V7=Dienste!$A$34,Dienste!$C$34,IF(V7=Dienste!$A$35,Dienste!$C$35,IF(V7=Dienste!$A$36,Dienste!$C$36,)))))))))))))))))))))))))))))))))))</f>
        <v>8</v>
      </c>
      <c r="BQ7" s="27">
        <f>IF(W7=Dienste!$A$2,Dienste!$C$2,IF(W7=Dienste!$A$3,Dienste!$C$3,IF(W7=Dienste!$A$4,Dienste!$C$4,IF(W7=Dienste!$A$5,Dienste!$C$5,IF(W7=Dienste!$A$6,Dienste!$C$6,IF(W7=Dienste!$A$7,Dienste!$C$7,IF(W7=Dienste!$A$8,Dienste!$C$8,IF(W7=Dienste!$A$9,Dienste!$C$9,IF(W7=Dienste!$A$10,Dienste!$C$10,IF(W7=Dienste!$A$11,Dienste!$C$11,IF(W7=Dienste!$A$12,Dienste!$C$12,IF(W7=Dienste!$A$13,Dienste!$C$13,IF(W7=Dienste!$A$14,Dienste!$C$14,IF(W7=Dienste!$A$15,Dienste!$C$15,IF(W7=Dienste!$A$16,Dienste!$C$16,IF(W7=Dienste!$A$17,Dienste!$C$17,IF(W7=Dienste!$A$18,Dienste!$C$18,IF(W7=Dienste!$A$19,Dienste!$C$19,IF(W7=Dienste!$A$20,Dienste!$C$20,IF(W7=Dienste!$A$21,Dienste!$C$21,IF(W7=Dienste!$A$22,Dienste!$C$22,IF(W7=Dienste!$A$23,Dienste!$C$23,IF(W7=Dienste!$A$24,Dienste!$C$24,IF(W7=Dienste!$A$25,Dienste!$C$25,IF(W7=Dienste!$A$26,Dienste!$C$26,IF(W7=Dienste!$A$27,Dienste!$C$27,IF(W7=Dienste!$A$28,Dienste!$C$28,IF(W7=Dienste!#REF!,Dienste!#REF!,IF(W7=Dienste!#REF!,Dienste!#REF!,IF(W7=Dienste!#REF!,Dienste!#REF!,IF(W7=Dienste!#REF!,Dienste!#REF!,IF(W7=Dienste!$A$33,Dienste!$C$33,IF(W7=Dienste!$A$34,Dienste!$C$34,IF(W7=Dienste!$A$35,Dienste!$C$35,IF(W7=Dienste!$A$36,Dienste!$C$36,)))))))))))))))))))))))))))))))))))</f>
        <v>9</v>
      </c>
      <c r="BR7" s="27">
        <f>IF(X7=Dienste!$A$2,Dienste!$C$2,IF(X7=Dienste!$A$3,Dienste!$C$3,IF(X7=Dienste!$A$4,Dienste!$C$4,IF(X7=Dienste!$A$5,Dienste!$C$5,IF(X7=Dienste!$A$6,Dienste!$C$6,IF(X7=Dienste!$A$7,Dienste!$C$7,IF(X7=Dienste!$A$8,Dienste!$C$8,IF(X7=Dienste!$A$9,Dienste!$C$9,IF(X7=Dienste!$A$10,Dienste!$C$10,IF(X7=Dienste!$A$11,Dienste!$C$11,IF(X7=Dienste!$A$12,Dienste!$C$12,IF(X7=Dienste!$A$13,Dienste!$C$13,IF(X7=Dienste!$A$14,Dienste!$C$14,IF(X7=Dienste!$A$15,Dienste!$C$15,IF(X7=Dienste!$A$16,Dienste!$C$16,IF(X7=Dienste!$A$17,Dienste!$C$17,IF(X7=Dienste!$A$18,Dienste!$C$18,IF(X7=Dienste!$A$19,Dienste!$C$19,IF(X7=Dienste!$A$20,Dienste!$C$20,IF(X7=Dienste!$A$21,Dienste!$C$21,IF(X7=Dienste!$A$22,Dienste!$C$22,IF(X7=Dienste!$A$23,Dienste!$C$23,IF(X7=Dienste!$A$24,Dienste!$C$24,IF(X7=Dienste!$A$25,Dienste!$C$25,IF(X7=Dienste!$A$26,Dienste!$C$26,IF(X7=Dienste!$A$27,Dienste!$C$27,IF(X7=Dienste!$A$28,Dienste!$C$28,IF(X7=Dienste!#REF!,Dienste!#REF!,IF(X7=Dienste!#REF!,Dienste!#REF!,IF(X7=Dienste!#REF!,Dienste!#REF!,IF(X7=Dienste!#REF!,Dienste!#REF!,IF(X7=Dienste!$A$33,Dienste!$C$33,IF(X7=Dienste!$A$34,Dienste!$C$34,IF(X7=Dienste!$A$35,Dienste!$C$35,IF(X7=Dienste!$A$36,Dienste!$C$36,)))))))))))))))))))))))))))))))))))</f>
        <v>8</v>
      </c>
      <c r="BS7" s="27">
        <f>IF(Y7=Dienste!$A$2,Dienste!$C$2,IF(Y7=Dienste!$A$3,Dienste!$C$3,IF(Y7=Dienste!$A$4,Dienste!$C$4,IF(Y7=Dienste!$A$5,Dienste!$C$5,IF(Y7=Dienste!$A$6,Dienste!$C$6,IF(Y7=Dienste!$A$7,Dienste!$C$7,IF(Y7=Dienste!$A$8,Dienste!$C$8,IF(Y7=Dienste!$A$9,Dienste!$C$9,IF(Y7=Dienste!$A$10,Dienste!$C$10,IF(Y7=Dienste!$A$11,Dienste!$C$11,IF(Y7=Dienste!$A$12,Dienste!$C$12,IF(Y7=Dienste!$A$13,Dienste!$C$13,IF(Y7=Dienste!$A$14,Dienste!$C$14,IF(Y7=Dienste!$A$15,Dienste!$C$15,IF(Y7=Dienste!$A$16,Dienste!$C$16,IF(Y7=Dienste!$A$17,Dienste!$C$17,IF(Y7=Dienste!$A$18,Dienste!$C$18,IF(Y7=Dienste!$A$19,Dienste!$C$19,IF(Y7=Dienste!$A$20,Dienste!$C$20,IF(Y7=Dienste!$A$21,Dienste!$C$21,IF(Y7=Dienste!$A$22,Dienste!$C$22,IF(Y7=Dienste!$A$23,Dienste!$C$23,IF(Y7=Dienste!$A$24,Dienste!$C$24,IF(Y7=Dienste!$A$25,Dienste!$C$25,IF(Y7=Dienste!$A$26,Dienste!$C$26,IF(Y7=Dienste!$A$27,Dienste!$C$27,IF(Y7=Dienste!$A$28,Dienste!$C$28,IF(Y7=Dienste!#REF!,Dienste!#REF!,IF(Y7=Dienste!#REF!,Dienste!#REF!,IF(Y7=Dienste!#REF!,Dienste!#REF!,IF(Y7=Dienste!#REF!,Dienste!#REF!,IF(Y7=Dienste!$A$33,Dienste!$C$33,IF(Y7=Dienste!$A$34,Dienste!$C$34,IF(Y7=Dienste!$A$35,Dienste!$C$35,IF(Y7=Dienste!$A$36,Dienste!$C$36,)))))))))))))))))))))))))))))))))))</f>
        <v>0</v>
      </c>
      <c r="BT7" s="27">
        <f>IF(Z7=Dienste!$A$2,Dienste!$C$2,IF(Z7=Dienste!$A$3,Dienste!$C$3,IF(Z7=Dienste!$A$4,Dienste!$C$4,IF(Z7=Dienste!$A$5,Dienste!$C$5,IF(Z7=Dienste!$A$6,Dienste!$C$6,IF(Z7=Dienste!$A$7,Dienste!$C$7,IF(Z7=Dienste!$A$8,Dienste!$C$8,IF(Z7=Dienste!$A$9,Dienste!$C$9,IF(Z7=Dienste!$A$10,Dienste!$C$10,IF(Z7=Dienste!$A$11,Dienste!$C$11,IF(Z7=Dienste!$A$12,Dienste!$C$12,IF(Z7=Dienste!$A$13,Dienste!$C$13,IF(Z7=Dienste!$A$14,Dienste!$C$14,IF(Z7=Dienste!$A$15,Dienste!$C$15,IF(Z7=Dienste!$A$16,Dienste!$C$16,IF(Z7=Dienste!$A$17,Dienste!$C$17,IF(Z7=Dienste!$A$18,Dienste!$C$18,IF(Z7=Dienste!$A$19,Dienste!$C$19,IF(Z7=Dienste!$A$20,Dienste!$C$20,IF(Z7=Dienste!$A$21,Dienste!$C$21,IF(Z7=Dienste!$A$22,Dienste!$C$22,IF(Z7=Dienste!$A$23,Dienste!$C$23,IF(Z7=Dienste!$A$24,Dienste!$C$24,IF(Z7=Dienste!$A$25,Dienste!$C$25,IF(Z7=Dienste!$A$26,Dienste!$C$26,IF(Z7=Dienste!$A$27,Dienste!$C$27,IF(Z7=Dienste!$A$28,Dienste!$C$28,IF(Z7=Dienste!#REF!,Dienste!#REF!,IF(Z7=Dienste!#REF!,Dienste!#REF!,IF(Z7=Dienste!#REF!,Dienste!#REF!,IF(Z7=Dienste!#REF!,Dienste!#REF!,IF(Z7=Dienste!$A$33,Dienste!$C$33,IF(Z7=Dienste!$A$34,Dienste!$C$34,IF(Z7=Dienste!$A$35,Dienste!$C$35,IF(Z7=Dienste!$A$36,Dienste!$C$36,)))))))))))))))))))))))))))))))))))</f>
        <v>0</v>
      </c>
      <c r="BU7" s="27">
        <f>IF(AA7=Dienste!$A$2,Dienste!$C$2,IF(AA7=Dienste!$A$3,Dienste!$C$3,IF(AA7=Dienste!$A$4,Dienste!$C$4,IF(AA7=Dienste!$A$5,Dienste!$C$5,IF(AA7=Dienste!$A$6,Dienste!$C$6,IF(AA7=Dienste!$A$7,Dienste!$C$7,IF(AA7=Dienste!$A$8,Dienste!$C$8,IF(AA7=Dienste!$A$9,Dienste!$C$9,IF(AA7=Dienste!$A$10,Dienste!$C$10,IF(AA7=Dienste!$A$11,Dienste!$C$11,IF(AA7=Dienste!$A$12,Dienste!$C$12,IF(AA7=Dienste!$A$13,Dienste!$C$13,IF(AA7=Dienste!$A$14,Dienste!$C$14,IF(AA7=Dienste!$A$15,Dienste!$C$15,IF(AA7=Dienste!$A$16,Dienste!$C$16,IF(AA7=Dienste!$A$17,Dienste!$C$17,IF(AA7=Dienste!$A$18,Dienste!$C$18,IF(AA7=Dienste!$A$19,Dienste!$C$19,IF(AA7=Dienste!$A$20,Dienste!$C$20,IF(AA7=Dienste!$A$21,Dienste!$C$21,IF(AA7=Dienste!$A$22,Dienste!$C$22,IF(AA7=Dienste!$A$23,Dienste!$C$23,IF(AA7=Dienste!$A$24,Dienste!$C$24,IF(AA7=Dienste!$A$25,Dienste!$C$25,IF(AA7=Dienste!$A$26,Dienste!$C$26,IF(AA7=Dienste!$A$27,Dienste!$C$27,IF(AA7=Dienste!$A$28,Dienste!$C$28,IF(AA7=Dienste!#REF!,Dienste!#REF!,IF(AA7=Dienste!#REF!,Dienste!#REF!,IF(AA7=Dienste!#REF!,Dienste!#REF!,IF(AA7=Dienste!#REF!,Dienste!#REF!,IF(AA7=Dienste!$A$33,Dienste!$C$33,IF(AA7=Dienste!$A$34,Dienste!$C$34,IF(AA7=Dienste!$A$35,Dienste!$C$35,IF(AA7=Dienste!$A$36,Dienste!$C$36,)))))))))))))))))))))))))))))))))))</f>
        <v>8</v>
      </c>
      <c r="BV7" s="27">
        <f>IF(AB7=Dienste!$A$2,Dienste!$C$2,IF(AB7=Dienste!$A$3,Dienste!$C$3,IF(AB7=Dienste!$A$4,Dienste!$C$4,IF(AB7=Dienste!$A$5,Dienste!$C$5,IF(AB7=Dienste!$A$6,Dienste!$C$6,IF(AB7=Dienste!$A$7,Dienste!$C$7,IF(AB7=Dienste!$A$8,Dienste!$C$8,IF(AB7=Dienste!$A$9,Dienste!$C$9,IF(AB7=Dienste!$A$10,Dienste!$C$10,IF(AB7=Dienste!$A$11,Dienste!$C$11,IF(AB7=Dienste!$A$12,Dienste!$C$12,IF(AB7=Dienste!$A$13,Dienste!$C$13,IF(AB7=Dienste!$A$14,Dienste!$C$14,IF(AB7=Dienste!$A$15,Dienste!$C$15,IF(AB7=Dienste!$A$16,Dienste!$C$16,IF(AB7=Dienste!$A$17,Dienste!$C$17,IF(AB7=Dienste!$A$18,Dienste!$C$18,IF(AB7=Dienste!$A$19,Dienste!$C$19,IF(AB7=Dienste!$A$20,Dienste!$C$20,IF(AB7=Dienste!$A$21,Dienste!$C$21,IF(AB7=Dienste!$A$22,Dienste!$C$22,IF(AB7=Dienste!$A$23,Dienste!$C$23,IF(AB7=Dienste!$A$24,Dienste!$C$24,IF(AB7=Dienste!$A$25,Dienste!$C$25,IF(AB7=Dienste!$A$26,Dienste!$C$26,IF(AB7=Dienste!$A$27,Dienste!$C$27,IF(AB7=Dienste!$A$28,Dienste!$C$28,IF(AB7=Dienste!#REF!,Dienste!#REF!,IF(AB7=Dienste!#REF!,Dienste!#REF!,IF(AB7=Dienste!#REF!,Dienste!#REF!,IF(AB7=Dienste!#REF!,Dienste!#REF!,IF(AB7=Dienste!$A$33,Dienste!$C$33,IF(AB7=Dienste!$A$34,Dienste!$C$34,IF(AB7=Dienste!$A$35,Dienste!$C$35,IF(AB7=Dienste!$A$36,Dienste!$C$36,)))))))))))))))))))))))))))))))))))</f>
        <v>8</v>
      </c>
      <c r="BW7" s="27">
        <f>IF(AC7=Dienste!$A$2,Dienste!$C$2,IF(AC7=Dienste!$A$3,Dienste!$C$3,IF(AC7=Dienste!$A$4,Dienste!$C$4,IF(AC7=Dienste!$A$5,Dienste!$C$5,IF(AC7=Dienste!$A$6,Dienste!$C$6,IF(AC7=Dienste!$A$7,Dienste!$C$7,IF(AC7=Dienste!$A$8,Dienste!$C$8,IF(AC7=Dienste!$A$9,Dienste!$C$9,IF(AC7=Dienste!$A$10,Dienste!$C$10,IF(AC7=Dienste!$A$11,Dienste!$C$11,IF(AC7=Dienste!$A$12,Dienste!$C$12,IF(AC7=Dienste!$A$13,Dienste!$C$13,IF(AC7=Dienste!$A$14,Dienste!$C$14,IF(AC7=Dienste!$A$15,Dienste!$C$15,IF(AC7=Dienste!$A$16,Dienste!$C$16,IF(AC7=Dienste!$A$17,Dienste!$C$17,IF(AC7=Dienste!$A$18,Dienste!$C$18,IF(AC7=Dienste!$A$19,Dienste!$C$19,IF(AC7=Dienste!$A$20,Dienste!$C$20,IF(AC7=Dienste!$A$21,Dienste!$C$21,IF(AC7=Dienste!$A$22,Dienste!$C$22,IF(AC7=Dienste!$A$23,Dienste!$C$23,IF(AC7=Dienste!$A$24,Dienste!$C$24,IF(AC7=Dienste!$A$25,Dienste!$C$25,IF(AC7=Dienste!$A$26,Dienste!$C$26,IF(AC7=Dienste!$A$27,Dienste!$C$27,IF(AC7=Dienste!$A$28,Dienste!$C$28,IF(AC7=Dienste!#REF!,Dienste!#REF!,IF(AC7=Dienste!#REF!,Dienste!#REF!,IF(AC7=Dienste!#REF!,Dienste!#REF!,IF(AC7=Dienste!#REF!,Dienste!#REF!,IF(AC7=Dienste!$A$33,Dienste!$C$33,IF(AC7=Dienste!$A$34,Dienste!$C$34,IF(AC7=Dienste!$A$35,Dienste!$C$35,IF(AC7=Dienste!$A$36,Dienste!$C$36,)))))))))))))))))))))))))))))))))))</f>
        <v>8</v>
      </c>
      <c r="BX7" s="27">
        <f>IF(AD7=Dienste!$A$2,Dienste!$C$2,IF(AD7=Dienste!$A$3,Dienste!$C$3,IF(AD7=Dienste!$A$4,Dienste!$C$4,IF(AD7=Dienste!$A$5,Dienste!$C$5,IF(AD7=Dienste!$A$6,Dienste!$C$6,IF(AD7=Dienste!$A$7,Dienste!$C$7,IF(AD7=Dienste!$A$8,Dienste!$C$8,IF(AD7=Dienste!$A$9,Dienste!$C$9,IF(AD7=Dienste!$A$10,Dienste!$C$10,IF(AD7=Dienste!$A$11,Dienste!$C$11,IF(AD7=Dienste!$A$12,Dienste!$C$12,IF(AD7=Dienste!$A$13,Dienste!$C$13,IF(AD7=Dienste!$A$14,Dienste!$C$14,IF(AD7=Dienste!$A$15,Dienste!$C$15,IF(AD7=Dienste!$A$16,Dienste!$C$16,IF(AD7=Dienste!$A$17,Dienste!$C$17,IF(AD7=Dienste!$A$18,Dienste!$C$18,IF(AD7=Dienste!$A$19,Dienste!$C$19,IF(AD7=Dienste!$A$20,Dienste!$C$20,IF(AD7=Dienste!$A$21,Dienste!$C$21,IF(AD7=Dienste!$A$22,Dienste!$C$22,IF(AD7=Dienste!$A$23,Dienste!$C$23,IF(AD7=Dienste!$A$24,Dienste!$C$24,IF(AD7=Dienste!$A$25,Dienste!$C$25,IF(AD7=Dienste!$A$26,Dienste!$C$26,IF(AD7=Dienste!$A$27,Dienste!$C$27,IF(AD7=Dienste!$A$28,Dienste!$C$28,IF(AD7=Dienste!#REF!,Dienste!#REF!,IF(AD7=Dienste!#REF!,Dienste!#REF!,IF(AD7=Dienste!#REF!,Dienste!#REF!,IF(AD7=Dienste!#REF!,Dienste!#REF!,IF(AD7=Dienste!$A$33,Dienste!$C$33,IF(AD7=Dienste!$A$34,Dienste!$C$34,IF(AD7=Dienste!$A$35,Dienste!$C$35,IF(AD7=Dienste!$A$36,Dienste!$C$36,)))))))))))))))))))))))))))))))))))</f>
        <v>8</v>
      </c>
      <c r="BY7" s="27">
        <f>IF(AE7=Dienste!$A$2,Dienste!$C$2,IF(AE7=Dienste!$A$3,Dienste!$C$3,IF(AE7=Dienste!$A$4,Dienste!$C$4,IF(AE7=Dienste!$A$5,Dienste!$C$5,IF(AE7=Dienste!$A$6,Dienste!$C$6,IF(AE7=Dienste!$A$7,Dienste!$C$7,IF(AE7=Dienste!$A$8,Dienste!$C$8,IF(AE7=Dienste!$A$9,Dienste!$C$9,IF(AE7=Dienste!$A$10,Dienste!$C$10,IF(AE7=Dienste!$A$11,Dienste!$C$11,IF(AE7=Dienste!$A$12,Dienste!$C$12,IF(AE7=Dienste!$A$13,Dienste!$C$13,IF(AE7=Dienste!$A$14,Dienste!$C$14,IF(AE7=Dienste!$A$15,Dienste!$C$15,IF(AE7=Dienste!$A$16,Dienste!$C$16,IF(AE7=Dienste!$A$17,Dienste!$C$17,IF(AE7=Dienste!$A$18,Dienste!$C$18,IF(AE7=Dienste!$A$19,Dienste!$C$19,IF(AE7=Dienste!$A$20,Dienste!$C$20,IF(AE7=Dienste!$A$21,Dienste!$C$21,IF(AE7=Dienste!$A$22,Dienste!$C$22,IF(AE7=Dienste!$A$23,Dienste!$C$23,IF(AE7=Dienste!$A$24,Dienste!$C$24,IF(AE7=Dienste!$A$25,Dienste!$C$25,IF(AE7=Dienste!$A$26,Dienste!$C$26,IF(AE7=Dienste!$A$27,Dienste!$C$27,IF(AE7=Dienste!$A$28,Dienste!$C$28,IF(AE7=Dienste!#REF!,Dienste!#REF!,IF(AE7=Dienste!#REF!,Dienste!#REF!,IF(AE7=Dienste!#REF!,Dienste!#REF!,IF(AE7=Dienste!#REF!,Dienste!#REF!,IF(AE7=Dienste!$A$33,Dienste!$C$33,IF(AE7=Dienste!$A$34,Dienste!$C$34,IF(AE7=Dienste!$A$35,Dienste!$C$35,IF(AE7=Dienste!$A$36,Dienste!$C$36,)))))))))))))))))))))))))))))))))))</f>
        <v>8</v>
      </c>
      <c r="BZ7" s="27">
        <f>IF(AF7=Dienste!$A$2,Dienste!$C$2,IF(AF7=Dienste!$A$3,Dienste!$C$3,IF(AF7=Dienste!$A$4,Dienste!$C$4,IF(AF7=Dienste!$A$5,Dienste!$C$5,IF(AF7=Dienste!$A$6,Dienste!$C$6,IF(AF7=Dienste!$A$7,Dienste!$C$7,IF(AF7=Dienste!$A$8,Dienste!$C$8,IF(AF7=Dienste!$A$9,Dienste!$C$9,IF(AF7=Dienste!$A$10,Dienste!$C$10,IF(AF7=Dienste!$A$11,Dienste!$C$11,IF(AF7=Dienste!$A$12,Dienste!$C$12,IF(AF7=Dienste!$A$13,Dienste!$C$13,IF(AF7=Dienste!$A$14,Dienste!$C$14,IF(AF7=Dienste!$A$15,Dienste!$C$15,IF(AF7=Dienste!$A$16,Dienste!$C$16,IF(AF7=Dienste!$A$17,Dienste!$C$17,IF(AF7=Dienste!$A$18,Dienste!$C$18,IF(AF7=Dienste!$A$19,Dienste!$C$19,IF(AF7=Dienste!$A$20,Dienste!$C$20,IF(AF7=Dienste!$A$21,Dienste!$C$21,IF(AF7=Dienste!$A$22,Dienste!$C$22,IF(AF7=Dienste!$A$23,Dienste!$C$23,IF(AF7=Dienste!$A$24,Dienste!$C$24,IF(AF7=Dienste!$A$25,Dienste!$C$25,IF(AF7=Dienste!$A$26,Dienste!$C$26,IF(AF7=Dienste!$A$27,Dienste!$C$27,IF(AF7=Dienste!$A$28,Dienste!$C$28,IF(AF7=Dienste!#REF!,Dienste!#REF!,IF(AF7=Dienste!#REF!,Dienste!#REF!,IF(AF7=Dienste!#REF!,Dienste!#REF!,IF(AF7=Dienste!#REF!,Dienste!#REF!,IF(AF7=Dienste!$A$33,Dienste!$C$33,IF(AF7=Dienste!$A$34,Dienste!$C$34,IF(AF7=Dienste!$A$35,Dienste!$C$35,IF(AF7=Dienste!$A$36,Dienste!$C$36,)))))))))))))))))))))))))))))))))))</f>
        <v>0</v>
      </c>
      <c r="CA7" s="27">
        <f>IF(AG7=Dienste!$A$2,Dienste!$C$2,IF(AG7=Dienste!$A$3,Dienste!$C$3,IF(AG7=Dienste!$A$4,Dienste!$C$4,IF(AG7=Dienste!$A$5,Dienste!$C$5,IF(AG7=Dienste!$A$6,Dienste!$C$6,IF(AG7=Dienste!$A$7,Dienste!$C$7,IF(AG7=Dienste!$A$8,Dienste!$C$8,IF(AG7=Dienste!$A$9,Dienste!$C$9,IF(AG7=Dienste!$A$10,Dienste!$C$10,IF(AG7=Dienste!$A$11,Dienste!$C$11,IF(AG7=Dienste!$A$12,Dienste!$C$12,IF(AG7=Dienste!$A$13,Dienste!$C$13,IF(AG7=Dienste!$A$14,Dienste!$C$14,IF(AG7=Dienste!$A$15,Dienste!$C$15,IF(AG7=Dienste!$A$16,Dienste!$C$16,IF(AG7=Dienste!$A$17,Dienste!$C$17,IF(AG7=Dienste!$A$18,Dienste!$C$18,IF(AG7=Dienste!$A$19,Dienste!$C$19,IF(AG7=Dienste!$A$20,Dienste!$C$20,IF(AG7=Dienste!$A$21,Dienste!$C$21,IF(AG7=Dienste!$A$22,Dienste!$C$22,IF(AG7=Dienste!$A$23,Dienste!$C$23,IF(AG7=Dienste!$A$24,Dienste!$C$24,IF(AG7=Dienste!$A$25,Dienste!$C$25,IF(AG7=Dienste!$A$26,Dienste!$C$26,IF(AG7=Dienste!$A$27,Dienste!$C$27,IF(AG7=Dienste!$A$28,Dienste!$C$28,IF(AG7=Dienste!#REF!,Dienste!#REF!,IF(AG7=Dienste!#REF!,Dienste!#REF!,IF(AG7=Dienste!#REF!,Dienste!#REF!,IF(AG7=Dienste!#REF!,Dienste!#REF!,IF(AG7=Dienste!$A$33,Dienste!$C$33,IF(AG7=Dienste!$A$34,Dienste!$C$34,IF(AG7=Dienste!$A$35,Dienste!$C$35,IF(AG7=Dienste!$A$36,Dienste!$C$36,)))))))))))))))))))))))))))))))))))</f>
        <v>9</v>
      </c>
      <c r="CB7" s="27">
        <f>IF(AH7=Dienste!$A$2,Dienste!$C$2,IF(AH7=Dienste!$A$3,Dienste!$C$3,IF(AH7=Dienste!$A$4,Dienste!$C$4,IF(AH7=Dienste!$A$5,Dienste!$C$5,IF(AH7=Dienste!$A$6,Dienste!$C$6,IF(AH7=Dienste!$A$7,Dienste!$C$7,IF(AH7=Dienste!$A$8,Dienste!$C$8,IF(AH7=Dienste!$A$9,Dienste!$C$9,IF(AH7=Dienste!$A$10,Dienste!$C$10,IF(AH7=Dienste!$A$11,Dienste!$C$11,IF(AH7=Dienste!$A$12,Dienste!$C$12,IF(AH7=Dienste!$A$13,Dienste!$C$13,IF(AH7=Dienste!$A$14,Dienste!$C$14,IF(AH7=Dienste!$A$15,Dienste!$C$15,IF(AH7=Dienste!$A$16,Dienste!$C$16,IF(AH7=Dienste!$A$17,Dienste!$C$17,IF(AH7=Dienste!$A$18,Dienste!$C$18,IF(AH7=Dienste!$A$19,Dienste!$C$19,IF(AH7=Dienste!$A$20,Dienste!$C$20,IF(AH7=Dienste!$A$21,Dienste!$C$21,IF(AH7=Dienste!$A$22,Dienste!$C$22,IF(AH7=Dienste!$A$23,Dienste!$C$23,IF(AH7=Dienste!$A$24,Dienste!$C$24,IF(AH7=Dienste!$A$25,Dienste!$C$25,IF(AH7=Dienste!$A$26,Dienste!$C$26,IF(AH7=Dienste!$A$27,Dienste!$C$27,IF(AH7=Dienste!$A$28,Dienste!$C$28,IF(AH7=Dienste!#REF!,Dienste!#REF!,IF(AH7=Dienste!#REF!,Dienste!#REF!,IF(AH7=Dienste!#REF!,Dienste!#REF!,IF(AH7=Dienste!#REF!,Dienste!#REF!,IF(AH7=Dienste!$A$33,Dienste!$C$33,IF(AH7=Dienste!$A$34,Dienste!$C$34,IF(AH7=Dienste!$A$35,Dienste!$C$35,IF(AH7=Dienste!$A$36,Dienste!$C$36,)))))))))))))))))))))))))))))))))))</f>
        <v>8</v>
      </c>
      <c r="CC7" s="27" t="e">
        <f>IF(AI7=Dienste!$A$2,Dienste!$C$2,IF(AI7=Dienste!$A$3,Dienste!$C$3,IF(AI7=Dienste!$A$4,Dienste!$C$4,IF(AI7=Dienste!$A$5,Dienste!$C$5,IF(AI7=Dienste!$A$6,Dienste!$C$6,IF(AI7=Dienste!$A$7,Dienste!$C$7,IF(AI7=Dienste!$A$8,Dienste!$C$8,IF(AI7=Dienste!$A$9,Dienste!$C$9,IF(AI7=Dienste!$A$10,Dienste!$C$10,IF(AI7=Dienste!$A$11,Dienste!$C$11,IF(AI7=Dienste!$A$12,Dienste!$C$12,IF(AI7=Dienste!$A$13,Dienste!$C$13,IF(AI7=Dienste!$A$14,Dienste!$C$14,IF(AI7=Dienste!$A$15,Dienste!$C$15,IF(AI7=Dienste!$A$16,Dienste!$C$16,IF(AI7=Dienste!$A$17,Dienste!$C$17,IF(AI7=Dienste!$A$18,Dienste!$C$18,IF(AI7=Dienste!$A$19,Dienste!$C$19,IF(AI7=Dienste!$A$20,Dienste!$C$20,IF(AI7=Dienste!$A$21,Dienste!$C$21,IF(AI7=Dienste!$A$22,Dienste!$C$22,IF(AI7=Dienste!$A$23,Dienste!$C$23,IF(AI7=Dienste!$A$24,Dienste!$C$24,IF(AI7=Dienste!$A$25,Dienste!$C$25,IF(AI7=Dienste!$A$26,Dienste!$C$26,IF(AI7=Dienste!$A$27,Dienste!$C$27,IF(AI7=Dienste!$A$28,Dienste!$C$28,IF(AI7=Dienste!#REF!,Dienste!#REF!,IF(AI7=Dienste!#REF!,Dienste!#REF!,IF(AI7=Dienste!#REF!,Dienste!#REF!,IF(AI7=Dienste!#REF!,Dienste!#REF!,IF(AI7=Dienste!$A$33,Dienste!$C$33,IF(AI7=Dienste!$A$34,Dienste!$C$34,IF(AI7=Dienste!$A$35,Dienste!$C$35,IF(AI7=Dienste!$A$36,Dienste!$C$36,)))))))))))))))))))))))))))))))))))</f>
        <v>#REF!</v>
      </c>
    </row>
    <row r="8" spans="1:81" x14ac:dyDescent="0.25">
      <c r="A8" s="109" t="s">
        <v>126</v>
      </c>
      <c r="B8" s="15" t="s">
        <v>230</v>
      </c>
      <c r="C8" s="15">
        <v>40</v>
      </c>
      <c r="D8" s="98">
        <v>0</v>
      </c>
      <c r="E8" s="104" t="s">
        <v>83</v>
      </c>
      <c r="F8" s="9" t="s">
        <v>63</v>
      </c>
      <c r="G8" s="9" t="s">
        <v>63</v>
      </c>
      <c r="H8" s="9" t="s">
        <v>31</v>
      </c>
      <c r="I8" s="9" t="s">
        <v>17</v>
      </c>
      <c r="J8" s="9" t="s">
        <v>65</v>
      </c>
      <c r="K8" s="9" t="s">
        <v>83</v>
      </c>
      <c r="L8" s="9" t="s">
        <v>83</v>
      </c>
      <c r="M8" s="9" t="s">
        <v>67</v>
      </c>
      <c r="N8" s="9" t="s">
        <v>67</v>
      </c>
      <c r="O8" s="9" t="s">
        <v>67</v>
      </c>
      <c r="P8" s="9" t="s">
        <v>67</v>
      </c>
      <c r="Q8" s="9" t="s">
        <v>67</v>
      </c>
      <c r="R8" s="9" t="s">
        <v>83</v>
      </c>
      <c r="S8" s="9" t="s">
        <v>83</v>
      </c>
      <c r="T8" s="9" t="s">
        <v>31</v>
      </c>
      <c r="U8" s="9" t="s">
        <v>17</v>
      </c>
      <c r="V8" s="9" t="s">
        <v>65</v>
      </c>
      <c r="W8" s="9" t="s">
        <v>31</v>
      </c>
      <c r="X8" s="9" t="s">
        <v>83</v>
      </c>
      <c r="Y8" s="9" t="s">
        <v>19</v>
      </c>
      <c r="Z8" s="9" t="s">
        <v>83</v>
      </c>
      <c r="AA8" s="9" t="s">
        <v>43</v>
      </c>
      <c r="AB8" s="9" t="s">
        <v>31</v>
      </c>
      <c r="AC8" s="9" t="s">
        <v>31</v>
      </c>
      <c r="AD8" s="9" t="s">
        <v>31</v>
      </c>
      <c r="AE8" s="9" t="s">
        <v>6</v>
      </c>
      <c r="AF8" s="9" t="s">
        <v>83</v>
      </c>
      <c r="AG8" s="9" t="s">
        <v>83</v>
      </c>
      <c r="AH8" s="9" t="s">
        <v>31</v>
      </c>
      <c r="AI8" s="15"/>
      <c r="AJ8" s="109">
        <v>-2.25</v>
      </c>
      <c r="AK8" s="15">
        <v>168</v>
      </c>
      <c r="AL8" s="109">
        <v>160</v>
      </c>
      <c r="AM8" s="15">
        <v>-10.25</v>
      </c>
      <c r="AN8" s="170">
        <v>-8</v>
      </c>
      <c r="AO8" s="109">
        <v>31.5</v>
      </c>
      <c r="AP8" s="15">
        <v>3</v>
      </c>
      <c r="AQ8" s="98">
        <v>4</v>
      </c>
      <c r="AR8" s="109">
        <v>48</v>
      </c>
      <c r="AS8" s="15">
        <v>42.66346153846154</v>
      </c>
      <c r="AT8" s="98">
        <v>26</v>
      </c>
      <c r="AU8" s="96" t="e">
        <f t="shared" si="2"/>
        <v>#REF!</v>
      </c>
      <c r="AV8" s="27" t="e">
        <f t="shared" si="0"/>
        <v>#REF!</v>
      </c>
      <c r="AW8" s="58" t="e">
        <f t="shared" si="1"/>
        <v>#REF!</v>
      </c>
      <c r="AY8" s="27">
        <f>IF(E8=Dienste!$A$2,Dienste!$C$2,IF(E8=Dienste!$A$3,Dienste!$C$3,IF(E8=Dienste!$A$4,Dienste!$C$4,IF(E8=Dienste!$A$5,Dienste!$C$5,IF(E8=Dienste!$A$6,Dienste!$C$6,IF(E8=Dienste!$A$7,Dienste!$C$7,IF(E8=Dienste!$A$8,Dienste!$C$8,IF(E8=Dienste!$A$9,Dienste!$C$9,IF(E8=Dienste!$A$10,Dienste!$C$10,IF(E8=Dienste!$A$11,Dienste!$C$11,IF(E8=Dienste!$A$12,Dienste!$C$12,IF(E8=Dienste!$A$13,Dienste!$C$13,IF(E8=Dienste!$A$14,Dienste!$C$14,IF(E8=Dienste!$A$15,Dienste!$C$15,IF(E8=Dienste!$A$16,Dienste!$C$16,IF(E8=Dienste!$A$17,Dienste!$C$17,IF(E8=Dienste!$A$18,Dienste!$C$18,IF(E8=Dienste!$A$19,Dienste!$C$19,IF(E8=Dienste!$A$20,Dienste!$C$20,IF(E8=Dienste!$A$21,Dienste!$C$21,IF(E8=Dienste!$A$22,Dienste!$C$22,IF(E8=Dienste!$A$23,Dienste!$C$23,IF(E8=Dienste!$A$24,Dienste!$C$24,IF(E8=Dienste!$A$25,Dienste!$C$25,IF(E8=Dienste!$A$26,Dienste!$C$26,IF(E8=Dienste!$A$27,Dienste!$C$27,IF(E8=Dienste!$A$28,Dienste!$C$28,IF(E8=Dienste!#REF!,Dienste!#REF!,IF(E8=Dienste!#REF!,Dienste!#REF!,IF(E8=Dienste!#REF!,Dienste!#REF!,IF(E8=Dienste!#REF!,Dienste!#REF!,IF(E8=Dienste!$A$33,Dienste!$C$33,IF(E8=Dienste!$A$34,Dienste!$C$34,IF(E8=Dienste!$A$35,Dienste!$C$35,IF(E8=Dienste!$A$36,Dienste!$C$36,)))))))))))))))))))))))))))))))))))</f>
        <v>0</v>
      </c>
      <c r="AZ8" s="27">
        <f>IF(F8=Dienste!$A$2,Dienste!$C$2,IF(F8=Dienste!$A$3,Dienste!$C$3,IF(F8=Dienste!$A$4,Dienste!$C$4,IF(F8=Dienste!$A$5,Dienste!$C$5,IF(F8=Dienste!$A$6,Dienste!$C$6,IF(F8=Dienste!$A$7,Dienste!$C$7,IF(F8=Dienste!$A$8,Dienste!$C$8,IF(F8=Dienste!$A$9,Dienste!$C$9,IF(F8=Dienste!$A$10,Dienste!$C$10,IF(F8=Dienste!$A$11,Dienste!$C$11,IF(F8=Dienste!$A$12,Dienste!$C$12,IF(F8=Dienste!$A$13,Dienste!$C$13,IF(F8=Dienste!$A$14,Dienste!$C$14,IF(F8=Dienste!$A$15,Dienste!$C$15,IF(F8=Dienste!$A$16,Dienste!$C$16,IF(F8=Dienste!$A$17,Dienste!$C$17,IF(F8=Dienste!$A$18,Dienste!$C$18,IF(F8=Dienste!$A$19,Dienste!$C$19,IF(F8=Dienste!$A$20,Dienste!$C$20,IF(F8=Dienste!$A$21,Dienste!$C$21,IF(F8=Dienste!$A$22,Dienste!$C$22,IF(F8=Dienste!$A$23,Dienste!$C$23,IF(F8=Dienste!$A$24,Dienste!$C$24,IF(F8=Dienste!$A$25,Dienste!$C$25,IF(F8=Dienste!$A$26,Dienste!$C$26,IF(F8=Dienste!$A$27,Dienste!$C$27,IF(F8=Dienste!$A$28,Dienste!$C$28,IF(F8=Dienste!#REF!,Dienste!#REF!,IF(F8=Dienste!#REF!,Dienste!#REF!,IF(F8=Dienste!#REF!,Dienste!#REF!,IF(F8=Dienste!#REF!,Dienste!#REF!,IF(F8=Dienste!$A$33,Dienste!$C$33,IF(F8=Dienste!$A$34,Dienste!$C$34,IF(F8=Dienste!$A$35,Dienste!$C$35,IF(F8=Dienste!$A$36,Dienste!$C$36,)))))))))))))))))))))))))))))))))))</f>
        <v>8</v>
      </c>
      <c r="BA8" s="27">
        <f>IF(G8=Dienste!$A$2,Dienste!$C$2,IF(G8=Dienste!$A$3,Dienste!$C$3,IF(G8=Dienste!$A$4,Dienste!$C$4,IF(G8=Dienste!$A$5,Dienste!$C$5,IF(G8=Dienste!$A$6,Dienste!$C$6,IF(G8=Dienste!$A$7,Dienste!$C$7,IF(G8=Dienste!$A$8,Dienste!$C$8,IF(G8=Dienste!$A$9,Dienste!$C$9,IF(G8=Dienste!$A$10,Dienste!$C$10,IF(G8=Dienste!$A$11,Dienste!$C$11,IF(G8=Dienste!$A$12,Dienste!$C$12,IF(G8=Dienste!$A$13,Dienste!$C$13,IF(G8=Dienste!$A$14,Dienste!$C$14,IF(G8=Dienste!$A$15,Dienste!$C$15,IF(G8=Dienste!$A$16,Dienste!$C$16,IF(G8=Dienste!$A$17,Dienste!$C$17,IF(G8=Dienste!$A$18,Dienste!$C$18,IF(G8=Dienste!$A$19,Dienste!$C$19,IF(G8=Dienste!$A$20,Dienste!$C$20,IF(G8=Dienste!$A$21,Dienste!$C$21,IF(G8=Dienste!$A$22,Dienste!$C$22,IF(G8=Dienste!$A$23,Dienste!$C$23,IF(G8=Dienste!$A$24,Dienste!$C$24,IF(G8=Dienste!$A$25,Dienste!$C$25,IF(G8=Dienste!$A$26,Dienste!$C$26,IF(G8=Dienste!$A$27,Dienste!$C$27,IF(G8=Dienste!$A$28,Dienste!$C$28,IF(G8=Dienste!#REF!,Dienste!#REF!,IF(G8=Dienste!#REF!,Dienste!#REF!,IF(G8=Dienste!#REF!,Dienste!#REF!,IF(G8=Dienste!#REF!,Dienste!#REF!,IF(G8=Dienste!$A$33,Dienste!$C$33,IF(G8=Dienste!$A$34,Dienste!$C$34,IF(G8=Dienste!$A$35,Dienste!$C$35,IF(G8=Dienste!$A$36,Dienste!$C$36,)))))))))))))))))))))))))))))))))))</f>
        <v>8</v>
      </c>
      <c r="BB8" s="27">
        <f>IF(H8=Dienste!$A$2,Dienste!$C$2,IF(H8=Dienste!$A$3,Dienste!$C$3,IF(H8=Dienste!$A$4,Dienste!$C$4,IF(H8=Dienste!$A$5,Dienste!$C$5,IF(H8=Dienste!$A$6,Dienste!$C$6,IF(H8=Dienste!$A$7,Dienste!$C$7,IF(H8=Dienste!$A$8,Dienste!$C$8,IF(H8=Dienste!$A$9,Dienste!$C$9,IF(H8=Dienste!$A$10,Dienste!$C$10,IF(H8=Dienste!$A$11,Dienste!$C$11,IF(H8=Dienste!$A$12,Dienste!$C$12,IF(H8=Dienste!$A$13,Dienste!$C$13,IF(H8=Dienste!$A$14,Dienste!$C$14,IF(H8=Dienste!$A$15,Dienste!$C$15,IF(H8=Dienste!$A$16,Dienste!$C$16,IF(H8=Dienste!$A$17,Dienste!$C$17,IF(H8=Dienste!$A$18,Dienste!$C$18,IF(H8=Dienste!$A$19,Dienste!$C$19,IF(H8=Dienste!$A$20,Dienste!$C$20,IF(H8=Dienste!$A$21,Dienste!$C$21,IF(H8=Dienste!$A$22,Dienste!$C$22,IF(H8=Dienste!$A$23,Dienste!$C$23,IF(H8=Dienste!$A$24,Dienste!$C$24,IF(H8=Dienste!$A$25,Dienste!$C$25,IF(H8=Dienste!$A$26,Dienste!$C$26,IF(H8=Dienste!$A$27,Dienste!$C$27,IF(H8=Dienste!$A$28,Dienste!$C$28,IF(H8=Dienste!#REF!,Dienste!#REF!,IF(H8=Dienste!#REF!,Dienste!#REF!,IF(H8=Dienste!#REF!,Dienste!#REF!,IF(H8=Dienste!#REF!,Dienste!#REF!,IF(H8=Dienste!$A$33,Dienste!$C$33,IF(H8=Dienste!$A$34,Dienste!$C$34,IF(H8=Dienste!$A$35,Dienste!$C$35,IF(H8=Dienste!$A$36,Dienste!$C$36,)))))))))))))))))))))))))))))))))))</f>
        <v>8</v>
      </c>
      <c r="BC8" s="27">
        <f>IF(I8=Dienste!$A$2,Dienste!$C$2,IF(I8=Dienste!$A$3,Dienste!$C$3,IF(I8=Dienste!$A$4,Dienste!$C$4,IF(I8=Dienste!$A$5,Dienste!$C$5,IF(I8=Dienste!$A$6,Dienste!$C$6,IF(I8=Dienste!$A$7,Dienste!$C$7,IF(I8=Dienste!$A$8,Dienste!$C$8,IF(I8=Dienste!$A$9,Dienste!$C$9,IF(I8=Dienste!$A$10,Dienste!$C$10,IF(I8=Dienste!$A$11,Dienste!$C$11,IF(I8=Dienste!$A$12,Dienste!$C$12,IF(I8=Dienste!$A$13,Dienste!$C$13,IF(I8=Dienste!$A$14,Dienste!$C$14,IF(I8=Dienste!$A$15,Dienste!$C$15,IF(I8=Dienste!$A$16,Dienste!$C$16,IF(I8=Dienste!$A$17,Dienste!$C$17,IF(I8=Dienste!$A$18,Dienste!$C$18,IF(I8=Dienste!$A$19,Dienste!$C$19,IF(I8=Dienste!$A$20,Dienste!$C$20,IF(I8=Dienste!$A$21,Dienste!$C$21,IF(I8=Dienste!$A$22,Dienste!$C$22,IF(I8=Dienste!$A$23,Dienste!$C$23,IF(I8=Dienste!$A$24,Dienste!$C$24,IF(I8=Dienste!$A$25,Dienste!$C$25,IF(I8=Dienste!$A$26,Dienste!$C$26,IF(I8=Dienste!$A$27,Dienste!$C$27,IF(I8=Dienste!$A$28,Dienste!$C$28,IF(I8=Dienste!#REF!,Dienste!#REF!,IF(I8=Dienste!#REF!,Dienste!#REF!,IF(I8=Dienste!#REF!,Dienste!#REF!,IF(I8=Dienste!#REF!,Dienste!#REF!,IF(I8=Dienste!$A$33,Dienste!$C$33,IF(I8=Dienste!$A$34,Dienste!$C$34,IF(I8=Dienste!$A$35,Dienste!$C$35,IF(I8=Dienste!$A$36,Dienste!$C$36,)))))))))))))))))))))))))))))))))))</f>
        <v>8</v>
      </c>
      <c r="BD8" s="27">
        <f>IF(J8=Dienste!$A$2,Dienste!$C$2,IF(J8=Dienste!$A$3,Dienste!$C$3,IF(J8=Dienste!$A$4,Dienste!$C$4,IF(J8=Dienste!$A$5,Dienste!$C$5,IF(J8=Dienste!$A$6,Dienste!$C$6,IF(J8=Dienste!$A$7,Dienste!$C$7,IF(J8=Dienste!$A$8,Dienste!$C$8,IF(J8=Dienste!$A$9,Dienste!$C$9,IF(J8=Dienste!$A$10,Dienste!$C$10,IF(J8=Dienste!$A$11,Dienste!$C$11,IF(J8=Dienste!$A$12,Dienste!$C$12,IF(J8=Dienste!$A$13,Dienste!$C$13,IF(J8=Dienste!$A$14,Dienste!$C$14,IF(J8=Dienste!$A$15,Dienste!$C$15,IF(J8=Dienste!$A$16,Dienste!$C$16,IF(J8=Dienste!$A$17,Dienste!$C$17,IF(J8=Dienste!$A$18,Dienste!$C$18,IF(J8=Dienste!$A$19,Dienste!$C$19,IF(J8=Dienste!$A$20,Dienste!$C$20,IF(J8=Dienste!$A$21,Dienste!$C$21,IF(J8=Dienste!$A$22,Dienste!$C$22,IF(J8=Dienste!$A$23,Dienste!$C$23,IF(J8=Dienste!$A$24,Dienste!$C$24,IF(J8=Dienste!$A$25,Dienste!$C$25,IF(J8=Dienste!$A$26,Dienste!$C$26,IF(J8=Dienste!$A$27,Dienste!$C$27,IF(J8=Dienste!$A$28,Dienste!$C$28,IF(J8=Dienste!#REF!,Dienste!#REF!,IF(J8=Dienste!#REF!,Dienste!#REF!,IF(J8=Dienste!#REF!,Dienste!#REF!,IF(J8=Dienste!#REF!,Dienste!#REF!,IF(J8=Dienste!$A$33,Dienste!$C$33,IF(J8=Dienste!$A$34,Dienste!$C$34,IF(J8=Dienste!$A$35,Dienste!$C$35,IF(J8=Dienste!$A$36,Dienste!$C$36,)))))))))))))))))))))))))))))))))))</f>
        <v>8</v>
      </c>
      <c r="BE8" s="27">
        <f>IF(K8=Dienste!$A$2,Dienste!$C$2,IF(K8=Dienste!$A$3,Dienste!$C$3,IF(K8=Dienste!$A$4,Dienste!$C$4,IF(K8=Dienste!$A$5,Dienste!$C$5,IF(K8=Dienste!$A$6,Dienste!$C$6,IF(K8=Dienste!$A$7,Dienste!$C$7,IF(K8=Dienste!$A$8,Dienste!$C$8,IF(K8=Dienste!$A$9,Dienste!$C$9,IF(K8=Dienste!$A$10,Dienste!$C$10,IF(K8=Dienste!$A$11,Dienste!$C$11,IF(K8=Dienste!$A$12,Dienste!$C$12,IF(K8=Dienste!$A$13,Dienste!$C$13,IF(K8=Dienste!$A$14,Dienste!$C$14,IF(K8=Dienste!$A$15,Dienste!$C$15,IF(K8=Dienste!$A$16,Dienste!$C$16,IF(K8=Dienste!$A$17,Dienste!$C$17,IF(K8=Dienste!$A$18,Dienste!$C$18,IF(K8=Dienste!$A$19,Dienste!$C$19,IF(K8=Dienste!$A$20,Dienste!$C$20,IF(K8=Dienste!$A$21,Dienste!$C$21,IF(K8=Dienste!$A$22,Dienste!$C$22,IF(K8=Dienste!$A$23,Dienste!$C$23,IF(K8=Dienste!$A$24,Dienste!$C$24,IF(K8=Dienste!$A$25,Dienste!$C$25,IF(K8=Dienste!$A$26,Dienste!$C$26,IF(K8=Dienste!$A$27,Dienste!$C$27,IF(K8=Dienste!$A$28,Dienste!$C$28,IF(K8=Dienste!#REF!,Dienste!#REF!,IF(K8=Dienste!#REF!,Dienste!#REF!,IF(K8=Dienste!#REF!,Dienste!#REF!,IF(K8=Dienste!#REF!,Dienste!#REF!,IF(K8=Dienste!$A$33,Dienste!$C$33,IF(K8=Dienste!$A$34,Dienste!$C$34,IF(K8=Dienste!$A$35,Dienste!$C$35,IF(K8=Dienste!$A$36,Dienste!$C$36,)))))))))))))))))))))))))))))))))))</f>
        <v>0</v>
      </c>
      <c r="BF8" s="27">
        <f>IF(L8=Dienste!$A$2,Dienste!$C$2,IF(L8=Dienste!$A$3,Dienste!$C$3,IF(L8=Dienste!$A$4,Dienste!$C$4,IF(L8=Dienste!$A$5,Dienste!$C$5,IF(L8=Dienste!$A$6,Dienste!$C$6,IF(L8=Dienste!$A$7,Dienste!$C$7,IF(L8=Dienste!$A$8,Dienste!$C$8,IF(L8=Dienste!$A$9,Dienste!$C$9,IF(L8=Dienste!$A$10,Dienste!$C$10,IF(L8=Dienste!$A$11,Dienste!$C$11,IF(L8=Dienste!$A$12,Dienste!$C$12,IF(L8=Dienste!$A$13,Dienste!$C$13,IF(L8=Dienste!$A$14,Dienste!$C$14,IF(L8=Dienste!$A$15,Dienste!$C$15,IF(L8=Dienste!$A$16,Dienste!$C$16,IF(L8=Dienste!$A$17,Dienste!$C$17,IF(L8=Dienste!$A$18,Dienste!$C$18,IF(L8=Dienste!$A$19,Dienste!$C$19,IF(L8=Dienste!$A$20,Dienste!$C$20,IF(L8=Dienste!$A$21,Dienste!$C$21,IF(L8=Dienste!$A$22,Dienste!$C$22,IF(L8=Dienste!$A$23,Dienste!$C$23,IF(L8=Dienste!$A$24,Dienste!$C$24,IF(L8=Dienste!$A$25,Dienste!$C$25,IF(L8=Dienste!$A$26,Dienste!$C$26,IF(L8=Dienste!$A$27,Dienste!$C$27,IF(L8=Dienste!$A$28,Dienste!$C$28,IF(L8=Dienste!#REF!,Dienste!#REF!,IF(L8=Dienste!#REF!,Dienste!#REF!,IF(L8=Dienste!#REF!,Dienste!#REF!,IF(L8=Dienste!#REF!,Dienste!#REF!,IF(L8=Dienste!$A$33,Dienste!$C$33,IF(L8=Dienste!$A$34,Dienste!$C$34,IF(L8=Dienste!$A$35,Dienste!$C$35,IF(L8=Dienste!$A$36,Dienste!$C$36,)))))))))))))))))))))))))))))))))))</f>
        <v>0</v>
      </c>
      <c r="BG8" s="27">
        <f>IF(M8=Dienste!$A$2,Dienste!$C$2,IF(M8=Dienste!$A$3,Dienste!$C$3,IF(M8=Dienste!$A$4,Dienste!$C$4,IF(M8=Dienste!$A$5,Dienste!$C$5,IF(M8=Dienste!$A$6,Dienste!$C$6,IF(M8=Dienste!$A$7,Dienste!$C$7,IF(M8=Dienste!$A$8,Dienste!$C$8,IF(M8=Dienste!$A$9,Dienste!$C$9,IF(M8=Dienste!$A$10,Dienste!$C$10,IF(M8=Dienste!$A$11,Dienste!$C$11,IF(M8=Dienste!$A$12,Dienste!$C$12,IF(M8=Dienste!$A$13,Dienste!$C$13,IF(M8=Dienste!$A$14,Dienste!$C$14,IF(M8=Dienste!$A$15,Dienste!$C$15,IF(M8=Dienste!$A$16,Dienste!$C$16,IF(M8=Dienste!$A$17,Dienste!$C$17,IF(M8=Dienste!$A$18,Dienste!$C$18,IF(M8=Dienste!$A$19,Dienste!$C$19,IF(M8=Dienste!$A$20,Dienste!$C$20,IF(M8=Dienste!$A$21,Dienste!$C$21,IF(M8=Dienste!$A$22,Dienste!$C$22,IF(M8=Dienste!$A$23,Dienste!$C$23,IF(M8=Dienste!$A$24,Dienste!$C$24,IF(M8=Dienste!$A$25,Dienste!$C$25,IF(M8=Dienste!$A$26,Dienste!$C$26,IF(M8=Dienste!$A$27,Dienste!$C$27,IF(M8=Dienste!$A$28,Dienste!$C$28,IF(M8=Dienste!#REF!,Dienste!#REF!,IF(M8=Dienste!#REF!,Dienste!#REF!,IF(M8=Dienste!#REF!,Dienste!#REF!,IF(M8=Dienste!#REF!,Dienste!#REF!,IF(M8=Dienste!$A$33,Dienste!$C$33,IF(M8=Dienste!$A$34,Dienste!$C$34,IF(M8=Dienste!$A$35,Dienste!$C$35,IF(M8=Dienste!$A$36,Dienste!$C$36,)))))))))))))))))))))))))))))))))))</f>
        <v>8</v>
      </c>
      <c r="BH8" s="27">
        <f>IF(N8=Dienste!$A$2,Dienste!$C$2,IF(N8=Dienste!$A$3,Dienste!$C$3,IF(N8=Dienste!$A$4,Dienste!$C$4,IF(N8=Dienste!$A$5,Dienste!$C$5,IF(N8=Dienste!$A$6,Dienste!$C$6,IF(N8=Dienste!$A$7,Dienste!$C$7,IF(N8=Dienste!$A$8,Dienste!$C$8,IF(N8=Dienste!$A$9,Dienste!$C$9,IF(N8=Dienste!$A$10,Dienste!$C$10,IF(N8=Dienste!$A$11,Dienste!$C$11,IF(N8=Dienste!$A$12,Dienste!$C$12,IF(N8=Dienste!$A$13,Dienste!$C$13,IF(N8=Dienste!$A$14,Dienste!$C$14,IF(N8=Dienste!$A$15,Dienste!$C$15,IF(N8=Dienste!$A$16,Dienste!$C$16,IF(N8=Dienste!$A$17,Dienste!$C$17,IF(N8=Dienste!$A$18,Dienste!$C$18,IF(N8=Dienste!$A$19,Dienste!$C$19,IF(N8=Dienste!$A$20,Dienste!$C$20,IF(N8=Dienste!$A$21,Dienste!$C$21,IF(N8=Dienste!$A$22,Dienste!$C$22,IF(N8=Dienste!$A$23,Dienste!$C$23,IF(N8=Dienste!$A$24,Dienste!$C$24,IF(N8=Dienste!$A$25,Dienste!$C$25,IF(N8=Dienste!$A$26,Dienste!$C$26,IF(N8=Dienste!$A$27,Dienste!$C$27,IF(N8=Dienste!$A$28,Dienste!$C$28,IF(N8=Dienste!#REF!,Dienste!#REF!,IF(N8=Dienste!#REF!,Dienste!#REF!,IF(N8=Dienste!#REF!,Dienste!#REF!,IF(N8=Dienste!#REF!,Dienste!#REF!,IF(N8=Dienste!$A$33,Dienste!$C$33,IF(N8=Dienste!$A$34,Dienste!$C$34,IF(N8=Dienste!$A$35,Dienste!$C$35,IF(N8=Dienste!$A$36,Dienste!$C$36,)))))))))))))))))))))))))))))))))))</f>
        <v>8</v>
      </c>
      <c r="BI8" s="27">
        <f>IF(O8=Dienste!$A$2,Dienste!$C$2,IF(O8=Dienste!$A$3,Dienste!$C$3,IF(O8=Dienste!$A$4,Dienste!$C$4,IF(O8=Dienste!$A$5,Dienste!$C$5,IF(O8=Dienste!$A$6,Dienste!$C$6,IF(O8=Dienste!$A$7,Dienste!$C$7,IF(O8=Dienste!$A$8,Dienste!$C$8,IF(O8=Dienste!$A$9,Dienste!$C$9,IF(O8=Dienste!$A$10,Dienste!$C$10,IF(O8=Dienste!$A$11,Dienste!$C$11,IF(O8=Dienste!$A$12,Dienste!$C$12,IF(O8=Dienste!$A$13,Dienste!$C$13,IF(O8=Dienste!$A$14,Dienste!$C$14,IF(O8=Dienste!$A$15,Dienste!$C$15,IF(O8=Dienste!$A$16,Dienste!$C$16,IF(O8=Dienste!$A$17,Dienste!$C$17,IF(O8=Dienste!$A$18,Dienste!$C$18,IF(O8=Dienste!$A$19,Dienste!$C$19,IF(O8=Dienste!$A$20,Dienste!$C$20,IF(O8=Dienste!$A$21,Dienste!$C$21,IF(O8=Dienste!$A$22,Dienste!$C$22,IF(O8=Dienste!$A$23,Dienste!$C$23,IF(O8=Dienste!$A$24,Dienste!$C$24,IF(O8=Dienste!$A$25,Dienste!$C$25,IF(O8=Dienste!$A$26,Dienste!$C$26,IF(O8=Dienste!$A$27,Dienste!$C$27,IF(O8=Dienste!$A$28,Dienste!$C$28,IF(O8=Dienste!#REF!,Dienste!#REF!,IF(O8=Dienste!#REF!,Dienste!#REF!,IF(O8=Dienste!#REF!,Dienste!#REF!,IF(O8=Dienste!#REF!,Dienste!#REF!,IF(O8=Dienste!$A$33,Dienste!$C$33,IF(O8=Dienste!$A$34,Dienste!$C$34,IF(O8=Dienste!$A$35,Dienste!$C$35,IF(O8=Dienste!$A$36,Dienste!$C$36,)))))))))))))))))))))))))))))))))))</f>
        <v>8</v>
      </c>
      <c r="BJ8" s="27">
        <f>IF(P8=Dienste!$A$2,Dienste!$C$2,IF(P8=Dienste!$A$3,Dienste!$C$3,IF(P8=Dienste!$A$4,Dienste!$C$4,IF(P8=Dienste!$A$5,Dienste!$C$5,IF(P8=Dienste!$A$6,Dienste!$C$6,IF(P8=Dienste!$A$7,Dienste!$C$7,IF(P8=Dienste!$A$8,Dienste!$C$8,IF(P8=Dienste!$A$9,Dienste!$C$9,IF(P8=Dienste!$A$10,Dienste!$C$10,IF(P8=Dienste!$A$11,Dienste!$C$11,IF(P8=Dienste!$A$12,Dienste!$C$12,IF(P8=Dienste!$A$13,Dienste!$C$13,IF(P8=Dienste!$A$14,Dienste!$C$14,IF(P8=Dienste!$A$15,Dienste!$C$15,IF(P8=Dienste!$A$16,Dienste!$C$16,IF(P8=Dienste!$A$17,Dienste!$C$17,IF(P8=Dienste!$A$18,Dienste!$C$18,IF(P8=Dienste!$A$19,Dienste!$C$19,IF(P8=Dienste!$A$20,Dienste!$C$20,IF(P8=Dienste!$A$21,Dienste!$C$21,IF(P8=Dienste!$A$22,Dienste!$C$22,IF(P8=Dienste!$A$23,Dienste!$C$23,IF(P8=Dienste!$A$24,Dienste!$C$24,IF(P8=Dienste!$A$25,Dienste!$C$25,IF(P8=Dienste!$A$26,Dienste!$C$26,IF(P8=Dienste!$A$27,Dienste!$C$27,IF(P8=Dienste!$A$28,Dienste!$C$28,IF(P8=Dienste!#REF!,Dienste!#REF!,IF(P8=Dienste!#REF!,Dienste!#REF!,IF(P8=Dienste!#REF!,Dienste!#REF!,IF(P8=Dienste!#REF!,Dienste!#REF!,IF(P8=Dienste!$A$33,Dienste!$C$33,IF(P8=Dienste!$A$34,Dienste!$C$34,IF(P8=Dienste!$A$35,Dienste!$C$35,IF(P8=Dienste!$A$36,Dienste!$C$36,)))))))))))))))))))))))))))))))))))</f>
        <v>8</v>
      </c>
      <c r="BK8" s="27">
        <f>IF(Q8=Dienste!$A$2,Dienste!$C$2,IF(Q8=Dienste!$A$3,Dienste!$C$3,IF(Q8=Dienste!$A$4,Dienste!$C$4,IF(Q8=Dienste!$A$5,Dienste!$C$5,IF(Q8=Dienste!$A$6,Dienste!$C$6,IF(Q8=Dienste!$A$7,Dienste!$C$7,IF(Q8=Dienste!$A$8,Dienste!$C$8,IF(Q8=Dienste!$A$9,Dienste!$C$9,IF(Q8=Dienste!$A$10,Dienste!$C$10,IF(Q8=Dienste!$A$11,Dienste!$C$11,IF(Q8=Dienste!$A$12,Dienste!$C$12,IF(Q8=Dienste!$A$13,Dienste!$C$13,IF(Q8=Dienste!$A$14,Dienste!$C$14,IF(Q8=Dienste!$A$15,Dienste!$C$15,IF(Q8=Dienste!$A$16,Dienste!$C$16,IF(Q8=Dienste!$A$17,Dienste!$C$17,IF(Q8=Dienste!$A$18,Dienste!$C$18,IF(Q8=Dienste!$A$19,Dienste!$C$19,IF(Q8=Dienste!$A$20,Dienste!$C$20,IF(Q8=Dienste!$A$21,Dienste!$C$21,IF(Q8=Dienste!$A$22,Dienste!$C$22,IF(Q8=Dienste!$A$23,Dienste!$C$23,IF(Q8=Dienste!$A$24,Dienste!$C$24,IF(Q8=Dienste!$A$25,Dienste!$C$25,IF(Q8=Dienste!$A$26,Dienste!$C$26,IF(Q8=Dienste!$A$27,Dienste!$C$27,IF(Q8=Dienste!$A$28,Dienste!$C$28,IF(Q8=Dienste!#REF!,Dienste!#REF!,IF(Q8=Dienste!#REF!,Dienste!#REF!,IF(Q8=Dienste!#REF!,Dienste!#REF!,IF(Q8=Dienste!#REF!,Dienste!#REF!,IF(Q8=Dienste!$A$33,Dienste!$C$33,IF(Q8=Dienste!$A$34,Dienste!$C$34,IF(Q8=Dienste!$A$35,Dienste!$C$35,IF(Q8=Dienste!$A$36,Dienste!$C$36,)))))))))))))))))))))))))))))))))))</f>
        <v>8</v>
      </c>
      <c r="BL8" s="27">
        <f>IF(R8=Dienste!$A$2,Dienste!$C$2,IF(R8=Dienste!$A$3,Dienste!$C$3,IF(R8=Dienste!$A$4,Dienste!$C$4,IF(R8=Dienste!$A$5,Dienste!$C$5,IF(R8=Dienste!$A$6,Dienste!$C$6,IF(R8=Dienste!$A$7,Dienste!$C$7,IF(R8=Dienste!$A$8,Dienste!$C$8,IF(R8=Dienste!$A$9,Dienste!$C$9,IF(R8=Dienste!$A$10,Dienste!$C$10,IF(R8=Dienste!$A$11,Dienste!$C$11,IF(R8=Dienste!$A$12,Dienste!$C$12,IF(R8=Dienste!$A$13,Dienste!$C$13,IF(R8=Dienste!$A$14,Dienste!$C$14,IF(R8=Dienste!$A$15,Dienste!$C$15,IF(R8=Dienste!$A$16,Dienste!$C$16,IF(R8=Dienste!$A$17,Dienste!$C$17,IF(R8=Dienste!$A$18,Dienste!$C$18,IF(R8=Dienste!$A$19,Dienste!$C$19,IF(R8=Dienste!$A$20,Dienste!$C$20,IF(R8=Dienste!$A$21,Dienste!$C$21,IF(R8=Dienste!$A$22,Dienste!$C$22,IF(R8=Dienste!$A$23,Dienste!$C$23,IF(R8=Dienste!$A$24,Dienste!$C$24,IF(R8=Dienste!$A$25,Dienste!$C$25,IF(R8=Dienste!$A$26,Dienste!$C$26,IF(R8=Dienste!$A$27,Dienste!$C$27,IF(R8=Dienste!$A$28,Dienste!$C$28,IF(R8=Dienste!#REF!,Dienste!#REF!,IF(R8=Dienste!#REF!,Dienste!#REF!,IF(R8=Dienste!#REF!,Dienste!#REF!,IF(R8=Dienste!#REF!,Dienste!#REF!,IF(R8=Dienste!$A$33,Dienste!$C$33,IF(R8=Dienste!$A$34,Dienste!$C$34,IF(R8=Dienste!$A$35,Dienste!$C$35,IF(R8=Dienste!$A$36,Dienste!$C$36,)))))))))))))))))))))))))))))))))))</f>
        <v>0</v>
      </c>
      <c r="BM8" s="27">
        <f>IF(S8=Dienste!$A$2,Dienste!$C$2,IF(S8=Dienste!$A$3,Dienste!$C$3,IF(S8=Dienste!$A$4,Dienste!$C$4,IF(S8=Dienste!$A$5,Dienste!$C$5,IF(S8=Dienste!$A$6,Dienste!$C$6,IF(S8=Dienste!$A$7,Dienste!$C$7,IF(S8=Dienste!$A$8,Dienste!$C$8,IF(S8=Dienste!$A$9,Dienste!$C$9,IF(S8=Dienste!$A$10,Dienste!$C$10,IF(S8=Dienste!$A$11,Dienste!$C$11,IF(S8=Dienste!$A$12,Dienste!$C$12,IF(S8=Dienste!$A$13,Dienste!$C$13,IF(S8=Dienste!$A$14,Dienste!$C$14,IF(S8=Dienste!$A$15,Dienste!$C$15,IF(S8=Dienste!$A$16,Dienste!$C$16,IF(S8=Dienste!$A$17,Dienste!$C$17,IF(S8=Dienste!$A$18,Dienste!$C$18,IF(S8=Dienste!$A$19,Dienste!$C$19,IF(S8=Dienste!$A$20,Dienste!$C$20,IF(S8=Dienste!$A$21,Dienste!$C$21,IF(S8=Dienste!$A$22,Dienste!$C$22,IF(S8=Dienste!$A$23,Dienste!$C$23,IF(S8=Dienste!$A$24,Dienste!$C$24,IF(S8=Dienste!$A$25,Dienste!$C$25,IF(S8=Dienste!$A$26,Dienste!$C$26,IF(S8=Dienste!$A$27,Dienste!$C$27,IF(S8=Dienste!$A$28,Dienste!$C$28,IF(S8=Dienste!#REF!,Dienste!#REF!,IF(S8=Dienste!#REF!,Dienste!#REF!,IF(S8=Dienste!#REF!,Dienste!#REF!,IF(S8=Dienste!#REF!,Dienste!#REF!,IF(S8=Dienste!$A$33,Dienste!$C$33,IF(S8=Dienste!$A$34,Dienste!$C$34,IF(S8=Dienste!$A$35,Dienste!$C$35,IF(S8=Dienste!$A$36,Dienste!$C$36,)))))))))))))))))))))))))))))))))))</f>
        <v>0</v>
      </c>
      <c r="BN8" s="27">
        <f>IF(T8=Dienste!$A$2,Dienste!$C$2,IF(T8=Dienste!$A$3,Dienste!$C$3,IF(T8=Dienste!$A$4,Dienste!$C$4,IF(T8=Dienste!$A$5,Dienste!$C$5,IF(T8=Dienste!$A$6,Dienste!$C$6,IF(T8=Dienste!$A$7,Dienste!$C$7,IF(T8=Dienste!$A$8,Dienste!$C$8,IF(T8=Dienste!$A$9,Dienste!$C$9,IF(T8=Dienste!$A$10,Dienste!$C$10,IF(T8=Dienste!$A$11,Dienste!$C$11,IF(T8=Dienste!$A$12,Dienste!$C$12,IF(T8=Dienste!$A$13,Dienste!$C$13,IF(T8=Dienste!$A$14,Dienste!$C$14,IF(T8=Dienste!$A$15,Dienste!$C$15,IF(T8=Dienste!$A$16,Dienste!$C$16,IF(T8=Dienste!$A$17,Dienste!$C$17,IF(T8=Dienste!$A$18,Dienste!$C$18,IF(T8=Dienste!$A$19,Dienste!$C$19,IF(T8=Dienste!$A$20,Dienste!$C$20,IF(T8=Dienste!$A$21,Dienste!$C$21,IF(T8=Dienste!$A$22,Dienste!$C$22,IF(T8=Dienste!$A$23,Dienste!$C$23,IF(T8=Dienste!$A$24,Dienste!$C$24,IF(T8=Dienste!$A$25,Dienste!$C$25,IF(T8=Dienste!$A$26,Dienste!$C$26,IF(T8=Dienste!$A$27,Dienste!$C$27,IF(T8=Dienste!$A$28,Dienste!$C$28,IF(T8=Dienste!#REF!,Dienste!#REF!,IF(T8=Dienste!#REF!,Dienste!#REF!,IF(T8=Dienste!#REF!,Dienste!#REF!,IF(T8=Dienste!#REF!,Dienste!#REF!,IF(T8=Dienste!$A$33,Dienste!$C$33,IF(T8=Dienste!$A$34,Dienste!$C$34,IF(T8=Dienste!$A$35,Dienste!$C$35,IF(T8=Dienste!$A$36,Dienste!$C$36,)))))))))))))))))))))))))))))))))))</f>
        <v>8</v>
      </c>
      <c r="BO8" s="27">
        <f>IF(U8=Dienste!$A$2,Dienste!$C$2,IF(U8=Dienste!$A$3,Dienste!$C$3,IF(U8=Dienste!$A$4,Dienste!$C$4,IF(U8=Dienste!$A$5,Dienste!$C$5,IF(U8=Dienste!$A$6,Dienste!$C$6,IF(U8=Dienste!$A$7,Dienste!$C$7,IF(U8=Dienste!$A$8,Dienste!$C$8,IF(U8=Dienste!$A$9,Dienste!$C$9,IF(U8=Dienste!$A$10,Dienste!$C$10,IF(U8=Dienste!$A$11,Dienste!$C$11,IF(U8=Dienste!$A$12,Dienste!$C$12,IF(U8=Dienste!$A$13,Dienste!$C$13,IF(U8=Dienste!$A$14,Dienste!$C$14,IF(U8=Dienste!$A$15,Dienste!$C$15,IF(U8=Dienste!$A$16,Dienste!$C$16,IF(U8=Dienste!$A$17,Dienste!$C$17,IF(U8=Dienste!$A$18,Dienste!$C$18,IF(U8=Dienste!$A$19,Dienste!$C$19,IF(U8=Dienste!$A$20,Dienste!$C$20,IF(U8=Dienste!$A$21,Dienste!$C$21,IF(U8=Dienste!$A$22,Dienste!$C$22,IF(U8=Dienste!$A$23,Dienste!$C$23,IF(U8=Dienste!$A$24,Dienste!$C$24,IF(U8=Dienste!$A$25,Dienste!$C$25,IF(U8=Dienste!$A$26,Dienste!$C$26,IF(U8=Dienste!$A$27,Dienste!$C$27,IF(U8=Dienste!$A$28,Dienste!$C$28,IF(U8=Dienste!#REF!,Dienste!#REF!,IF(U8=Dienste!#REF!,Dienste!#REF!,IF(U8=Dienste!#REF!,Dienste!#REF!,IF(U8=Dienste!#REF!,Dienste!#REF!,IF(U8=Dienste!$A$33,Dienste!$C$33,IF(U8=Dienste!$A$34,Dienste!$C$34,IF(U8=Dienste!$A$35,Dienste!$C$35,IF(U8=Dienste!$A$36,Dienste!$C$36,)))))))))))))))))))))))))))))))))))</f>
        <v>8</v>
      </c>
      <c r="BP8" s="27">
        <f>IF(V8=Dienste!$A$2,Dienste!$C$2,IF(V8=Dienste!$A$3,Dienste!$C$3,IF(V8=Dienste!$A$4,Dienste!$C$4,IF(V8=Dienste!$A$5,Dienste!$C$5,IF(V8=Dienste!$A$6,Dienste!$C$6,IF(V8=Dienste!$A$7,Dienste!$C$7,IF(V8=Dienste!$A$8,Dienste!$C$8,IF(V8=Dienste!$A$9,Dienste!$C$9,IF(V8=Dienste!$A$10,Dienste!$C$10,IF(V8=Dienste!$A$11,Dienste!$C$11,IF(V8=Dienste!$A$12,Dienste!$C$12,IF(V8=Dienste!$A$13,Dienste!$C$13,IF(V8=Dienste!$A$14,Dienste!$C$14,IF(V8=Dienste!$A$15,Dienste!$C$15,IF(V8=Dienste!$A$16,Dienste!$C$16,IF(V8=Dienste!$A$17,Dienste!$C$17,IF(V8=Dienste!$A$18,Dienste!$C$18,IF(V8=Dienste!$A$19,Dienste!$C$19,IF(V8=Dienste!$A$20,Dienste!$C$20,IF(V8=Dienste!$A$21,Dienste!$C$21,IF(V8=Dienste!$A$22,Dienste!$C$22,IF(V8=Dienste!$A$23,Dienste!$C$23,IF(V8=Dienste!$A$24,Dienste!$C$24,IF(V8=Dienste!$A$25,Dienste!$C$25,IF(V8=Dienste!$A$26,Dienste!$C$26,IF(V8=Dienste!$A$27,Dienste!$C$27,IF(V8=Dienste!$A$28,Dienste!$C$28,IF(V8=Dienste!#REF!,Dienste!#REF!,IF(V8=Dienste!#REF!,Dienste!#REF!,IF(V8=Dienste!#REF!,Dienste!#REF!,IF(V8=Dienste!#REF!,Dienste!#REF!,IF(V8=Dienste!$A$33,Dienste!$C$33,IF(V8=Dienste!$A$34,Dienste!$C$34,IF(V8=Dienste!$A$35,Dienste!$C$35,IF(V8=Dienste!$A$36,Dienste!$C$36,)))))))))))))))))))))))))))))))))))</f>
        <v>8</v>
      </c>
      <c r="BQ8" s="27">
        <f>IF(W8=Dienste!$A$2,Dienste!$C$2,IF(W8=Dienste!$A$3,Dienste!$C$3,IF(W8=Dienste!$A$4,Dienste!$C$4,IF(W8=Dienste!$A$5,Dienste!$C$5,IF(W8=Dienste!$A$6,Dienste!$C$6,IF(W8=Dienste!$A$7,Dienste!$C$7,IF(W8=Dienste!$A$8,Dienste!$C$8,IF(W8=Dienste!$A$9,Dienste!$C$9,IF(W8=Dienste!$A$10,Dienste!$C$10,IF(W8=Dienste!$A$11,Dienste!$C$11,IF(W8=Dienste!$A$12,Dienste!$C$12,IF(W8=Dienste!$A$13,Dienste!$C$13,IF(W8=Dienste!$A$14,Dienste!$C$14,IF(W8=Dienste!$A$15,Dienste!$C$15,IF(W8=Dienste!$A$16,Dienste!$C$16,IF(W8=Dienste!$A$17,Dienste!$C$17,IF(W8=Dienste!$A$18,Dienste!$C$18,IF(W8=Dienste!$A$19,Dienste!$C$19,IF(W8=Dienste!$A$20,Dienste!$C$20,IF(W8=Dienste!$A$21,Dienste!$C$21,IF(W8=Dienste!$A$22,Dienste!$C$22,IF(W8=Dienste!$A$23,Dienste!$C$23,IF(W8=Dienste!$A$24,Dienste!$C$24,IF(W8=Dienste!$A$25,Dienste!$C$25,IF(W8=Dienste!$A$26,Dienste!$C$26,IF(W8=Dienste!$A$27,Dienste!$C$27,IF(W8=Dienste!$A$28,Dienste!$C$28,IF(W8=Dienste!#REF!,Dienste!#REF!,IF(W8=Dienste!#REF!,Dienste!#REF!,IF(W8=Dienste!#REF!,Dienste!#REF!,IF(W8=Dienste!#REF!,Dienste!#REF!,IF(W8=Dienste!$A$33,Dienste!$C$33,IF(W8=Dienste!$A$34,Dienste!$C$34,IF(W8=Dienste!$A$35,Dienste!$C$35,IF(W8=Dienste!$A$36,Dienste!$C$36,)))))))))))))))))))))))))))))))))))</f>
        <v>8</v>
      </c>
      <c r="BR8" s="27">
        <f>IF(X8=Dienste!$A$2,Dienste!$C$2,IF(X8=Dienste!$A$3,Dienste!$C$3,IF(X8=Dienste!$A$4,Dienste!$C$4,IF(X8=Dienste!$A$5,Dienste!$C$5,IF(X8=Dienste!$A$6,Dienste!$C$6,IF(X8=Dienste!$A$7,Dienste!$C$7,IF(X8=Dienste!$A$8,Dienste!$C$8,IF(X8=Dienste!$A$9,Dienste!$C$9,IF(X8=Dienste!$A$10,Dienste!$C$10,IF(X8=Dienste!$A$11,Dienste!$C$11,IF(X8=Dienste!$A$12,Dienste!$C$12,IF(X8=Dienste!$A$13,Dienste!$C$13,IF(X8=Dienste!$A$14,Dienste!$C$14,IF(X8=Dienste!$A$15,Dienste!$C$15,IF(X8=Dienste!$A$16,Dienste!$C$16,IF(X8=Dienste!$A$17,Dienste!$C$17,IF(X8=Dienste!$A$18,Dienste!$C$18,IF(X8=Dienste!$A$19,Dienste!$C$19,IF(X8=Dienste!$A$20,Dienste!$C$20,IF(X8=Dienste!$A$21,Dienste!$C$21,IF(X8=Dienste!$A$22,Dienste!$C$22,IF(X8=Dienste!$A$23,Dienste!$C$23,IF(X8=Dienste!$A$24,Dienste!$C$24,IF(X8=Dienste!$A$25,Dienste!$C$25,IF(X8=Dienste!$A$26,Dienste!$C$26,IF(X8=Dienste!$A$27,Dienste!$C$27,IF(X8=Dienste!$A$28,Dienste!$C$28,IF(X8=Dienste!#REF!,Dienste!#REF!,IF(X8=Dienste!#REF!,Dienste!#REF!,IF(X8=Dienste!#REF!,Dienste!#REF!,IF(X8=Dienste!#REF!,Dienste!#REF!,IF(X8=Dienste!$A$33,Dienste!$C$33,IF(X8=Dienste!$A$34,Dienste!$C$34,IF(X8=Dienste!$A$35,Dienste!$C$35,IF(X8=Dienste!$A$36,Dienste!$C$36,)))))))))))))))))))))))))))))))))))</f>
        <v>0</v>
      </c>
      <c r="BS8" s="27">
        <f>IF(Y8=Dienste!$A$2,Dienste!$C$2,IF(Y8=Dienste!$A$3,Dienste!$C$3,IF(Y8=Dienste!$A$4,Dienste!$C$4,IF(Y8=Dienste!$A$5,Dienste!$C$5,IF(Y8=Dienste!$A$6,Dienste!$C$6,IF(Y8=Dienste!$A$7,Dienste!$C$7,IF(Y8=Dienste!$A$8,Dienste!$C$8,IF(Y8=Dienste!$A$9,Dienste!$C$9,IF(Y8=Dienste!$A$10,Dienste!$C$10,IF(Y8=Dienste!$A$11,Dienste!$C$11,IF(Y8=Dienste!$A$12,Dienste!$C$12,IF(Y8=Dienste!$A$13,Dienste!$C$13,IF(Y8=Dienste!$A$14,Dienste!$C$14,IF(Y8=Dienste!$A$15,Dienste!$C$15,IF(Y8=Dienste!$A$16,Dienste!$C$16,IF(Y8=Dienste!$A$17,Dienste!$C$17,IF(Y8=Dienste!$A$18,Dienste!$C$18,IF(Y8=Dienste!$A$19,Dienste!$C$19,IF(Y8=Dienste!$A$20,Dienste!$C$20,IF(Y8=Dienste!$A$21,Dienste!$C$21,IF(Y8=Dienste!$A$22,Dienste!$C$22,IF(Y8=Dienste!$A$23,Dienste!$C$23,IF(Y8=Dienste!$A$24,Dienste!$C$24,IF(Y8=Dienste!$A$25,Dienste!$C$25,IF(Y8=Dienste!$A$26,Dienste!$C$26,IF(Y8=Dienste!$A$27,Dienste!$C$27,IF(Y8=Dienste!$A$28,Dienste!$C$28,IF(Y8=Dienste!#REF!,Dienste!#REF!,IF(Y8=Dienste!#REF!,Dienste!#REF!,IF(Y8=Dienste!#REF!,Dienste!#REF!,IF(Y8=Dienste!#REF!,Dienste!#REF!,IF(Y8=Dienste!$A$33,Dienste!$C$33,IF(Y8=Dienste!$A$34,Dienste!$C$34,IF(Y8=Dienste!$A$35,Dienste!$C$35,IF(Y8=Dienste!$A$36,Dienste!$C$36,)))))))))))))))))))))))))))))))))))</f>
        <v>0</v>
      </c>
      <c r="BT8" s="27">
        <f>IF(Z8=Dienste!$A$2,Dienste!$C$2,IF(Z8=Dienste!$A$3,Dienste!$C$3,IF(Z8=Dienste!$A$4,Dienste!$C$4,IF(Z8=Dienste!$A$5,Dienste!$C$5,IF(Z8=Dienste!$A$6,Dienste!$C$6,IF(Z8=Dienste!$A$7,Dienste!$C$7,IF(Z8=Dienste!$A$8,Dienste!$C$8,IF(Z8=Dienste!$A$9,Dienste!$C$9,IF(Z8=Dienste!$A$10,Dienste!$C$10,IF(Z8=Dienste!$A$11,Dienste!$C$11,IF(Z8=Dienste!$A$12,Dienste!$C$12,IF(Z8=Dienste!$A$13,Dienste!$C$13,IF(Z8=Dienste!$A$14,Dienste!$C$14,IF(Z8=Dienste!$A$15,Dienste!$C$15,IF(Z8=Dienste!$A$16,Dienste!$C$16,IF(Z8=Dienste!$A$17,Dienste!$C$17,IF(Z8=Dienste!$A$18,Dienste!$C$18,IF(Z8=Dienste!$A$19,Dienste!$C$19,IF(Z8=Dienste!$A$20,Dienste!$C$20,IF(Z8=Dienste!$A$21,Dienste!$C$21,IF(Z8=Dienste!$A$22,Dienste!$C$22,IF(Z8=Dienste!$A$23,Dienste!$C$23,IF(Z8=Dienste!$A$24,Dienste!$C$24,IF(Z8=Dienste!$A$25,Dienste!$C$25,IF(Z8=Dienste!$A$26,Dienste!$C$26,IF(Z8=Dienste!$A$27,Dienste!$C$27,IF(Z8=Dienste!$A$28,Dienste!$C$28,IF(Z8=Dienste!#REF!,Dienste!#REF!,IF(Z8=Dienste!#REF!,Dienste!#REF!,IF(Z8=Dienste!#REF!,Dienste!#REF!,IF(Z8=Dienste!#REF!,Dienste!#REF!,IF(Z8=Dienste!$A$33,Dienste!$C$33,IF(Z8=Dienste!$A$34,Dienste!$C$34,IF(Z8=Dienste!$A$35,Dienste!$C$35,IF(Z8=Dienste!$A$36,Dienste!$C$36,)))))))))))))))))))))))))))))))))))</f>
        <v>0</v>
      </c>
      <c r="BU8" s="27">
        <f>IF(AA8=Dienste!$A$2,Dienste!$C$2,IF(AA8=Dienste!$A$3,Dienste!$C$3,IF(AA8=Dienste!$A$4,Dienste!$C$4,IF(AA8=Dienste!$A$5,Dienste!$C$5,IF(AA8=Dienste!$A$6,Dienste!$C$6,IF(AA8=Dienste!$A$7,Dienste!$C$7,IF(AA8=Dienste!$A$8,Dienste!$C$8,IF(AA8=Dienste!$A$9,Dienste!$C$9,IF(AA8=Dienste!$A$10,Dienste!$C$10,IF(AA8=Dienste!$A$11,Dienste!$C$11,IF(AA8=Dienste!$A$12,Dienste!$C$12,IF(AA8=Dienste!$A$13,Dienste!$C$13,IF(AA8=Dienste!$A$14,Dienste!$C$14,IF(AA8=Dienste!$A$15,Dienste!$C$15,IF(AA8=Dienste!$A$16,Dienste!$C$16,IF(AA8=Dienste!$A$17,Dienste!$C$17,IF(AA8=Dienste!$A$18,Dienste!$C$18,IF(AA8=Dienste!$A$19,Dienste!$C$19,IF(AA8=Dienste!$A$20,Dienste!$C$20,IF(AA8=Dienste!$A$21,Dienste!$C$21,IF(AA8=Dienste!$A$22,Dienste!$C$22,IF(AA8=Dienste!$A$23,Dienste!$C$23,IF(AA8=Dienste!$A$24,Dienste!$C$24,IF(AA8=Dienste!$A$25,Dienste!$C$25,IF(AA8=Dienste!$A$26,Dienste!$C$26,IF(AA8=Dienste!$A$27,Dienste!$C$27,IF(AA8=Dienste!$A$28,Dienste!$C$28,IF(AA8=Dienste!#REF!,Dienste!#REF!,IF(AA8=Dienste!#REF!,Dienste!#REF!,IF(AA8=Dienste!#REF!,Dienste!#REF!,IF(AA8=Dienste!#REF!,Dienste!#REF!,IF(AA8=Dienste!$A$33,Dienste!$C$33,IF(AA8=Dienste!$A$34,Dienste!$C$34,IF(AA8=Dienste!$A$35,Dienste!$C$35,IF(AA8=Dienste!$A$36,Dienste!$C$36,)))))))))))))))))))))))))))))))))))</f>
        <v>8</v>
      </c>
      <c r="BV8" s="27">
        <f>IF(AB8=Dienste!$A$2,Dienste!$C$2,IF(AB8=Dienste!$A$3,Dienste!$C$3,IF(AB8=Dienste!$A$4,Dienste!$C$4,IF(AB8=Dienste!$A$5,Dienste!$C$5,IF(AB8=Dienste!$A$6,Dienste!$C$6,IF(AB8=Dienste!$A$7,Dienste!$C$7,IF(AB8=Dienste!$A$8,Dienste!$C$8,IF(AB8=Dienste!$A$9,Dienste!$C$9,IF(AB8=Dienste!$A$10,Dienste!$C$10,IF(AB8=Dienste!$A$11,Dienste!$C$11,IF(AB8=Dienste!$A$12,Dienste!$C$12,IF(AB8=Dienste!$A$13,Dienste!$C$13,IF(AB8=Dienste!$A$14,Dienste!$C$14,IF(AB8=Dienste!$A$15,Dienste!$C$15,IF(AB8=Dienste!$A$16,Dienste!$C$16,IF(AB8=Dienste!$A$17,Dienste!$C$17,IF(AB8=Dienste!$A$18,Dienste!$C$18,IF(AB8=Dienste!$A$19,Dienste!$C$19,IF(AB8=Dienste!$A$20,Dienste!$C$20,IF(AB8=Dienste!$A$21,Dienste!$C$21,IF(AB8=Dienste!$A$22,Dienste!$C$22,IF(AB8=Dienste!$A$23,Dienste!$C$23,IF(AB8=Dienste!$A$24,Dienste!$C$24,IF(AB8=Dienste!$A$25,Dienste!$C$25,IF(AB8=Dienste!$A$26,Dienste!$C$26,IF(AB8=Dienste!$A$27,Dienste!$C$27,IF(AB8=Dienste!$A$28,Dienste!$C$28,IF(AB8=Dienste!#REF!,Dienste!#REF!,IF(AB8=Dienste!#REF!,Dienste!#REF!,IF(AB8=Dienste!#REF!,Dienste!#REF!,IF(AB8=Dienste!#REF!,Dienste!#REF!,IF(AB8=Dienste!$A$33,Dienste!$C$33,IF(AB8=Dienste!$A$34,Dienste!$C$34,IF(AB8=Dienste!$A$35,Dienste!$C$35,IF(AB8=Dienste!$A$36,Dienste!$C$36,)))))))))))))))))))))))))))))))))))</f>
        <v>8</v>
      </c>
      <c r="BW8" s="27">
        <f>IF(AC8=Dienste!$A$2,Dienste!$C$2,IF(AC8=Dienste!$A$3,Dienste!$C$3,IF(AC8=Dienste!$A$4,Dienste!$C$4,IF(AC8=Dienste!$A$5,Dienste!$C$5,IF(AC8=Dienste!$A$6,Dienste!$C$6,IF(AC8=Dienste!$A$7,Dienste!$C$7,IF(AC8=Dienste!$A$8,Dienste!$C$8,IF(AC8=Dienste!$A$9,Dienste!$C$9,IF(AC8=Dienste!$A$10,Dienste!$C$10,IF(AC8=Dienste!$A$11,Dienste!$C$11,IF(AC8=Dienste!$A$12,Dienste!$C$12,IF(AC8=Dienste!$A$13,Dienste!$C$13,IF(AC8=Dienste!$A$14,Dienste!$C$14,IF(AC8=Dienste!$A$15,Dienste!$C$15,IF(AC8=Dienste!$A$16,Dienste!$C$16,IF(AC8=Dienste!$A$17,Dienste!$C$17,IF(AC8=Dienste!$A$18,Dienste!$C$18,IF(AC8=Dienste!$A$19,Dienste!$C$19,IF(AC8=Dienste!$A$20,Dienste!$C$20,IF(AC8=Dienste!$A$21,Dienste!$C$21,IF(AC8=Dienste!$A$22,Dienste!$C$22,IF(AC8=Dienste!$A$23,Dienste!$C$23,IF(AC8=Dienste!$A$24,Dienste!$C$24,IF(AC8=Dienste!$A$25,Dienste!$C$25,IF(AC8=Dienste!$A$26,Dienste!$C$26,IF(AC8=Dienste!$A$27,Dienste!$C$27,IF(AC8=Dienste!$A$28,Dienste!$C$28,IF(AC8=Dienste!#REF!,Dienste!#REF!,IF(AC8=Dienste!#REF!,Dienste!#REF!,IF(AC8=Dienste!#REF!,Dienste!#REF!,IF(AC8=Dienste!#REF!,Dienste!#REF!,IF(AC8=Dienste!$A$33,Dienste!$C$33,IF(AC8=Dienste!$A$34,Dienste!$C$34,IF(AC8=Dienste!$A$35,Dienste!$C$35,IF(AC8=Dienste!$A$36,Dienste!$C$36,)))))))))))))))))))))))))))))))))))</f>
        <v>8</v>
      </c>
      <c r="BX8" s="27">
        <f>IF(AD8=Dienste!$A$2,Dienste!$C$2,IF(AD8=Dienste!$A$3,Dienste!$C$3,IF(AD8=Dienste!$A$4,Dienste!$C$4,IF(AD8=Dienste!$A$5,Dienste!$C$5,IF(AD8=Dienste!$A$6,Dienste!$C$6,IF(AD8=Dienste!$A$7,Dienste!$C$7,IF(AD8=Dienste!$A$8,Dienste!$C$8,IF(AD8=Dienste!$A$9,Dienste!$C$9,IF(AD8=Dienste!$A$10,Dienste!$C$10,IF(AD8=Dienste!$A$11,Dienste!$C$11,IF(AD8=Dienste!$A$12,Dienste!$C$12,IF(AD8=Dienste!$A$13,Dienste!$C$13,IF(AD8=Dienste!$A$14,Dienste!$C$14,IF(AD8=Dienste!$A$15,Dienste!$C$15,IF(AD8=Dienste!$A$16,Dienste!$C$16,IF(AD8=Dienste!$A$17,Dienste!$C$17,IF(AD8=Dienste!$A$18,Dienste!$C$18,IF(AD8=Dienste!$A$19,Dienste!$C$19,IF(AD8=Dienste!$A$20,Dienste!$C$20,IF(AD8=Dienste!$A$21,Dienste!$C$21,IF(AD8=Dienste!$A$22,Dienste!$C$22,IF(AD8=Dienste!$A$23,Dienste!$C$23,IF(AD8=Dienste!$A$24,Dienste!$C$24,IF(AD8=Dienste!$A$25,Dienste!$C$25,IF(AD8=Dienste!$A$26,Dienste!$C$26,IF(AD8=Dienste!$A$27,Dienste!$C$27,IF(AD8=Dienste!$A$28,Dienste!$C$28,IF(AD8=Dienste!#REF!,Dienste!#REF!,IF(AD8=Dienste!#REF!,Dienste!#REF!,IF(AD8=Dienste!#REF!,Dienste!#REF!,IF(AD8=Dienste!#REF!,Dienste!#REF!,IF(AD8=Dienste!$A$33,Dienste!$C$33,IF(AD8=Dienste!$A$34,Dienste!$C$34,IF(AD8=Dienste!$A$35,Dienste!$C$35,IF(AD8=Dienste!$A$36,Dienste!$C$36,)))))))))))))))))))))))))))))))))))</f>
        <v>8</v>
      </c>
      <c r="BY8" s="27">
        <f>IF(AE8=Dienste!$A$2,Dienste!$C$2,IF(AE8=Dienste!$A$3,Dienste!$C$3,IF(AE8=Dienste!$A$4,Dienste!$C$4,IF(AE8=Dienste!$A$5,Dienste!$C$5,IF(AE8=Dienste!$A$6,Dienste!$C$6,IF(AE8=Dienste!$A$7,Dienste!$C$7,IF(AE8=Dienste!$A$8,Dienste!$C$8,IF(AE8=Dienste!$A$9,Dienste!$C$9,IF(AE8=Dienste!$A$10,Dienste!$C$10,IF(AE8=Dienste!$A$11,Dienste!$C$11,IF(AE8=Dienste!$A$12,Dienste!$C$12,IF(AE8=Dienste!$A$13,Dienste!$C$13,IF(AE8=Dienste!$A$14,Dienste!$C$14,IF(AE8=Dienste!$A$15,Dienste!$C$15,IF(AE8=Dienste!$A$16,Dienste!$C$16,IF(AE8=Dienste!$A$17,Dienste!$C$17,IF(AE8=Dienste!$A$18,Dienste!$C$18,IF(AE8=Dienste!$A$19,Dienste!$C$19,IF(AE8=Dienste!$A$20,Dienste!$C$20,IF(AE8=Dienste!$A$21,Dienste!$C$21,IF(AE8=Dienste!$A$22,Dienste!$C$22,IF(AE8=Dienste!$A$23,Dienste!$C$23,IF(AE8=Dienste!$A$24,Dienste!$C$24,IF(AE8=Dienste!$A$25,Dienste!$C$25,IF(AE8=Dienste!$A$26,Dienste!$C$26,IF(AE8=Dienste!$A$27,Dienste!$C$27,IF(AE8=Dienste!$A$28,Dienste!$C$28,IF(AE8=Dienste!#REF!,Dienste!#REF!,IF(AE8=Dienste!#REF!,Dienste!#REF!,IF(AE8=Dienste!#REF!,Dienste!#REF!,IF(AE8=Dienste!#REF!,Dienste!#REF!,IF(AE8=Dienste!$A$33,Dienste!$C$33,IF(AE8=Dienste!$A$34,Dienste!$C$34,IF(AE8=Dienste!$A$35,Dienste!$C$35,IF(AE8=Dienste!$A$36,Dienste!$C$36,)))))))))))))))))))))))))))))))))))</f>
        <v>8</v>
      </c>
      <c r="BZ8" s="27">
        <f>IF(AF8=Dienste!$A$2,Dienste!$C$2,IF(AF8=Dienste!$A$3,Dienste!$C$3,IF(AF8=Dienste!$A$4,Dienste!$C$4,IF(AF8=Dienste!$A$5,Dienste!$C$5,IF(AF8=Dienste!$A$6,Dienste!$C$6,IF(AF8=Dienste!$A$7,Dienste!$C$7,IF(AF8=Dienste!$A$8,Dienste!$C$8,IF(AF8=Dienste!$A$9,Dienste!$C$9,IF(AF8=Dienste!$A$10,Dienste!$C$10,IF(AF8=Dienste!$A$11,Dienste!$C$11,IF(AF8=Dienste!$A$12,Dienste!$C$12,IF(AF8=Dienste!$A$13,Dienste!$C$13,IF(AF8=Dienste!$A$14,Dienste!$C$14,IF(AF8=Dienste!$A$15,Dienste!$C$15,IF(AF8=Dienste!$A$16,Dienste!$C$16,IF(AF8=Dienste!$A$17,Dienste!$C$17,IF(AF8=Dienste!$A$18,Dienste!$C$18,IF(AF8=Dienste!$A$19,Dienste!$C$19,IF(AF8=Dienste!$A$20,Dienste!$C$20,IF(AF8=Dienste!$A$21,Dienste!$C$21,IF(AF8=Dienste!$A$22,Dienste!$C$22,IF(AF8=Dienste!$A$23,Dienste!$C$23,IF(AF8=Dienste!$A$24,Dienste!$C$24,IF(AF8=Dienste!$A$25,Dienste!$C$25,IF(AF8=Dienste!$A$26,Dienste!$C$26,IF(AF8=Dienste!$A$27,Dienste!$C$27,IF(AF8=Dienste!$A$28,Dienste!$C$28,IF(AF8=Dienste!#REF!,Dienste!#REF!,IF(AF8=Dienste!#REF!,Dienste!#REF!,IF(AF8=Dienste!#REF!,Dienste!#REF!,IF(AF8=Dienste!#REF!,Dienste!#REF!,IF(AF8=Dienste!$A$33,Dienste!$C$33,IF(AF8=Dienste!$A$34,Dienste!$C$34,IF(AF8=Dienste!$A$35,Dienste!$C$35,IF(AF8=Dienste!$A$36,Dienste!$C$36,)))))))))))))))))))))))))))))))))))</f>
        <v>0</v>
      </c>
      <c r="CA8" s="27">
        <f>IF(AG8=Dienste!$A$2,Dienste!$C$2,IF(AG8=Dienste!$A$3,Dienste!$C$3,IF(AG8=Dienste!$A$4,Dienste!$C$4,IF(AG8=Dienste!$A$5,Dienste!$C$5,IF(AG8=Dienste!$A$6,Dienste!$C$6,IF(AG8=Dienste!$A$7,Dienste!$C$7,IF(AG8=Dienste!$A$8,Dienste!$C$8,IF(AG8=Dienste!$A$9,Dienste!$C$9,IF(AG8=Dienste!$A$10,Dienste!$C$10,IF(AG8=Dienste!$A$11,Dienste!$C$11,IF(AG8=Dienste!$A$12,Dienste!$C$12,IF(AG8=Dienste!$A$13,Dienste!$C$13,IF(AG8=Dienste!$A$14,Dienste!$C$14,IF(AG8=Dienste!$A$15,Dienste!$C$15,IF(AG8=Dienste!$A$16,Dienste!$C$16,IF(AG8=Dienste!$A$17,Dienste!$C$17,IF(AG8=Dienste!$A$18,Dienste!$C$18,IF(AG8=Dienste!$A$19,Dienste!$C$19,IF(AG8=Dienste!$A$20,Dienste!$C$20,IF(AG8=Dienste!$A$21,Dienste!$C$21,IF(AG8=Dienste!$A$22,Dienste!$C$22,IF(AG8=Dienste!$A$23,Dienste!$C$23,IF(AG8=Dienste!$A$24,Dienste!$C$24,IF(AG8=Dienste!$A$25,Dienste!$C$25,IF(AG8=Dienste!$A$26,Dienste!$C$26,IF(AG8=Dienste!$A$27,Dienste!$C$27,IF(AG8=Dienste!$A$28,Dienste!$C$28,IF(AG8=Dienste!#REF!,Dienste!#REF!,IF(AG8=Dienste!#REF!,Dienste!#REF!,IF(AG8=Dienste!#REF!,Dienste!#REF!,IF(AG8=Dienste!#REF!,Dienste!#REF!,IF(AG8=Dienste!$A$33,Dienste!$C$33,IF(AG8=Dienste!$A$34,Dienste!$C$34,IF(AG8=Dienste!$A$35,Dienste!$C$35,IF(AG8=Dienste!$A$36,Dienste!$C$36,)))))))))))))))))))))))))))))))))))</f>
        <v>0</v>
      </c>
      <c r="CB8" s="27">
        <f>IF(AH8=Dienste!$A$2,Dienste!$C$2,IF(AH8=Dienste!$A$3,Dienste!$C$3,IF(AH8=Dienste!$A$4,Dienste!$C$4,IF(AH8=Dienste!$A$5,Dienste!$C$5,IF(AH8=Dienste!$A$6,Dienste!$C$6,IF(AH8=Dienste!$A$7,Dienste!$C$7,IF(AH8=Dienste!$A$8,Dienste!$C$8,IF(AH8=Dienste!$A$9,Dienste!$C$9,IF(AH8=Dienste!$A$10,Dienste!$C$10,IF(AH8=Dienste!$A$11,Dienste!$C$11,IF(AH8=Dienste!$A$12,Dienste!$C$12,IF(AH8=Dienste!$A$13,Dienste!$C$13,IF(AH8=Dienste!$A$14,Dienste!$C$14,IF(AH8=Dienste!$A$15,Dienste!$C$15,IF(AH8=Dienste!$A$16,Dienste!$C$16,IF(AH8=Dienste!$A$17,Dienste!$C$17,IF(AH8=Dienste!$A$18,Dienste!$C$18,IF(AH8=Dienste!$A$19,Dienste!$C$19,IF(AH8=Dienste!$A$20,Dienste!$C$20,IF(AH8=Dienste!$A$21,Dienste!$C$21,IF(AH8=Dienste!$A$22,Dienste!$C$22,IF(AH8=Dienste!$A$23,Dienste!$C$23,IF(AH8=Dienste!$A$24,Dienste!$C$24,IF(AH8=Dienste!$A$25,Dienste!$C$25,IF(AH8=Dienste!$A$26,Dienste!$C$26,IF(AH8=Dienste!$A$27,Dienste!$C$27,IF(AH8=Dienste!$A$28,Dienste!$C$28,IF(AH8=Dienste!#REF!,Dienste!#REF!,IF(AH8=Dienste!#REF!,Dienste!#REF!,IF(AH8=Dienste!#REF!,Dienste!#REF!,IF(AH8=Dienste!#REF!,Dienste!#REF!,IF(AH8=Dienste!$A$33,Dienste!$C$33,IF(AH8=Dienste!$A$34,Dienste!$C$34,IF(AH8=Dienste!$A$35,Dienste!$C$35,IF(AH8=Dienste!$A$36,Dienste!$C$36,)))))))))))))))))))))))))))))))))))</f>
        <v>8</v>
      </c>
      <c r="CC8" s="27" t="e">
        <f>IF(AI8=Dienste!$A$2,Dienste!$C$2,IF(AI8=Dienste!$A$3,Dienste!$C$3,IF(AI8=Dienste!$A$4,Dienste!$C$4,IF(AI8=Dienste!$A$5,Dienste!$C$5,IF(AI8=Dienste!$A$6,Dienste!$C$6,IF(AI8=Dienste!$A$7,Dienste!$C$7,IF(AI8=Dienste!$A$8,Dienste!$C$8,IF(AI8=Dienste!$A$9,Dienste!$C$9,IF(AI8=Dienste!$A$10,Dienste!$C$10,IF(AI8=Dienste!$A$11,Dienste!$C$11,IF(AI8=Dienste!$A$12,Dienste!$C$12,IF(AI8=Dienste!$A$13,Dienste!$C$13,IF(AI8=Dienste!$A$14,Dienste!$C$14,IF(AI8=Dienste!$A$15,Dienste!$C$15,IF(AI8=Dienste!$A$16,Dienste!$C$16,IF(AI8=Dienste!$A$17,Dienste!$C$17,IF(AI8=Dienste!$A$18,Dienste!$C$18,IF(AI8=Dienste!$A$19,Dienste!$C$19,IF(AI8=Dienste!$A$20,Dienste!$C$20,IF(AI8=Dienste!$A$21,Dienste!$C$21,IF(AI8=Dienste!$A$22,Dienste!$C$22,IF(AI8=Dienste!$A$23,Dienste!$C$23,IF(AI8=Dienste!$A$24,Dienste!$C$24,IF(AI8=Dienste!$A$25,Dienste!$C$25,IF(AI8=Dienste!$A$26,Dienste!$C$26,IF(AI8=Dienste!$A$27,Dienste!$C$27,IF(AI8=Dienste!$A$28,Dienste!$C$28,IF(AI8=Dienste!#REF!,Dienste!#REF!,IF(AI8=Dienste!#REF!,Dienste!#REF!,IF(AI8=Dienste!#REF!,Dienste!#REF!,IF(AI8=Dienste!#REF!,Dienste!#REF!,IF(AI8=Dienste!$A$33,Dienste!$C$33,IF(AI8=Dienste!$A$34,Dienste!$C$34,IF(AI8=Dienste!$A$35,Dienste!$C$35,IF(AI8=Dienste!$A$36,Dienste!$C$36,)))))))))))))))))))))))))))))))))))</f>
        <v>#REF!</v>
      </c>
    </row>
    <row r="9" spans="1:81" x14ac:dyDescent="0.25">
      <c r="A9" s="109" t="s">
        <v>127</v>
      </c>
      <c r="B9" s="15" t="s">
        <v>231</v>
      </c>
      <c r="C9" s="15">
        <v>26.67</v>
      </c>
      <c r="D9" s="98">
        <v>0</v>
      </c>
      <c r="E9" s="104" t="s">
        <v>83</v>
      </c>
      <c r="F9" s="9" t="s">
        <v>83</v>
      </c>
      <c r="G9" s="9" t="s">
        <v>5</v>
      </c>
      <c r="H9" s="9" t="s">
        <v>5</v>
      </c>
      <c r="I9" s="9" t="s">
        <v>31</v>
      </c>
      <c r="J9" s="9" t="s">
        <v>5</v>
      </c>
      <c r="K9" s="9" t="s">
        <v>53</v>
      </c>
      <c r="L9" s="9" t="s">
        <v>83</v>
      </c>
      <c r="M9" s="9" t="s">
        <v>83</v>
      </c>
      <c r="N9" s="9" t="s">
        <v>6</v>
      </c>
      <c r="O9" s="9" t="s">
        <v>43</v>
      </c>
      <c r="P9" s="9" t="s">
        <v>5</v>
      </c>
      <c r="Q9" s="9" t="s">
        <v>32</v>
      </c>
      <c r="R9" s="9" t="s">
        <v>83</v>
      </c>
      <c r="S9" s="9" t="s">
        <v>83</v>
      </c>
      <c r="T9" s="9" t="s">
        <v>31</v>
      </c>
      <c r="U9" s="9" t="s">
        <v>31</v>
      </c>
      <c r="V9" s="9" t="s">
        <v>5</v>
      </c>
      <c r="W9" s="9" t="s">
        <v>31</v>
      </c>
      <c r="X9" s="9" t="s">
        <v>53</v>
      </c>
      <c r="Y9" s="9" t="s">
        <v>83</v>
      </c>
      <c r="Z9" s="9" t="s">
        <v>38</v>
      </c>
      <c r="AA9" s="9" t="s">
        <v>31</v>
      </c>
      <c r="AB9" s="9" t="s">
        <v>31</v>
      </c>
      <c r="AC9" s="9" t="s">
        <v>53</v>
      </c>
      <c r="AD9" s="9" t="s">
        <v>65</v>
      </c>
      <c r="AE9" s="9" t="s">
        <v>5</v>
      </c>
      <c r="AF9" s="9" t="s">
        <v>83</v>
      </c>
      <c r="AG9" s="9" t="s">
        <v>83</v>
      </c>
      <c r="AH9" s="9" t="s">
        <v>6</v>
      </c>
      <c r="AI9" s="15"/>
      <c r="AJ9" s="109">
        <v>26.55</v>
      </c>
      <c r="AK9" s="15">
        <v>112.01400000000001</v>
      </c>
      <c r="AL9" s="109">
        <v>115</v>
      </c>
      <c r="AM9" s="15">
        <v>29.535999999999991</v>
      </c>
      <c r="AN9" s="170">
        <v>2.98599999999999</v>
      </c>
      <c r="AO9" s="109">
        <v>18.400000000000002</v>
      </c>
      <c r="AP9" s="15">
        <v>3</v>
      </c>
      <c r="AQ9" s="98">
        <v>3</v>
      </c>
      <c r="AR9" s="109">
        <v>32.003999999999998</v>
      </c>
      <c r="AS9" s="15">
        <v>27.553846153846152</v>
      </c>
      <c r="AT9" s="98">
        <v>26</v>
      </c>
      <c r="AU9" s="96" t="e">
        <f t="shared" si="2"/>
        <v>#REF!</v>
      </c>
      <c r="AV9" s="27" t="e">
        <f t="shared" si="0"/>
        <v>#REF!</v>
      </c>
      <c r="AW9" s="58" t="e">
        <f t="shared" si="1"/>
        <v>#REF!</v>
      </c>
      <c r="AY9" s="27">
        <f>IF(E9=Dienste!$A$2,Dienste!$C$2,IF(E9=Dienste!$A$3,Dienste!$C$3,IF(E9=Dienste!$A$4,Dienste!$C$4,IF(E9=Dienste!$A$5,Dienste!$C$5,IF(E9=Dienste!$A$6,Dienste!$C$6,IF(E9=Dienste!$A$7,Dienste!$C$7,IF(E9=Dienste!$A$8,Dienste!$C$8,IF(E9=Dienste!$A$9,Dienste!$C$9,IF(E9=Dienste!$A$10,Dienste!$C$10,IF(E9=Dienste!$A$11,Dienste!$C$11,IF(E9=Dienste!$A$12,Dienste!$C$12,IF(E9=Dienste!$A$13,Dienste!$C$13,IF(E9=Dienste!$A$14,Dienste!$C$14,IF(E9=Dienste!$A$15,Dienste!$C$15,IF(E9=Dienste!$A$16,Dienste!$C$16,IF(E9=Dienste!$A$17,Dienste!$C$17,IF(E9=Dienste!$A$18,Dienste!$C$18,IF(E9=Dienste!$A$19,Dienste!$C$19,IF(E9=Dienste!$A$20,Dienste!$C$20,IF(E9=Dienste!$A$21,Dienste!$C$21,IF(E9=Dienste!$A$22,Dienste!$C$22,IF(E9=Dienste!$A$23,Dienste!$C$23,IF(E9=Dienste!$A$24,Dienste!$C$24,IF(E9=Dienste!$A$25,Dienste!$C$25,IF(E9=Dienste!$A$26,Dienste!$C$26,IF(E9=Dienste!$A$27,Dienste!$C$27,IF(E9=Dienste!$A$28,Dienste!$C$28,IF(E9=Dienste!#REF!,Dienste!#REF!,IF(E9=Dienste!#REF!,Dienste!#REF!,IF(E9=Dienste!#REF!,Dienste!#REF!,IF(E9=Dienste!#REF!,Dienste!#REF!,IF(E9=Dienste!$A$33,Dienste!$C$33,IF(E9=Dienste!$A$34,Dienste!$C$34,IF(E9=Dienste!$A$35,Dienste!$C$35,IF(E9=Dienste!$A$36,Dienste!$C$36,)))))))))))))))))))))))))))))))))))</f>
        <v>0</v>
      </c>
      <c r="AZ9" s="27">
        <f>IF(F9=Dienste!$A$2,Dienste!$C$2,IF(F9=Dienste!$A$3,Dienste!$C$3,IF(F9=Dienste!$A$4,Dienste!$C$4,IF(F9=Dienste!$A$5,Dienste!$C$5,IF(F9=Dienste!$A$6,Dienste!$C$6,IF(F9=Dienste!$A$7,Dienste!$C$7,IF(F9=Dienste!$A$8,Dienste!$C$8,IF(F9=Dienste!$A$9,Dienste!$C$9,IF(F9=Dienste!$A$10,Dienste!$C$10,IF(F9=Dienste!$A$11,Dienste!$C$11,IF(F9=Dienste!$A$12,Dienste!$C$12,IF(F9=Dienste!$A$13,Dienste!$C$13,IF(F9=Dienste!$A$14,Dienste!$C$14,IF(F9=Dienste!$A$15,Dienste!$C$15,IF(F9=Dienste!$A$16,Dienste!$C$16,IF(F9=Dienste!$A$17,Dienste!$C$17,IF(F9=Dienste!$A$18,Dienste!$C$18,IF(F9=Dienste!$A$19,Dienste!$C$19,IF(F9=Dienste!$A$20,Dienste!$C$20,IF(F9=Dienste!$A$21,Dienste!$C$21,IF(F9=Dienste!$A$22,Dienste!$C$22,IF(F9=Dienste!$A$23,Dienste!$C$23,IF(F9=Dienste!$A$24,Dienste!$C$24,IF(F9=Dienste!$A$25,Dienste!$C$25,IF(F9=Dienste!$A$26,Dienste!$C$26,IF(F9=Dienste!$A$27,Dienste!$C$27,IF(F9=Dienste!$A$28,Dienste!$C$28,IF(F9=Dienste!#REF!,Dienste!#REF!,IF(F9=Dienste!#REF!,Dienste!#REF!,IF(F9=Dienste!#REF!,Dienste!#REF!,IF(F9=Dienste!#REF!,Dienste!#REF!,IF(F9=Dienste!$A$33,Dienste!$C$33,IF(F9=Dienste!$A$34,Dienste!$C$34,IF(F9=Dienste!$A$35,Dienste!$C$35,IF(F9=Dienste!$A$36,Dienste!$C$36,)))))))))))))))))))))))))))))))))))</f>
        <v>0</v>
      </c>
      <c r="BA9" s="27">
        <f>IF(G9=Dienste!$A$2,Dienste!$C$2,IF(G9=Dienste!$A$3,Dienste!$C$3,IF(G9=Dienste!$A$4,Dienste!$C$4,IF(G9=Dienste!$A$5,Dienste!$C$5,IF(G9=Dienste!$A$6,Dienste!$C$6,IF(G9=Dienste!$A$7,Dienste!$C$7,IF(G9=Dienste!$A$8,Dienste!$C$8,IF(G9=Dienste!$A$9,Dienste!$C$9,IF(G9=Dienste!$A$10,Dienste!$C$10,IF(G9=Dienste!$A$11,Dienste!$C$11,IF(G9=Dienste!$A$12,Dienste!$C$12,IF(G9=Dienste!$A$13,Dienste!$C$13,IF(G9=Dienste!$A$14,Dienste!$C$14,IF(G9=Dienste!$A$15,Dienste!$C$15,IF(G9=Dienste!$A$16,Dienste!$C$16,IF(G9=Dienste!$A$17,Dienste!$C$17,IF(G9=Dienste!$A$18,Dienste!$C$18,IF(G9=Dienste!$A$19,Dienste!$C$19,IF(G9=Dienste!$A$20,Dienste!$C$20,IF(G9=Dienste!$A$21,Dienste!$C$21,IF(G9=Dienste!$A$22,Dienste!$C$22,IF(G9=Dienste!$A$23,Dienste!$C$23,IF(G9=Dienste!$A$24,Dienste!$C$24,IF(G9=Dienste!$A$25,Dienste!$C$25,IF(G9=Dienste!$A$26,Dienste!$C$26,IF(G9=Dienste!$A$27,Dienste!$C$27,IF(G9=Dienste!$A$28,Dienste!$C$28,IF(G9=Dienste!#REF!,Dienste!#REF!,IF(G9=Dienste!#REF!,Dienste!#REF!,IF(G9=Dienste!#REF!,Dienste!#REF!,IF(G9=Dienste!#REF!,Dienste!#REF!,IF(G9=Dienste!$A$33,Dienste!$C$33,IF(G9=Dienste!$A$34,Dienste!$C$34,IF(G9=Dienste!$A$35,Dienste!$C$35,IF(G9=Dienste!$A$36,Dienste!$C$36,)))))))))))))))))))))))))))))))))))</f>
        <v>0</v>
      </c>
      <c r="BB9" s="27">
        <f>IF(H9=Dienste!$A$2,Dienste!$C$2,IF(H9=Dienste!$A$3,Dienste!$C$3,IF(H9=Dienste!$A$4,Dienste!$C$4,IF(H9=Dienste!$A$5,Dienste!$C$5,IF(H9=Dienste!$A$6,Dienste!$C$6,IF(H9=Dienste!$A$7,Dienste!$C$7,IF(H9=Dienste!$A$8,Dienste!$C$8,IF(H9=Dienste!$A$9,Dienste!$C$9,IF(H9=Dienste!$A$10,Dienste!$C$10,IF(H9=Dienste!$A$11,Dienste!$C$11,IF(H9=Dienste!$A$12,Dienste!$C$12,IF(H9=Dienste!$A$13,Dienste!$C$13,IF(H9=Dienste!$A$14,Dienste!$C$14,IF(H9=Dienste!$A$15,Dienste!$C$15,IF(H9=Dienste!$A$16,Dienste!$C$16,IF(H9=Dienste!$A$17,Dienste!$C$17,IF(H9=Dienste!$A$18,Dienste!$C$18,IF(H9=Dienste!$A$19,Dienste!$C$19,IF(H9=Dienste!$A$20,Dienste!$C$20,IF(H9=Dienste!$A$21,Dienste!$C$21,IF(H9=Dienste!$A$22,Dienste!$C$22,IF(H9=Dienste!$A$23,Dienste!$C$23,IF(H9=Dienste!$A$24,Dienste!$C$24,IF(H9=Dienste!$A$25,Dienste!$C$25,IF(H9=Dienste!$A$26,Dienste!$C$26,IF(H9=Dienste!$A$27,Dienste!$C$27,IF(H9=Dienste!$A$28,Dienste!$C$28,IF(H9=Dienste!#REF!,Dienste!#REF!,IF(H9=Dienste!#REF!,Dienste!#REF!,IF(H9=Dienste!#REF!,Dienste!#REF!,IF(H9=Dienste!#REF!,Dienste!#REF!,IF(H9=Dienste!$A$33,Dienste!$C$33,IF(H9=Dienste!$A$34,Dienste!$C$34,IF(H9=Dienste!$A$35,Dienste!$C$35,IF(H9=Dienste!$A$36,Dienste!$C$36,)))))))))))))))))))))))))))))))))))</f>
        <v>0</v>
      </c>
      <c r="BC9" s="27">
        <f>IF(I9=Dienste!$A$2,Dienste!$C$2,IF(I9=Dienste!$A$3,Dienste!$C$3,IF(I9=Dienste!$A$4,Dienste!$C$4,IF(I9=Dienste!$A$5,Dienste!$C$5,IF(I9=Dienste!$A$6,Dienste!$C$6,IF(I9=Dienste!$A$7,Dienste!$C$7,IF(I9=Dienste!$A$8,Dienste!$C$8,IF(I9=Dienste!$A$9,Dienste!$C$9,IF(I9=Dienste!$A$10,Dienste!$C$10,IF(I9=Dienste!$A$11,Dienste!$C$11,IF(I9=Dienste!$A$12,Dienste!$C$12,IF(I9=Dienste!$A$13,Dienste!$C$13,IF(I9=Dienste!$A$14,Dienste!$C$14,IF(I9=Dienste!$A$15,Dienste!$C$15,IF(I9=Dienste!$A$16,Dienste!$C$16,IF(I9=Dienste!$A$17,Dienste!$C$17,IF(I9=Dienste!$A$18,Dienste!$C$18,IF(I9=Dienste!$A$19,Dienste!$C$19,IF(I9=Dienste!$A$20,Dienste!$C$20,IF(I9=Dienste!$A$21,Dienste!$C$21,IF(I9=Dienste!$A$22,Dienste!$C$22,IF(I9=Dienste!$A$23,Dienste!$C$23,IF(I9=Dienste!$A$24,Dienste!$C$24,IF(I9=Dienste!$A$25,Dienste!$C$25,IF(I9=Dienste!$A$26,Dienste!$C$26,IF(I9=Dienste!$A$27,Dienste!$C$27,IF(I9=Dienste!$A$28,Dienste!$C$28,IF(I9=Dienste!#REF!,Dienste!#REF!,IF(I9=Dienste!#REF!,Dienste!#REF!,IF(I9=Dienste!#REF!,Dienste!#REF!,IF(I9=Dienste!#REF!,Dienste!#REF!,IF(I9=Dienste!$A$33,Dienste!$C$33,IF(I9=Dienste!$A$34,Dienste!$C$34,IF(I9=Dienste!$A$35,Dienste!$C$35,IF(I9=Dienste!$A$36,Dienste!$C$36,)))))))))))))))))))))))))))))))))))</f>
        <v>8</v>
      </c>
      <c r="BD9" s="27">
        <f>IF(J9=Dienste!$A$2,Dienste!$C$2,IF(J9=Dienste!$A$3,Dienste!$C$3,IF(J9=Dienste!$A$4,Dienste!$C$4,IF(J9=Dienste!$A$5,Dienste!$C$5,IF(J9=Dienste!$A$6,Dienste!$C$6,IF(J9=Dienste!$A$7,Dienste!$C$7,IF(J9=Dienste!$A$8,Dienste!$C$8,IF(J9=Dienste!$A$9,Dienste!$C$9,IF(J9=Dienste!$A$10,Dienste!$C$10,IF(J9=Dienste!$A$11,Dienste!$C$11,IF(J9=Dienste!$A$12,Dienste!$C$12,IF(J9=Dienste!$A$13,Dienste!$C$13,IF(J9=Dienste!$A$14,Dienste!$C$14,IF(J9=Dienste!$A$15,Dienste!$C$15,IF(J9=Dienste!$A$16,Dienste!$C$16,IF(J9=Dienste!$A$17,Dienste!$C$17,IF(J9=Dienste!$A$18,Dienste!$C$18,IF(J9=Dienste!$A$19,Dienste!$C$19,IF(J9=Dienste!$A$20,Dienste!$C$20,IF(J9=Dienste!$A$21,Dienste!$C$21,IF(J9=Dienste!$A$22,Dienste!$C$22,IF(J9=Dienste!$A$23,Dienste!$C$23,IF(J9=Dienste!$A$24,Dienste!$C$24,IF(J9=Dienste!$A$25,Dienste!$C$25,IF(J9=Dienste!$A$26,Dienste!$C$26,IF(J9=Dienste!$A$27,Dienste!$C$27,IF(J9=Dienste!$A$28,Dienste!$C$28,IF(J9=Dienste!#REF!,Dienste!#REF!,IF(J9=Dienste!#REF!,Dienste!#REF!,IF(J9=Dienste!#REF!,Dienste!#REF!,IF(J9=Dienste!#REF!,Dienste!#REF!,IF(J9=Dienste!$A$33,Dienste!$C$33,IF(J9=Dienste!$A$34,Dienste!$C$34,IF(J9=Dienste!$A$35,Dienste!$C$35,IF(J9=Dienste!$A$36,Dienste!$C$36,)))))))))))))))))))))))))))))))))))</f>
        <v>0</v>
      </c>
      <c r="BE9" s="27">
        <f>IF(K9=Dienste!$A$2,Dienste!$C$2,IF(K9=Dienste!$A$3,Dienste!$C$3,IF(K9=Dienste!$A$4,Dienste!$C$4,IF(K9=Dienste!$A$5,Dienste!$C$5,IF(K9=Dienste!$A$6,Dienste!$C$6,IF(K9=Dienste!$A$7,Dienste!$C$7,IF(K9=Dienste!$A$8,Dienste!$C$8,IF(K9=Dienste!$A$9,Dienste!$C$9,IF(K9=Dienste!$A$10,Dienste!$C$10,IF(K9=Dienste!$A$11,Dienste!$C$11,IF(K9=Dienste!$A$12,Dienste!$C$12,IF(K9=Dienste!$A$13,Dienste!$C$13,IF(K9=Dienste!$A$14,Dienste!$C$14,IF(K9=Dienste!$A$15,Dienste!$C$15,IF(K9=Dienste!$A$16,Dienste!$C$16,IF(K9=Dienste!$A$17,Dienste!$C$17,IF(K9=Dienste!$A$18,Dienste!$C$18,IF(K9=Dienste!$A$19,Dienste!$C$19,IF(K9=Dienste!$A$20,Dienste!$C$20,IF(K9=Dienste!$A$21,Dienste!$C$21,IF(K9=Dienste!$A$22,Dienste!$C$22,IF(K9=Dienste!$A$23,Dienste!$C$23,IF(K9=Dienste!$A$24,Dienste!$C$24,IF(K9=Dienste!$A$25,Dienste!$C$25,IF(K9=Dienste!$A$26,Dienste!$C$26,IF(K9=Dienste!$A$27,Dienste!$C$27,IF(K9=Dienste!$A$28,Dienste!$C$28,IF(K9=Dienste!#REF!,Dienste!#REF!,IF(K9=Dienste!#REF!,Dienste!#REF!,IF(K9=Dienste!#REF!,Dienste!#REF!,IF(K9=Dienste!#REF!,Dienste!#REF!,IF(K9=Dienste!$A$33,Dienste!$C$33,IF(K9=Dienste!$A$34,Dienste!$C$34,IF(K9=Dienste!$A$35,Dienste!$C$35,IF(K9=Dienste!$A$36,Dienste!$C$36,)))))))))))))))))))))))))))))))))))</f>
        <v>9</v>
      </c>
      <c r="BF9" s="27">
        <f>IF(L9=Dienste!$A$2,Dienste!$C$2,IF(L9=Dienste!$A$3,Dienste!$C$3,IF(L9=Dienste!$A$4,Dienste!$C$4,IF(L9=Dienste!$A$5,Dienste!$C$5,IF(L9=Dienste!$A$6,Dienste!$C$6,IF(L9=Dienste!$A$7,Dienste!$C$7,IF(L9=Dienste!$A$8,Dienste!$C$8,IF(L9=Dienste!$A$9,Dienste!$C$9,IF(L9=Dienste!$A$10,Dienste!$C$10,IF(L9=Dienste!$A$11,Dienste!$C$11,IF(L9=Dienste!$A$12,Dienste!$C$12,IF(L9=Dienste!$A$13,Dienste!$C$13,IF(L9=Dienste!$A$14,Dienste!$C$14,IF(L9=Dienste!$A$15,Dienste!$C$15,IF(L9=Dienste!$A$16,Dienste!$C$16,IF(L9=Dienste!$A$17,Dienste!$C$17,IF(L9=Dienste!$A$18,Dienste!$C$18,IF(L9=Dienste!$A$19,Dienste!$C$19,IF(L9=Dienste!$A$20,Dienste!$C$20,IF(L9=Dienste!$A$21,Dienste!$C$21,IF(L9=Dienste!$A$22,Dienste!$C$22,IF(L9=Dienste!$A$23,Dienste!$C$23,IF(L9=Dienste!$A$24,Dienste!$C$24,IF(L9=Dienste!$A$25,Dienste!$C$25,IF(L9=Dienste!$A$26,Dienste!$C$26,IF(L9=Dienste!$A$27,Dienste!$C$27,IF(L9=Dienste!$A$28,Dienste!$C$28,IF(L9=Dienste!#REF!,Dienste!#REF!,IF(L9=Dienste!#REF!,Dienste!#REF!,IF(L9=Dienste!#REF!,Dienste!#REF!,IF(L9=Dienste!#REF!,Dienste!#REF!,IF(L9=Dienste!$A$33,Dienste!$C$33,IF(L9=Dienste!$A$34,Dienste!$C$34,IF(L9=Dienste!$A$35,Dienste!$C$35,IF(L9=Dienste!$A$36,Dienste!$C$36,)))))))))))))))))))))))))))))))))))</f>
        <v>0</v>
      </c>
      <c r="BG9" s="27">
        <f>IF(M9=Dienste!$A$2,Dienste!$C$2,IF(M9=Dienste!$A$3,Dienste!$C$3,IF(M9=Dienste!$A$4,Dienste!$C$4,IF(M9=Dienste!$A$5,Dienste!$C$5,IF(M9=Dienste!$A$6,Dienste!$C$6,IF(M9=Dienste!$A$7,Dienste!$C$7,IF(M9=Dienste!$A$8,Dienste!$C$8,IF(M9=Dienste!$A$9,Dienste!$C$9,IF(M9=Dienste!$A$10,Dienste!$C$10,IF(M9=Dienste!$A$11,Dienste!$C$11,IF(M9=Dienste!$A$12,Dienste!$C$12,IF(M9=Dienste!$A$13,Dienste!$C$13,IF(M9=Dienste!$A$14,Dienste!$C$14,IF(M9=Dienste!$A$15,Dienste!$C$15,IF(M9=Dienste!$A$16,Dienste!$C$16,IF(M9=Dienste!$A$17,Dienste!$C$17,IF(M9=Dienste!$A$18,Dienste!$C$18,IF(M9=Dienste!$A$19,Dienste!$C$19,IF(M9=Dienste!$A$20,Dienste!$C$20,IF(M9=Dienste!$A$21,Dienste!$C$21,IF(M9=Dienste!$A$22,Dienste!$C$22,IF(M9=Dienste!$A$23,Dienste!$C$23,IF(M9=Dienste!$A$24,Dienste!$C$24,IF(M9=Dienste!$A$25,Dienste!$C$25,IF(M9=Dienste!$A$26,Dienste!$C$26,IF(M9=Dienste!$A$27,Dienste!$C$27,IF(M9=Dienste!$A$28,Dienste!$C$28,IF(M9=Dienste!#REF!,Dienste!#REF!,IF(M9=Dienste!#REF!,Dienste!#REF!,IF(M9=Dienste!#REF!,Dienste!#REF!,IF(M9=Dienste!#REF!,Dienste!#REF!,IF(M9=Dienste!$A$33,Dienste!$C$33,IF(M9=Dienste!$A$34,Dienste!$C$34,IF(M9=Dienste!$A$35,Dienste!$C$35,IF(M9=Dienste!$A$36,Dienste!$C$36,)))))))))))))))))))))))))))))))))))</f>
        <v>0</v>
      </c>
      <c r="BH9" s="27">
        <f>IF(N9=Dienste!$A$2,Dienste!$C$2,IF(N9=Dienste!$A$3,Dienste!$C$3,IF(N9=Dienste!$A$4,Dienste!$C$4,IF(N9=Dienste!$A$5,Dienste!$C$5,IF(N9=Dienste!$A$6,Dienste!$C$6,IF(N9=Dienste!$A$7,Dienste!$C$7,IF(N9=Dienste!$A$8,Dienste!$C$8,IF(N9=Dienste!$A$9,Dienste!$C$9,IF(N9=Dienste!$A$10,Dienste!$C$10,IF(N9=Dienste!$A$11,Dienste!$C$11,IF(N9=Dienste!$A$12,Dienste!$C$12,IF(N9=Dienste!$A$13,Dienste!$C$13,IF(N9=Dienste!$A$14,Dienste!$C$14,IF(N9=Dienste!$A$15,Dienste!$C$15,IF(N9=Dienste!$A$16,Dienste!$C$16,IF(N9=Dienste!$A$17,Dienste!$C$17,IF(N9=Dienste!$A$18,Dienste!$C$18,IF(N9=Dienste!$A$19,Dienste!$C$19,IF(N9=Dienste!$A$20,Dienste!$C$20,IF(N9=Dienste!$A$21,Dienste!$C$21,IF(N9=Dienste!$A$22,Dienste!$C$22,IF(N9=Dienste!$A$23,Dienste!$C$23,IF(N9=Dienste!$A$24,Dienste!$C$24,IF(N9=Dienste!$A$25,Dienste!$C$25,IF(N9=Dienste!$A$26,Dienste!$C$26,IF(N9=Dienste!$A$27,Dienste!$C$27,IF(N9=Dienste!$A$28,Dienste!$C$28,IF(N9=Dienste!#REF!,Dienste!#REF!,IF(N9=Dienste!#REF!,Dienste!#REF!,IF(N9=Dienste!#REF!,Dienste!#REF!,IF(N9=Dienste!#REF!,Dienste!#REF!,IF(N9=Dienste!$A$33,Dienste!$C$33,IF(N9=Dienste!$A$34,Dienste!$C$34,IF(N9=Dienste!$A$35,Dienste!$C$35,IF(N9=Dienste!$A$36,Dienste!$C$36,)))))))))))))))))))))))))))))))))))</f>
        <v>8</v>
      </c>
      <c r="BI9" s="27">
        <f>IF(O9=Dienste!$A$2,Dienste!$C$2,IF(O9=Dienste!$A$3,Dienste!$C$3,IF(O9=Dienste!$A$4,Dienste!$C$4,IF(O9=Dienste!$A$5,Dienste!$C$5,IF(O9=Dienste!$A$6,Dienste!$C$6,IF(O9=Dienste!$A$7,Dienste!$C$7,IF(O9=Dienste!$A$8,Dienste!$C$8,IF(O9=Dienste!$A$9,Dienste!$C$9,IF(O9=Dienste!$A$10,Dienste!$C$10,IF(O9=Dienste!$A$11,Dienste!$C$11,IF(O9=Dienste!$A$12,Dienste!$C$12,IF(O9=Dienste!$A$13,Dienste!$C$13,IF(O9=Dienste!$A$14,Dienste!$C$14,IF(O9=Dienste!$A$15,Dienste!$C$15,IF(O9=Dienste!$A$16,Dienste!$C$16,IF(O9=Dienste!$A$17,Dienste!$C$17,IF(O9=Dienste!$A$18,Dienste!$C$18,IF(O9=Dienste!$A$19,Dienste!$C$19,IF(O9=Dienste!$A$20,Dienste!$C$20,IF(O9=Dienste!$A$21,Dienste!$C$21,IF(O9=Dienste!$A$22,Dienste!$C$22,IF(O9=Dienste!$A$23,Dienste!$C$23,IF(O9=Dienste!$A$24,Dienste!$C$24,IF(O9=Dienste!$A$25,Dienste!$C$25,IF(O9=Dienste!$A$26,Dienste!$C$26,IF(O9=Dienste!$A$27,Dienste!$C$27,IF(O9=Dienste!$A$28,Dienste!$C$28,IF(O9=Dienste!#REF!,Dienste!#REF!,IF(O9=Dienste!#REF!,Dienste!#REF!,IF(O9=Dienste!#REF!,Dienste!#REF!,IF(O9=Dienste!#REF!,Dienste!#REF!,IF(O9=Dienste!$A$33,Dienste!$C$33,IF(O9=Dienste!$A$34,Dienste!$C$34,IF(O9=Dienste!$A$35,Dienste!$C$35,IF(O9=Dienste!$A$36,Dienste!$C$36,)))))))))))))))))))))))))))))))))))</f>
        <v>8</v>
      </c>
      <c r="BJ9" s="27">
        <f>IF(P9=Dienste!$A$2,Dienste!$C$2,IF(P9=Dienste!$A$3,Dienste!$C$3,IF(P9=Dienste!$A$4,Dienste!$C$4,IF(P9=Dienste!$A$5,Dienste!$C$5,IF(P9=Dienste!$A$6,Dienste!$C$6,IF(P9=Dienste!$A$7,Dienste!$C$7,IF(P9=Dienste!$A$8,Dienste!$C$8,IF(P9=Dienste!$A$9,Dienste!$C$9,IF(P9=Dienste!$A$10,Dienste!$C$10,IF(P9=Dienste!$A$11,Dienste!$C$11,IF(P9=Dienste!$A$12,Dienste!$C$12,IF(P9=Dienste!$A$13,Dienste!$C$13,IF(P9=Dienste!$A$14,Dienste!$C$14,IF(P9=Dienste!$A$15,Dienste!$C$15,IF(P9=Dienste!$A$16,Dienste!$C$16,IF(P9=Dienste!$A$17,Dienste!$C$17,IF(P9=Dienste!$A$18,Dienste!$C$18,IF(P9=Dienste!$A$19,Dienste!$C$19,IF(P9=Dienste!$A$20,Dienste!$C$20,IF(P9=Dienste!$A$21,Dienste!$C$21,IF(P9=Dienste!$A$22,Dienste!$C$22,IF(P9=Dienste!$A$23,Dienste!$C$23,IF(P9=Dienste!$A$24,Dienste!$C$24,IF(P9=Dienste!$A$25,Dienste!$C$25,IF(P9=Dienste!$A$26,Dienste!$C$26,IF(P9=Dienste!$A$27,Dienste!$C$27,IF(P9=Dienste!$A$28,Dienste!$C$28,IF(P9=Dienste!#REF!,Dienste!#REF!,IF(P9=Dienste!#REF!,Dienste!#REF!,IF(P9=Dienste!#REF!,Dienste!#REF!,IF(P9=Dienste!#REF!,Dienste!#REF!,IF(P9=Dienste!$A$33,Dienste!$C$33,IF(P9=Dienste!$A$34,Dienste!$C$34,IF(P9=Dienste!$A$35,Dienste!$C$35,IF(P9=Dienste!$A$36,Dienste!$C$36,)))))))))))))))))))))))))))))))))))</f>
        <v>0</v>
      </c>
      <c r="BK9" s="27">
        <f>IF(Q9=Dienste!$A$2,Dienste!$C$2,IF(Q9=Dienste!$A$3,Dienste!$C$3,IF(Q9=Dienste!$A$4,Dienste!$C$4,IF(Q9=Dienste!$A$5,Dienste!$C$5,IF(Q9=Dienste!$A$6,Dienste!$C$6,IF(Q9=Dienste!$A$7,Dienste!$C$7,IF(Q9=Dienste!$A$8,Dienste!$C$8,IF(Q9=Dienste!$A$9,Dienste!$C$9,IF(Q9=Dienste!$A$10,Dienste!$C$10,IF(Q9=Dienste!$A$11,Dienste!$C$11,IF(Q9=Dienste!$A$12,Dienste!$C$12,IF(Q9=Dienste!$A$13,Dienste!$C$13,IF(Q9=Dienste!$A$14,Dienste!$C$14,IF(Q9=Dienste!$A$15,Dienste!$C$15,IF(Q9=Dienste!$A$16,Dienste!$C$16,IF(Q9=Dienste!$A$17,Dienste!$C$17,IF(Q9=Dienste!$A$18,Dienste!$C$18,IF(Q9=Dienste!$A$19,Dienste!$C$19,IF(Q9=Dienste!$A$20,Dienste!$C$20,IF(Q9=Dienste!$A$21,Dienste!$C$21,IF(Q9=Dienste!$A$22,Dienste!$C$22,IF(Q9=Dienste!$A$23,Dienste!$C$23,IF(Q9=Dienste!$A$24,Dienste!$C$24,IF(Q9=Dienste!$A$25,Dienste!$C$25,IF(Q9=Dienste!$A$26,Dienste!$C$26,IF(Q9=Dienste!$A$27,Dienste!$C$27,IF(Q9=Dienste!$A$28,Dienste!$C$28,IF(Q9=Dienste!#REF!,Dienste!#REF!,IF(Q9=Dienste!#REF!,Dienste!#REF!,IF(Q9=Dienste!#REF!,Dienste!#REF!,IF(Q9=Dienste!#REF!,Dienste!#REF!,IF(Q9=Dienste!$A$33,Dienste!$C$33,IF(Q9=Dienste!$A$34,Dienste!$C$34,IF(Q9=Dienste!$A$35,Dienste!$C$35,IF(Q9=Dienste!$A$36,Dienste!$C$36,)))))))))))))))))))))))))))))))))))</f>
        <v>8</v>
      </c>
      <c r="BL9" s="27">
        <f>IF(R9=Dienste!$A$2,Dienste!$C$2,IF(R9=Dienste!$A$3,Dienste!$C$3,IF(R9=Dienste!$A$4,Dienste!$C$4,IF(R9=Dienste!$A$5,Dienste!$C$5,IF(R9=Dienste!$A$6,Dienste!$C$6,IF(R9=Dienste!$A$7,Dienste!$C$7,IF(R9=Dienste!$A$8,Dienste!$C$8,IF(R9=Dienste!$A$9,Dienste!$C$9,IF(R9=Dienste!$A$10,Dienste!$C$10,IF(R9=Dienste!$A$11,Dienste!$C$11,IF(R9=Dienste!$A$12,Dienste!$C$12,IF(R9=Dienste!$A$13,Dienste!$C$13,IF(R9=Dienste!$A$14,Dienste!$C$14,IF(R9=Dienste!$A$15,Dienste!$C$15,IF(R9=Dienste!$A$16,Dienste!$C$16,IF(R9=Dienste!$A$17,Dienste!$C$17,IF(R9=Dienste!$A$18,Dienste!$C$18,IF(R9=Dienste!$A$19,Dienste!$C$19,IF(R9=Dienste!$A$20,Dienste!$C$20,IF(R9=Dienste!$A$21,Dienste!$C$21,IF(R9=Dienste!$A$22,Dienste!$C$22,IF(R9=Dienste!$A$23,Dienste!$C$23,IF(R9=Dienste!$A$24,Dienste!$C$24,IF(R9=Dienste!$A$25,Dienste!$C$25,IF(R9=Dienste!$A$26,Dienste!$C$26,IF(R9=Dienste!$A$27,Dienste!$C$27,IF(R9=Dienste!$A$28,Dienste!$C$28,IF(R9=Dienste!#REF!,Dienste!#REF!,IF(R9=Dienste!#REF!,Dienste!#REF!,IF(R9=Dienste!#REF!,Dienste!#REF!,IF(R9=Dienste!#REF!,Dienste!#REF!,IF(R9=Dienste!$A$33,Dienste!$C$33,IF(R9=Dienste!$A$34,Dienste!$C$34,IF(R9=Dienste!$A$35,Dienste!$C$35,IF(R9=Dienste!$A$36,Dienste!$C$36,)))))))))))))))))))))))))))))))))))</f>
        <v>0</v>
      </c>
      <c r="BM9" s="27">
        <f>IF(S9=Dienste!$A$2,Dienste!$C$2,IF(S9=Dienste!$A$3,Dienste!$C$3,IF(S9=Dienste!$A$4,Dienste!$C$4,IF(S9=Dienste!$A$5,Dienste!$C$5,IF(S9=Dienste!$A$6,Dienste!$C$6,IF(S9=Dienste!$A$7,Dienste!$C$7,IF(S9=Dienste!$A$8,Dienste!$C$8,IF(S9=Dienste!$A$9,Dienste!$C$9,IF(S9=Dienste!$A$10,Dienste!$C$10,IF(S9=Dienste!$A$11,Dienste!$C$11,IF(S9=Dienste!$A$12,Dienste!$C$12,IF(S9=Dienste!$A$13,Dienste!$C$13,IF(S9=Dienste!$A$14,Dienste!$C$14,IF(S9=Dienste!$A$15,Dienste!$C$15,IF(S9=Dienste!$A$16,Dienste!$C$16,IF(S9=Dienste!$A$17,Dienste!$C$17,IF(S9=Dienste!$A$18,Dienste!$C$18,IF(S9=Dienste!$A$19,Dienste!$C$19,IF(S9=Dienste!$A$20,Dienste!$C$20,IF(S9=Dienste!$A$21,Dienste!$C$21,IF(S9=Dienste!$A$22,Dienste!$C$22,IF(S9=Dienste!$A$23,Dienste!$C$23,IF(S9=Dienste!$A$24,Dienste!$C$24,IF(S9=Dienste!$A$25,Dienste!$C$25,IF(S9=Dienste!$A$26,Dienste!$C$26,IF(S9=Dienste!$A$27,Dienste!$C$27,IF(S9=Dienste!$A$28,Dienste!$C$28,IF(S9=Dienste!#REF!,Dienste!#REF!,IF(S9=Dienste!#REF!,Dienste!#REF!,IF(S9=Dienste!#REF!,Dienste!#REF!,IF(S9=Dienste!#REF!,Dienste!#REF!,IF(S9=Dienste!$A$33,Dienste!$C$33,IF(S9=Dienste!$A$34,Dienste!$C$34,IF(S9=Dienste!$A$35,Dienste!$C$35,IF(S9=Dienste!$A$36,Dienste!$C$36,)))))))))))))))))))))))))))))))))))</f>
        <v>0</v>
      </c>
      <c r="BN9" s="27">
        <f>IF(T9=Dienste!$A$2,Dienste!$C$2,IF(T9=Dienste!$A$3,Dienste!$C$3,IF(T9=Dienste!$A$4,Dienste!$C$4,IF(T9=Dienste!$A$5,Dienste!$C$5,IF(T9=Dienste!$A$6,Dienste!$C$6,IF(T9=Dienste!$A$7,Dienste!$C$7,IF(T9=Dienste!$A$8,Dienste!$C$8,IF(T9=Dienste!$A$9,Dienste!$C$9,IF(T9=Dienste!$A$10,Dienste!$C$10,IF(T9=Dienste!$A$11,Dienste!$C$11,IF(T9=Dienste!$A$12,Dienste!$C$12,IF(T9=Dienste!$A$13,Dienste!$C$13,IF(T9=Dienste!$A$14,Dienste!$C$14,IF(T9=Dienste!$A$15,Dienste!$C$15,IF(T9=Dienste!$A$16,Dienste!$C$16,IF(T9=Dienste!$A$17,Dienste!$C$17,IF(T9=Dienste!$A$18,Dienste!$C$18,IF(T9=Dienste!$A$19,Dienste!$C$19,IF(T9=Dienste!$A$20,Dienste!$C$20,IF(T9=Dienste!$A$21,Dienste!$C$21,IF(T9=Dienste!$A$22,Dienste!$C$22,IF(T9=Dienste!$A$23,Dienste!$C$23,IF(T9=Dienste!$A$24,Dienste!$C$24,IF(T9=Dienste!$A$25,Dienste!$C$25,IF(T9=Dienste!$A$26,Dienste!$C$26,IF(T9=Dienste!$A$27,Dienste!$C$27,IF(T9=Dienste!$A$28,Dienste!$C$28,IF(T9=Dienste!#REF!,Dienste!#REF!,IF(T9=Dienste!#REF!,Dienste!#REF!,IF(T9=Dienste!#REF!,Dienste!#REF!,IF(T9=Dienste!#REF!,Dienste!#REF!,IF(T9=Dienste!$A$33,Dienste!$C$33,IF(T9=Dienste!$A$34,Dienste!$C$34,IF(T9=Dienste!$A$35,Dienste!$C$35,IF(T9=Dienste!$A$36,Dienste!$C$36,)))))))))))))))))))))))))))))))))))</f>
        <v>8</v>
      </c>
      <c r="BO9" s="27">
        <f>IF(U9=Dienste!$A$2,Dienste!$C$2,IF(U9=Dienste!$A$3,Dienste!$C$3,IF(U9=Dienste!$A$4,Dienste!$C$4,IF(U9=Dienste!$A$5,Dienste!$C$5,IF(U9=Dienste!$A$6,Dienste!$C$6,IF(U9=Dienste!$A$7,Dienste!$C$7,IF(U9=Dienste!$A$8,Dienste!$C$8,IF(U9=Dienste!$A$9,Dienste!$C$9,IF(U9=Dienste!$A$10,Dienste!$C$10,IF(U9=Dienste!$A$11,Dienste!$C$11,IF(U9=Dienste!$A$12,Dienste!$C$12,IF(U9=Dienste!$A$13,Dienste!$C$13,IF(U9=Dienste!$A$14,Dienste!$C$14,IF(U9=Dienste!$A$15,Dienste!$C$15,IF(U9=Dienste!$A$16,Dienste!$C$16,IF(U9=Dienste!$A$17,Dienste!$C$17,IF(U9=Dienste!$A$18,Dienste!$C$18,IF(U9=Dienste!$A$19,Dienste!$C$19,IF(U9=Dienste!$A$20,Dienste!$C$20,IF(U9=Dienste!$A$21,Dienste!$C$21,IF(U9=Dienste!$A$22,Dienste!$C$22,IF(U9=Dienste!$A$23,Dienste!$C$23,IF(U9=Dienste!$A$24,Dienste!$C$24,IF(U9=Dienste!$A$25,Dienste!$C$25,IF(U9=Dienste!$A$26,Dienste!$C$26,IF(U9=Dienste!$A$27,Dienste!$C$27,IF(U9=Dienste!$A$28,Dienste!$C$28,IF(U9=Dienste!#REF!,Dienste!#REF!,IF(U9=Dienste!#REF!,Dienste!#REF!,IF(U9=Dienste!#REF!,Dienste!#REF!,IF(U9=Dienste!#REF!,Dienste!#REF!,IF(U9=Dienste!$A$33,Dienste!$C$33,IF(U9=Dienste!$A$34,Dienste!$C$34,IF(U9=Dienste!$A$35,Dienste!$C$35,IF(U9=Dienste!$A$36,Dienste!$C$36,)))))))))))))))))))))))))))))))))))</f>
        <v>8</v>
      </c>
      <c r="BP9" s="27">
        <f>IF(V9=Dienste!$A$2,Dienste!$C$2,IF(V9=Dienste!$A$3,Dienste!$C$3,IF(V9=Dienste!$A$4,Dienste!$C$4,IF(V9=Dienste!$A$5,Dienste!$C$5,IF(V9=Dienste!$A$6,Dienste!$C$6,IF(V9=Dienste!$A$7,Dienste!$C$7,IF(V9=Dienste!$A$8,Dienste!$C$8,IF(V9=Dienste!$A$9,Dienste!$C$9,IF(V9=Dienste!$A$10,Dienste!$C$10,IF(V9=Dienste!$A$11,Dienste!$C$11,IF(V9=Dienste!$A$12,Dienste!$C$12,IF(V9=Dienste!$A$13,Dienste!$C$13,IF(V9=Dienste!$A$14,Dienste!$C$14,IF(V9=Dienste!$A$15,Dienste!$C$15,IF(V9=Dienste!$A$16,Dienste!$C$16,IF(V9=Dienste!$A$17,Dienste!$C$17,IF(V9=Dienste!$A$18,Dienste!$C$18,IF(V9=Dienste!$A$19,Dienste!$C$19,IF(V9=Dienste!$A$20,Dienste!$C$20,IF(V9=Dienste!$A$21,Dienste!$C$21,IF(V9=Dienste!$A$22,Dienste!$C$22,IF(V9=Dienste!$A$23,Dienste!$C$23,IF(V9=Dienste!$A$24,Dienste!$C$24,IF(V9=Dienste!$A$25,Dienste!$C$25,IF(V9=Dienste!$A$26,Dienste!$C$26,IF(V9=Dienste!$A$27,Dienste!$C$27,IF(V9=Dienste!$A$28,Dienste!$C$28,IF(V9=Dienste!#REF!,Dienste!#REF!,IF(V9=Dienste!#REF!,Dienste!#REF!,IF(V9=Dienste!#REF!,Dienste!#REF!,IF(V9=Dienste!#REF!,Dienste!#REF!,IF(V9=Dienste!$A$33,Dienste!$C$33,IF(V9=Dienste!$A$34,Dienste!$C$34,IF(V9=Dienste!$A$35,Dienste!$C$35,IF(V9=Dienste!$A$36,Dienste!$C$36,)))))))))))))))))))))))))))))))))))</f>
        <v>0</v>
      </c>
      <c r="BQ9" s="27">
        <f>IF(W9=Dienste!$A$2,Dienste!$C$2,IF(W9=Dienste!$A$3,Dienste!$C$3,IF(W9=Dienste!$A$4,Dienste!$C$4,IF(W9=Dienste!$A$5,Dienste!$C$5,IF(W9=Dienste!$A$6,Dienste!$C$6,IF(W9=Dienste!$A$7,Dienste!$C$7,IF(W9=Dienste!$A$8,Dienste!$C$8,IF(W9=Dienste!$A$9,Dienste!$C$9,IF(W9=Dienste!$A$10,Dienste!$C$10,IF(W9=Dienste!$A$11,Dienste!$C$11,IF(W9=Dienste!$A$12,Dienste!$C$12,IF(W9=Dienste!$A$13,Dienste!$C$13,IF(W9=Dienste!$A$14,Dienste!$C$14,IF(W9=Dienste!$A$15,Dienste!$C$15,IF(W9=Dienste!$A$16,Dienste!$C$16,IF(W9=Dienste!$A$17,Dienste!$C$17,IF(W9=Dienste!$A$18,Dienste!$C$18,IF(W9=Dienste!$A$19,Dienste!$C$19,IF(W9=Dienste!$A$20,Dienste!$C$20,IF(W9=Dienste!$A$21,Dienste!$C$21,IF(W9=Dienste!$A$22,Dienste!$C$22,IF(W9=Dienste!$A$23,Dienste!$C$23,IF(W9=Dienste!$A$24,Dienste!$C$24,IF(W9=Dienste!$A$25,Dienste!$C$25,IF(W9=Dienste!$A$26,Dienste!$C$26,IF(W9=Dienste!$A$27,Dienste!$C$27,IF(W9=Dienste!$A$28,Dienste!$C$28,IF(W9=Dienste!#REF!,Dienste!#REF!,IF(W9=Dienste!#REF!,Dienste!#REF!,IF(W9=Dienste!#REF!,Dienste!#REF!,IF(W9=Dienste!#REF!,Dienste!#REF!,IF(W9=Dienste!$A$33,Dienste!$C$33,IF(W9=Dienste!$A$34,Dienste!$C$34,IF(W9=Dienste!$A$35,Dienste!$C$35,IF(W9=Dienste!$A$36,Dienste!$C$36,)))))))))))))))))))))))))))))))))))</f>
        <v>8</v>
      </c>
      <c r="BR9" s="27">
        <f>IF(X9=Dienste!$A$2,Dienste!$C$2,IF(X9=Dienste!$A$3,Dienste!$C$3,IF(X9=Dienste!$A$4,Dienste!$C$4,IF(X9=Dienste!$A$5,Dienste!$C$5,IF(X9=Dienste!$A$6,Dienste!$C$6,IF(X9=Dienste!$A$7,Dienste!$C$7,IF(X9=Dienste!$A$8,Dienste!$C$8,IF(X9=Dienste!$A$9,Dienste!$C$9,IF(X9=Dienste!$A$10,Dienste!$C$10,IF(X9=Dienste!$A$11,Dienste!$C$11,IF(X9=Dienste!$A$12,Dienste!$C$12,IF(X9=Dienste!$A$13,Dienste!$C$13,IF(X9=Dienste!$A$14,Dienste!$C$14,IF(X9=Dienste!$A$15,Dienste!$C$15,IF(X9=Dienste!$A$16,Dienste!$C$16,IF(X9=Dienste!$A$17,Dienste!$C$17,IF(X9=Dienste!$A$18,Dienste!$C$18,IF(X9=Dienste!$A$19,Dienste!$C$19,IF(X9=Dienste!$A$20,Dienste!$C$20,IF(X9=Dienste!$A$21,Dienste!$C$21,IF(X9=Dienste!$A$22,Dienste!$C$22,IF(X9=Dienste!$A$23,Dienste!$C$23,IF(X9=Dienste!$A$24,Dienste!$C$24,IF(X9=Dienste!$A$25,Dienste!$C$25,IF(X9=Dienste!$A$26,Dienste!$C$26,IF(X9=Dienste!$A$27,Dienste!$C$27,IF(X9=Dienste!$A$28,Dienste!$C$28,IF(X9=Dienste!#REF!,Dienste!#REF!,IF(X9=Dienste!#REF!,Dienste!#REF!,IF(X9=Dienste!#REF!,Dienste!#REF!,IF(X9=Dienste!#REF!,Dienste!#REF!,IF(X9=Dienste!$A$33,Dienste!$C$33,IF(X9=Dienste!$A$34,Dienste!$C$34,IF(X9=Dienste!$A$35,Dienste!$C$35,IF(X9=Dienste!$A$36,Dienste!$C$36,)))))))))))))))))))))))))))))))))))</f>
        <v>9</v>
      </c>
      <c r="BS9" s="27">
        <f>IF(Y9=Dienste!$A$2,Dienste!$C$2,IF(Y9=Dienste!$A$3,Dienste!$C$3,IF(Y9=Dienste!$A$4,Dienste!$C$4,IF(Y9=Dienste!$A$5,Dienste!$C$5,IF(Y9=Dienste!$A$6,Dienste!$C$6,IF(Y9=Dienste!$A$7,Dienste!$C$7,IF(Y9=Dienste!$A$8,Dienste!$C$8,IF(Y9=Dienste!$A$9,Dienste!$C$9,IF(Y9=Dienste!$A$10,Dienste!$C$10,IF(Y9=Dienste!$A$11,Dienste!$C$11,IF(Y9=Dienste!$A$12,Dienste!$C$12,IF(Y9=Dienste!$A$13,Dienste!$C$13,IF(Y9=Dienste!$A$14,Dienste!$C$14,IF(Y9=Dienste!$A$15,Dienste!$C$15,IF(Y9=Dienste!$A$16,Dienste!$C$16,IF(Y9=Dienste!$A$17,Dienste!$C$17,IF(Y9=Dienste!$A$18,Dienste!$C$18,IF(Y9=Dienste!$A$19,Dienste!$C$19,IF(Y9=Dienste!$A$20,Dienste!$C$20,IF(Y9=Dienste!$A$21,Dienste!$C$21,IF(Y9=Dienste!$A$22,Dienste!$C$22,IF(Y9=Dienste!$A$23,Dienste!$C$23,IF(Y9=Dienste!$A$24,Dienste!$C$24,IF(Y9=Dienste!$A$25,Dienste!$C$25,IF(Y9=Dienste!$A$26,Dienste!$C$26,IF(Y9=Dienste!$A$27,Dienste!$C$27,IF(Y9=Dienste!$A$28,Dienste!$C$28,IF(Y9=Dienste!#REF!,Dienste!#REF!,IF(Y9=Dienste!#REF!,Dienste!#REF!,IF(Y9=Dienste!#REF!,Dienste!#REF!,IF(Y9=Dienste!#REF!,Dienste!#REF!,IF(Y9=Dienste!$A$33,Dienste!$C$33,IF(Y9=Dienste!$A$34,Dienste!$C$34,IF(Y9=Dienste!$A$35,Dienste!$C$35,IF(Y9=Dienste!$A$36,Dienste!$C$36,)))))))))))))))))))))))))))))))))))</f>
        <v>0</v>
      </c>
      <c r="BT9" s="27">
        <f>IF(Z9=Dienste!$A$2,Dienste!$C$2,IF(Z9=Dienste!$A$3,Dienste!$C$3,IF(Z9=Dienste!$A$4,Dienste!$C$4,IF(Z9=Dienste!$A$5,Dienste!$C$5,IF(Z9=Dienste!$A$6,Dienste!$C$6,IF(Z9=Dienste!$A$7,Dienste!$C$7,IF(Z9=Dienste!$A$8,Dienste!$C$8,IF(Z9=Dienste!$A$9,Dienste!$C$9,IF(Z9=Dienste!$A$10,Dienste!$C$10,IF(Z9=Dienste!$A$11,Dienste!$C$11,IF(Z9=Dienste!$A$12,Dienste!$C$12,IF(Z9=Dienste!$A$13,Dienste!$C$13,IF(Z9=Dienste!$A$14,Dienste!$C$14,IF(Z9=Dienste!$A$15,Dienste!$C$15,IF(Z9=Dienste!$A$16,Dienste!$C$16,IF(Z9=Dienste!$A$17,Dienste!$C$17,IF(Z9=Dienste!$A$18,Dienste!$C$18,IF(Z9=Dienste!$A$19,Dienste!$C$19,IF(Z9=Dienste!$A$20,Dienste!$C$20,IF(Z9=Dienste!$A$21,Dienste!$C$21,IF(Z9=Dienste!$A$22,Dienste!$C$22,IF(Z9=Dienste!$A$23,Dienste!$C$23,IF(Z9=Dienste!$A$24,Dienste!$C$24,IF(Z9=Dienste!$A$25,Dienste!$C$25,IF(Z9=Dienste!$A$26,Dienste!$C$26,IF(Z9=Dienste!$A$27,Dienste!$C$27,IF(Z9=Dienste!$A$28,Dienste!$C$28,IF(Z9=Dienste!#REF!,Dienste!#REF!,IF(Z9=Dienste!#REF!,Dienste!#REF!,IF(Z9=Dienste!#REF!,Dienste!#REF!,IF(Z9=Dienste!#REF!,Dienste!#REF!,IF(Z9=Dienste!$A$33,Dienste!$C$33,IF(Z9=Dienste!$A$34,Dienste!$C$34,IF(Z9=Dienste!$A$35,Dienste!$C$35,IF(Z9=Dienste!$A$36,Dienste!$C$36,)))))))))))))))))))))))))))))))))))</f>
        <v>0</v>
      </c>
      <c r="BU9" s="27">
        <f>IF(AA9=Dienste!$A$2,Dienste!$C$2,IF(AA9=Dienste!$A$3,Dienste!$C$3,IF(AA9=Dienste!$A$4,Dienste!$C$4,IF(AA9=Dienste!$A$5,Dienste!$C$5,IF(AA9=Dienste!$A$6,Dienste!$C$6,IF(AA9=Dienste!$A$7,Dienste!$C$7,IF(AA9=Dienste!$A$8,Dienste!$C$8,IF(AA9=Dienste!$A$9,Dienste!$C$9,IF(AA9=Dienste!$A$10,Dienste!$C$10,IF(AA9=Dienste!$A$11,Dienste!$C$11,IF(AA9=Dienste!$A$12,Dienste!$C$12,IF(AA9=Dienste!$A$13,Dienste!$C$13,IF(AA9=Dienste!$A$14,Dienste!$C$14,IF(AA9=Dienste!$A$15,Dienste!$C$15,IF(AA9=Dienste!$A$16,Dienste!$C$16,IF(AA9=Dienste!$A$17,Dienste!$C$17,IF(AA9=Dienste!$A$18,Dienste!$C$18,IF(AA9=Dienste!$A$19,Dienste!$C$19,IF(AA9=Dienste!$A$20,Dienste!$C$20,IF(AA9=Dienste!$A$21,Dienste!$C$21,IF(AA9=Dienste!$A$22,Dienste!$C$22,IF(AA9=Dienste!$A$23,Dienste!$C$23,IF(AA9=Dienste!$A$24,Dienste!$C$24,IF(AA9=Dienste!$A$25,Dienste!$C$25,IF(AA9=Dienste!$A$26,Dienste!$C$26,IF(AA9=Dienste!$A$27,Dienste!$C$27,IF(AA9=Dienste!$A$28,Dienste!$C$28,IF(AA9=Dienste!#REF!,Dienste!#REF!,IF(AA9=Dienste!#REF!,Dienste!#REF!,IF(AA9=Dienste!#REF!,Dienste!#REF!,IF(AA9=Dienste!#REF!,Dienste!#REF!,IF(AA9=Dienste!$A$33,Dienste!$C$33,IF(AA9=Dienste!$A$34,Dienste!$C$34,IF(AA9=Dienste!$A$35,Dienste!$C$35,IF(AA9=Dienste!$A$36,Dienste!$C$36,)))))))))))))))))))))))))))))))))))</f>
        <v>8</v>
      </c>
      <c r="BV9" s="27">
        <f>IF(AB9=Dienste!$A$2,Dienste!$C$2,IF(AB9=Dienste!$A$3,Dienste!$C$3,IF(AB9=Dienste!$A$4,Dienste!$C$4,IF(AB9=Dienste!$A$5,Dienste!$C$5,IF(AB9=Dienste!$A$6,Dienste!$C$6,IF(AB9=Dienste!$A$7,Dienste!$C$7,IF(AB9=Dienste!$A$8,Dienste!$C$8,IF(AB9=Dienste!$A$9,Dienste!$C$9,IF(AB9=Dienste!$A$10,Dienste!$C$10,IF(AB9=Dienste!$A$11,Dienste!$C$11,IF(AB9=Dienste!$A$12,Dienste!$C$12,IF(AB9=Dienste!$A$13,Dienste!$C$13,IF(AB9=Dienste!$A$14,Dienste!$C$14,IF(AB9=Dienste!$A$15,Dienste!$C$15,IF(AB9=Dienste!$A$16,Dienste!$C$16,IF(AB9=Dienste!$A$17,Dienste!$C$17,IF(AB9=Dienste!$A$18,Dienste!$C$18,IF(AB9=Dienste!$A$19,Dienste!$C$19,IF(AB9=Dienste!$A$20,Dienste!$C$20,IF(AB9=Dienste!$A$21,Dienste!$C$21,IF(AB9=Dienste!$A$22,Dienste!$C$22,IF(AB9=Dienste!$A$23,Dienste!$C$23,IF(AB9=Dienste!$A$24,Dienste!$C$24,IF(AB9=Dienste!$A$25,Dienste!$C$25,IF(AB9=Dienste!$A$26,Dienste!$C$26,IF(AB9=Dienste!$A$27,Dienste!$C$27,IF(AB9=Dienste!$A$28,Dienste!$C$28,IF(AB9=Dienste!#REF!,Dienste!#REF!,IF(AB9=Dienste!#REF!,Dienste!#REF!,IF(AB9=Dienste!#REF!,Dienste!#REF!,IF(AB9=Dienste!#REF!,Dienste!#REF!,IF(AB9=Dienste!$A$33,Dienste!$C$33,IF(AB9=Dienste!$A$34,Dienste!$C$34,IF(AB9=Dienste!$A$35,Dienste!$C$35,IF(AB9=Dienste!$A$36,Dienste!$C$36,)))))))))))))))))))))))))))))))))))</f>
        <v>8</v>
      </c>
      <c r="BW9" s="27">
        <f>IF(AC9=Dienste!$A$2,Dienste!$C$2,IF(AC9=Dienste!$A$3,Dienste!$C$3,IF(AC9=Dienste!$A$4,Dienste!$C$4,IF(AC9=Dienste!$A$5,Dienste!$C$5,IF(AC9=Dienste!$A$6,Dienste!$C$6,IF(AC9=Dienste!$A$7,Dienste!$C$7,IF(AC9=Dienste!$A$8,Dienste!$C$8,IF(AC9=Dienste!$A$9,Dienste!$C$9,IF(AC9=Dienste!$A$10,Dienste!$C$10,IF(AC9=Dienste!$A$11,Dienste!$C$11,IF(AC9=Dienste!$A$12,Dienste!$C$12,IF(AC9=Dienste!$A$13,Dienste!$C$13,IF(AC9=Dienste!$A$14,Dienste!$C$14,IF(AC9=Dienste!$A$15,Dienste!$C$15,IF(AC9=Dienste!$A$16,Dienste!$C$16,IF(AC9=Dienste!$A$17,Dienste!$C$17,IF(AC9=Dienste!$A$18,Dienste!$C$18,IF(AC9=Dienste!$A$19,Dienste!$C$19,IF(AC9=Dienste!$A$20,Dienste!$C$20,IF(AC9=Dienste!$A$21,Dienste!$C$21,IF(AC9=Dienste!$A$22,Dienste!$C$22,IF(AC9=Dienste!$A$23,Dienste!$C$23,IF(AC9=Dienste!$A$24,Dienste!$C$24,IF(AC9=Dienste!$A$25,Dienste!$C$25,IF(AC9=Dienste!$A$26,Dienste!$C$26,IF(AC9=Dienste!$A$27,Dienste!$C$27,IF(AC9=Dienste!$A$28,Dienste!$C$28,IF(AC9=Dienste!#REF!,Dienste!#REF!,IF(AC9=Dienste!#REF!,Dienste!#REF!,IF(AC9=Dienste!#REF!,Dienste!#REF!,IF(AC9=Dienste!#REF!,Dienste!#REF!,IF(AC9=Dienste!$A$33,Dienste!$C$33,IF(AC9=Dienste!$A$34,Dienste!$C$34,IF(AC9=Dienste!$A$35,Dienste!$C$35,IF(AC9=Dienste!$A$36,Dienste!$C$36,)))))))))))))))))))))))))))))))))))</f>
        <v>9</v>
      </c>
      <c r="BX9" s="27">
        <f>IF(AD9=Dienste!$A$2,Dienste!$C$2,IF(AD9=Dienste!$A$3,Dienste!$C$3,IF(AD9=Dienste!$A$4,Dienste!$C$4,IF(AD9=Dienste!$A$5,Dienste!$C$5,IF(AD9=Dienste!$A$6,Dienste!$C$6,IF(AD9=Dienste!$A$7,Dienste!$C$7,IF(AD9=Dienste!$A$8,Dienste!$C$8,IF(AD9=Dienste!$A$9,Dienste!$C$9,IF(AD9=Dienste!$A$10,Dienste!$C$10,IF(AD9=Dienste!$A$11,Dienste!$C$11,IF(AD9=Dienste!$A$12,Dienste!$C$12,IF(AD9=Dienste!$A$13,Dienste!$C$13,IF(AD9=Dienste!$A$14,Dienste!$C$14,IF(AD9=Dienste!$A$15,Dienste!$C$15,IF(AD9=Dienste!$A$16,Dienste!$C$16,IF(AD9=Dienste!$A$17,Dienste!$C$17,IF(AD9=Dienste!$A$18,Dienste!$C$18,IF(AD9=Dienste!$A$19,Dienste!$C$19,IF(AD9=Dienste!$A$20,Dienste!$C$20,IF(AD9=Dienste!$A$21,Dienste!$C$21,IF(AD9=Dienste!$A$22,Dienste!$C$22,IF(AD9=Dienste!$A$23,Dienste!$C$23,IF(AD9=Dienste!$A$24,Dienste!$C$24,IF(AD9=Dienste!$A$25,Dienste!$C$25,IF(AD9=Dienste!$A$26,Dienste!$C$26,IF(AD9=Dienste!$A$27,Dienste!$C$27,IF(AD9=Dienste!$A$28,Dienste!$C$28,IF(AD9=Dienste!#REF!,Dienste!#REF!,IF(AD9=Dienste!#REF!,Dienste!#REF!,IF(AD9=Dienste!#REF!,Dienste!#REF!,IF(AD9=Dienste!#REF!,Dienste!#REF!,IF(AD9=Dienste!$A$33,Dienste!$C$33,IF(AD9=Dienste!$A$34,Dienste!$C$34,IF(AD9=Dienste!$A$35,Dienste!$C$35,IF(AD9=Dienste!$A$36,Dienste!$C$36,)))))))))))))))))))))))))))))))))))</f>
        <v>8</v>
      </c>
      <c r="BY9" s="27">
        <f>IF(AE9=Dienste!$A$2,Dienste!$C$2,IF(AE9=Dienste!$A$3,Dienste!$C$3,IF(AE9=Dienste!$A$4,Dienste!$C$4,IF(AE9=Dienste!$A$5,Dienste!$C$5,IF(AE9=Dienste!$A$6,Dienste!$C$6,IF(AE9=Dienste!$A$7,Dienste!$C$7,IF(AE9=Dienste!$A$8,Dienste!$C$8,IF(AE9=Dienste!$A$9,Dienste!$C$9,IF(AE9=Dienste!$A$10,Dienste!$C$10,IF(AE9=Dienste!$A$11,Dienste!$C$11,IF(AE9=Dienste!$A$12,Dienste!$C$12,IF(AE9=Dienste!$A$13,Dienste!$C$13,IF(AE9=Dienste!$A$14,Dienste!$C$14,IF(AE9=Dienste!$A$15,Dienste!$C$15,IF(AE9=Dienste!$A$16,Dienste!$C$16,IF(AE9=Dienste!$A$17,Dienste!$C$17,IF(AE9=Dienste!$A$18,Dienste!$C$18,IF(AE9=Dienste!$A$19,Dienste!$C$19,IF(AE9=Dienste!$A$20,Dienste!$C$20,IF(AE9=Dienste!$A$21,Dienste!$C$21,IF(AE9=Dienste!$A$22,Dienste!$C$22,IF(AE9=Dienste!$A$23,Dienste!$C$23,IF(AE9=Dienste!$A$24,Dienste!$C$24,IF(AE9=Dienste!$A$25,Dienste!$C$25,IF(AE9=Dienste!$A$26,Dienste!$C$26,IF(AE9=Dienste!$A$27,Dienste!$C$27,IF(AE9=Dienste!$A$28,Dienste!$C$28,IF(AE9=Dienste!#REF!,Dienste!#REF!,IF(AE9=Dienste!#REF!,Dienste!#REF!,IF(AE9=Dienste!#REF!,Dienste!#REF!,IF(AE9=Dienste!#REF!,Dienste!#REF!,IF(AE9=Dienste!$A$33,Dienste!$C$33,IF(AE9=Dienste!$A$34,Dienste!$C$34,IF(AE9=Dienste!$A$35,Dienste!$C$35,IF(AE9=Dienste!$A$36,Dienste!$C$36,)))))))))))))))))))))))))))))))))))</f>
        <v>0</v>
      </c>
      <c r="BZ9" s="27">
        <f>IF(AF9=Dienste!$A$2,Dienste!$C$2,IF(AF9=Dienste!$A$3,Dienste!$C$3,IF(AF9=Dienste!$A$4,Dienste!$C$4,IF(AF9=Dienste!$A$5,Dienste!$C$5,IF(AF9=Dienste!$A$6,Dienste!$C$6,IF(AF9=Dienste!$A$7,Dienste!$C$7,IF(AF9=Dienste!$A$8,Dienste!$C$8,IF(AF9=Dienste!$A$9,Dienste!$C$9,IF(AF9=Dienste!$A$10,Dienste!$C$10,IF(AF9=Dienste!$A$11,Dienste!$C$11,IF(AF9=Dienste!$A$12,Dienste!$C$12,IF(AF9=Dienste!$A$13,Dienste!$C$13,IF(AF9=Dienste!$A$14,Dienste!$C$14,IF(AF9=Dienste!$A$15,Dienste!$C$15,IF(AF9=Dienste!$A$16,Dienste!$C$16,IF(AF9=Dienste!$A$17,Dienste!$C$17,IF(AF9=Dienste!$A$18,Dienste!$C$18,IF(AF9=Dienste!$A$19,Dienste!$C$19,IF(AF9=Dienste!$A$20,Dienste!$C$20,IF(AF9=Dienste!$A$21,Dienste!$C$21,IF(AF9=Dienste!$A$22,Dienste!$C$22,IF(AF9=Dienste!$A$23,Dienste!$C$23,IF(AF9=Dienste!$A$24,Dienste!$C$24,IF(AF9=Dienste!$A$25,Dienste!$C$25,IF(AF9=Dienste!$A$26,Dienste!$C$26,IF(AF9=Dienste!$A$27,Dienste!$C$27,IF(AF9=Dienste!$A$28,Dienste!$C$28,IF(AF9=Dienste!#REF!,Dienste!#REF!,IF(AF9=Dienste!#REF!,Dienste!#REF!,IF(AF9=Dienste!#REF!,Dienste!#REF!,IF(AF9=Dienste!#REF!,Dienste!#REF!,IF(AF9=Dienste!$A$33,Dienste!$C$33,IF(AF9=Dienste!$A$34,Dienste!$C$34,IF(AF9=Dienste!$A$35,Dienste!$C$35,IF(AF9=Dienste!$A$36,Dienste!$C$36,)))))))))))))))))))))))))))))))))))</f>
        <v>0</v>
      </c>
      <c r="CA9" s="27">
        <f>IF(AG9=Dienste!$A$2,Dienste!$C$2,IF(AG9=Dienste!$A$3,Dienste!$C$3,IF(AG9=Dienste!$A$4,Dienste!$C$4,IF(AG9=Dienste!$A$5,Dienste!$C$5,IF(AG9=Dienste!$A$6,Dienste!$C$6,IF(AG9=Dienste!$A$7,Dienste!$C$7,IF(AG9=Dienste!$A$8,Dienste!$C$8,IF(AG9=Dienste!$A$9,Dienste!$C$9,IF(AG9=Dienste!$A$10,Dienste!$C$10,IF(AG9=Dienste!$A$11,Dienste!$C$11,IF(AG9=Dienste!$A$12,Dienste!$C$12,IF(AG9=Dienste!$A$13,Dienste!$C$13,IF(AG9=Dienste!$A$14,Dienste!$C$14,IF(AG9=Dienste!$A$15,Dienste!$C$15,IF(AG9=Dienste!$A$16,Dienste!$C$16,IF(AG9=Dienste!$A$17,Dienste!$C$17,IF(AG9=Dienste!$A$18,Dienste!$C$18,IF(AG9=Dienste!$A$19,Dienste!$C$19,IF(AG9=Dienste!$A$20,Dienste!$C$20,IF(AG9=Dienste!$A$21,Dienste!$C$21,IF(AG9=Dienste!$A$22,Dienste!$C$22,IF(AG9=Dienste!$A$23,Dienste!$C$23,IF(AG9=Dienste!$A$24,Dienste!$C$24,IF(AG9=Dienste!$A$25,Dienste!$C$25,IF(AG9=Dienste!$A$26,Dienste!$C$26,IF(AG9=Dienste!$A$27,Dienste!$C$27,IF(AG9=Dienste!$A$28,Dienste!$C$28,IF(AG9=Dienste!#REF!,Dienste!#REF!,IF(AG9=Dienste!#REF!,Dienste!#REF!,IF(AG9=Dienste!#REF!,Dienste!#REF!,IF(AG9=Dienste!#REF!,Dienste!#REF!,IF(AG9=Dienste!$A$33,Dienste!$C$33,IF(AG9=Dienste!$A$34,Dienste!$C$34,IF(AG9=Dienste!$A$35,Dienste!$C$35,IF(AG9=Dienste!$A$36,Dienste!$C$36,)))))))))))))))))))))))))))))))))))</f>
        <v>0</v>
      </c>
      <c r="CB9" s="27">
        <f>IF(AH9=Dienste!$A$2,Dienste!$C$2,IF(AH9=Dienste!$A$3,Dienste!$C$3,IF(AH9=Dienste!$A$4,Dienste!$C$4,IF(AH9=Dienste!$A$5,Dienste!$C$5,IF(AH9=Dienste!$A$6,Dienste!$C$6,IF(AH9=Dienste!$A$7,Dienste!$C$7,IF(AH9=Dienste!$A$8,Dienste!$C$8,IF(AH9=Dienste!$A$9,Dienste!$C$9,IF(AH9=Dienste!$A$10,Dienste!$C$10,IF(AH9=Dienste!$A$11,Dienste!$C$11,IF(AH9=Dienste!$A$12,Dienste!$C$12,IF(AH9=Dienste!$A$13,Dienste!$C$13,IF(AH9=Dienste!$A$14,Dienste!$C$14,IF(AH9=Dienste!$A$15,Dienste!$C$15,IF(AH9=Dienste!$A$16,Dienste!$C$16,IF(AH9=Dienste!$A$17,Dienste!$C$17,IF(AH9=Dienste!$A$18,Dienste!$C$18,IF(AH9=Dienste!$A$19,Dienste!$C$19,IF(AH9=Dienste!$A$20,Dienste!$C$20,IF(AH9=Dienste!$A$21,Dienste!$C$21,IF(AH9=Dienste!$A$22,Dienste!$C$22,IF(AH9=Dienste!$A$23,Dienste!$C$23,IF(AH9=Dienste!$A$24,Dienste!$C$24,IF(AH9=Dienste!$A$25,Dienste!$C$25,IF(AH9=Dienste!$A$26,Dienste!$C$26,IF(AH9=Dienste!$A$27,Dienste!$C$27,IF(AH9=Dienste!$A$28,Dienste!$C$28,IF(AH9=Dienste!#REF!,Dienste!#REF!,IF(AH9=Dienste!#REF!,Dienste!#REF!,IF(AH9=Dienste!#REF!,Dienste!#REF!,IF(AH9=Dienste!#REF!,Dienste!#REF!,IF(AH9=Dienste!$A$33,Dienste!$C$33,IF(AH9=Dienste!$A$34,Dienste!$C$34,IF(AH9=Dienste!$A$35,Dienste!$C$35,IF(AH9=Dienste!$A$36,Dienste!$C$36,)))))))))))))))))))))))))))))))))))</f>
        <v>8</v>
      </c>
      <c r="CC9" s="27" t="e">
        <f>IF(AI9=Dienste!$A$2,Dienste!$C$2,IF(AI9=Dienste!$A$3,Dienste!$C$3,IF(AI9=Dienste!$A$4,Dienste!$C$4,IF(AI9=Dienste!$A$5,Dienste!$C$5,IF(AI9=Dienste!$A$6,Dienste!$C$6,IF(AI9=Dienste!$A$7,Dienste!$C$7,IF(AI9=Dienste!$A$8,Dienste!$C$8,IF(AI9=Dienste!$A$9,Dienste!$C$9,IF(AI9=Dienste!$A$10,Dienste!$C$10,IF(AI9=Dienste!$A$11,Dienste!$C$11,IF(AI9=Dienste!$A$12,Dienste!$C$12,IF(AI9=Dienste!$A$13,Dienste!$C$13,IF(AI9=Dienste!$A$14,Dienste!$C$14,IF(AI9=Dienste!$A$15,Dienste!$C$15,IF(AI9=Dienste!$A$16,Dienste!$C$16,IF(AI9=Dienste!$A$17,Dienste!$C$17,IF(AI9=Dienste!$A$18,Dienste!$C$18,IF(AI9=Dienste!$A$19,Dienste!$C$19,IF(AI9=Dienste!$A$20,Dienste!$C$20,IF(AI9=Dienste!$A$21,Dienste!$C$21,IF(AI9=Dienste!$A$22,Dienste!$C$22,IF(AI9=Dienste!$A$23,Dienste!$C$23,IF(AI9=Dienste!$A$24,Dienste!$C$24,IF(AI9=Dienste!$A$25,Dienste!$C$25,IF(AI9=Dienste!$A$26,Dienste!$C$26,IF(AI9=Dienste!$A$27,Dienste!$C$27,IF(AI9=Dienste!$A$28,Dienste!$C$28,IF(AI9=Dienste!#REF!,Dienste!#REF!,IF(AI9=Dienste!#REF!,Dienste!#REF!,IF(AI9=Dienste!#REF!,Dienste!#REF!,IF(AI9=Dienste!#REF!,Dienste!#REF!,IF(AI9=Dienste!$A$33,Dienste!$C$33,IF(AI9=Dienste!$A$34,Dienste!$C$34,IF(AI9=Dienste!$A$35,Dienste!$C$35,IF(AI9=Dienste!$A$36,Dienste!$C$36,)))))))))))))))))))))))))))))))))))</f>
        <v>#REF!</v>
      </c>
    </row>
    <row r="10" spans="1:81" x14ac:dyDescent="0.25">
      <c r="A10" s="109" t="s">
        <v>128</v>
      </c>
      <c r="B10" s="15" t="s">
        <v>61</v>
      </c>
      <c r="C10" s="15">
        <v>40</v>
      </c>
      <c r="D10" s="98">
        <v>1</v>
      </c>
      <c r="E10" s="104" t="s">
        <v>83</v>
      </c>
      <c r="F10" s="9" t="s">
        <v>58</v>
      </c>
      <c r="G10" s="9" t="s">
        <v>31</v>
      </c>
      <c r="H10" s="9" t="s">
        <v>31</v>
      </c>
      <c r="I10" s="9" t="s">
        <v>6</v>
      </c>
      <c r="J10" s="9" t="s">
        <v>60</v>
      </c>
      <c r="K10" s="9" t="s">
        <v>83</v>
      </c>
      <c r="L10" s="9" t="s">
        <v>83</v>
      </c>
      <c r="M10" s="9" t="s">
        <v>60</v>
      </c>
      <c r="N10" s="9" t="s">
        <v>60</v>
      </c>
      <c r="O10" s="9" t="s">
        <v>60</v>
      </c>
      <c r="P10" s="9" t="s">
        <v>31</v>
      </c>
      <c r="Q10" s="9" t="s">
        <v>80</v>
      </c>
      <c r="R10" s="9" t="s">
        <v>83</v>
      </c>
      <c r="S10" s="9" t="s">
        <v>83</v>
      </c>
      <c r="T10" s="9" t="s">
        <v>58</v>
      </c>
      <c r="U10" s="9" t="s">
        <v>31</v>
      </c>
      <c r="V10" s="9" t="s">
        <v>58</v>
      </c>
      <c r="W10" s="9" t="s">
        <v>31</v>
      </c>
      <c r="X10" s="9" t="s">
        <v>58</v>
      </c>
      <c r="Y10" s="9" t="s">
        <v>83</v>
      </c>
      <c r="Z10" s="9" t="s">
        <v>83</v>
      </c>
      <c r="AA10" s="9" t="s">
        <v>60</v>
      </c>
      <c r="AB10" s="9" t="s">
        <v>60</v>
      </c>
      <c r="AC10" s="9" t="s">
        <v>60</v>
      </c>
      <c r="AD10" s="9" t="s">
        <v>60</v>
      </c>
      <c r="AE10" s="9" t="s">
        <v>31</v>
      </c>
      <c r="AF10" s="9" t="s">
        <v>35</v>
      </c>
      <c r="AG10" s="9" t="s">
        <v>83</v>
      </c>
      <c r="AH10" s="9" t="s">
        <v>31</v>
      </c>
      <c r="AI10" s="15"/>
      <c r="AJ10" s="109">
        <v>11.35</v>
      </c>
      <c r="AK10" s="15">
        <v>168</v>
      </c>
      <c r="AL10" s="109">
        <v>184</v>
      </c>
      <c r="AM10" s="15">
        <v>27.35</v>
      </c>
      <c r="AN10" s="170">
        <v>16</v>
      </c>
      <c r="AO10" s="109">
        <v>0</v>
      </c>
      <c r="AP10" s="15">
        <v>0</v>
      </c>
      <c r="AQ10" s="98">
        <v>3</v>
      </c>
      <c r="AR10" s="109">
        <v>60</v>
      </c>
      <c r="AS10" s="15">
        <v>42.230769230769234</v>
      </c>
      <c r="AT10" s="98">
        <v>26</v>
      </c>
      <c r="AU10" s="96" t="e">
        <f t="shared" si="2"/>
        <v>#REF!</v>
      </c>
      <c r="AV10" s="27" t="e">
        <f t="shared" si="0"/>
        <v>#REF!</v>
      </c>
      <c r="AW10" s="58" t="e">
        <f t="shared" si="1"/>
        <v>#REF!</v>
      </c>
      <c r="AY10" s="27">
        <f>IF(E10=Dienste!$A$2,Dienste!$C$2,IF(E10=Dienste!$A$3,Dienste!$C$3,IF(E10=Dienste!$A$4,Dienste!$C$4,IF(E10=Dienste!$A$5,Dienste!$C$5,IF(E10=Dienste!$A$6,Dienste!$C$6,IF(E10=Dienste!$A$7,Dienste!$C$7,IF(E10=Dienste!$A$8,Dienste!$C$8,IF(E10=Dienste!$A$9,Dienste!$C$9,IF(E10=Dienste!$A$10,Dienste!$C$10,IF(E10=Dienste!$A$11,Dienste!$C$11,IF(E10=Dienste!$A$12,Dienste!$C$12,IF(E10=Dienste!$A$13,Dienste!$C$13,IF(E10=Dienste!$A$14,Dienste!$C$14,IF(E10=Dienste!$A$15,Dienste!$C$15,IF(E10=Dienste!$A$16,Dienste!$C$16,IF(E10=Dienste!$A$17,Dienste!$C$17,IF(E10=Dienste!$A$18,Dienste!$C$18,IF(E10=Dienste!$A$19,Dienste!$C$19,IF(E10=Dienste!$A$20,Dienste!$C$20,IF(E10=Dienste!$A$21,Dienste!$C$21,IF(E10=Dienste!$A$22,Dienste!$C$22,IF(E10=Dienste!$A$23,Dienste!$C$23,IF(E10=Dienste!$A$24,Dienste!$C$24,IF(E10=Dienste!$A$25,Dienste!$C$25,IF(E10=Dienste!$A$26,Dienste!$C$26,IF(E10=Dienste!$A$27,Dienste!$C$27,IF(E10=Dienste!$A$28,Dienste!$C$28,IF(E10=Dienste!#REF!,Dienste!#REF!,IF(E10=Dienste!#REF!,Dienste!#REF!,IF(E10=Dienste!#REF!,Dienste!#REF!,IF(E10=Dienste!#REF!,Dienste!#REF!,IF(E10=Dienste!$A$33,Dienste!$C$33,IF(E10=Dienste!$A$34,Dienste!$C$34,IF(E10=Dienste!$A$35,Dienste!$C$35,IF(E10=Dienste!$A$36,Dienste!$C$36,)))))))))))))))))))))))))))))))))))</f>
        <v>0</v>
      </c>
      <c r="AZ10" s="27">
        <f>IF(F10=Dienste!$A$2,Dienste!$C$2,IF(F10=Dienste!$A$3,Dienste!$C$3,IF(F10=Dienste!$A$4,Dienste!$C$4,IF(F10=Dienste!$A$5,Dienste!$C$5,IF(F10=Dienste!$A$6,Dienste!$C$6,IF(F10=Dienste!$A$7,Dienste!$C$7,IF(F10=Dienste!$A$8,Dienste!$C$8,IF(F10=Dienste!$A$9,Dienste!$C$9,IF(F10=Dienste!$A$10,Dienste!$C$10,IF(F10=Dienste!$A$11,Dienste!$C$11,IF(F10=Dienste!$A$12,Dienste!$C$12,IF(F10=Dienste!$A$13,Dienste!$C$13,IF(F10=Dienste!$A$14,Dienste!$C$14,IF(F10=Dienste!$A$15,Dienste!$C$15,IF(F10=Dienste!$A$16,Dienste!$C$16,IF(F10=Dienste!$A$17,Dienste!$C$17,IF(F10=Dienste!$A$18,Dienste!$C$18,IF(F10=Dienste!$A$19,Dienste!$C$19,IF(F10=Dienste!$A$20,Dienste!$C$20,IF(F10=Dienste!$A$21,Dienste!$C$21,IF(F10=Dienste!$A$22,Dienste!$C$22,IF(F10=Dienste!$A$23,Dienste!$C$23,IF(F10=Dienste!$A$24,Dienste!$C$24,IF(F10=Dienste!$A$25,Dienste!$C$25,IF(F10=Dienste!$A$26,Dienste!$C$26,IF(F10=Dienste!$A$27,Dienste!$C$27,IF(F10=Dienste!$A$28,Dienste!$C$28,IF(F10=Dienste!#REF!,Dienste!#REF!,IF(F10=Dienste!#REF!,Dienste!#REF!,IF(F10=Dienste!#REF!,Dienste!#REF!,IF(F10=Dienste!#REF!,Dienste!#REF!,IF(F10=Dienste!$A$33,Dienste!$C$33,IF(F10=Dienste!$A$34,Dienste!$C$34,IF(F10=Dienste!$A$35,Dienste!$C$35,IF(F10=Dienste!$A$36,Dienste!$C$36,)))))))))))))))))))))))))))))))))))</f>
        <v>8</v>
      </c>
      <c r="BA10" s="27">
        <f>IF(G10=Dienste!$A$2,Dienste!$C$2,IF(G10=Dienste!$A$3,Dienste!$C$3,IF(G10=Dienste!$A$4,Dienste!$C$4,IF(G10=Dienste!$A$5,Dienste!$C$5,IF(G10=Dienste!$A$6,Dienste!$C$6,IF(G10=Dienste!$A$7,Dienste!$C$7,IF(G10=Dienste!$A$8,Dienste!$C$8,IF(G10=Dienste!$A$9,Dienste!$C$9,IF(G10=Dienste!$A$10,Dienste!$C$10,IF(G10=Dienste!$A$11,Dienste!$C$11,IF(G10=Dienste!$A$12,Dienste!$C$12,IF(G10=Dienste!$A$13,Dienste!$C$13,IF(G10=Dienste!$A$14,Dienste!$C$14,IF(G10=Dienste!$A$15,Dienste!$C$15,IF(G10=Dienste!$A$16,Dienste!$C$16,IF(G10=Dienste!$A$17,Dienste!$C$17,IF(G10=Dienste!$A$18,Dienste!$C$18,IF(G10=Dienste!$A$19,Dienste!$C$19,IF(G10=Dienste!$A$20,Dienste!$C$20,IF(G10=Dienste!$A$21,Dienste!$C$21,IF(G10=Dienste!$A$22,Dienste!$C$22,IF(G10=Dienste!$A$23,Dienste!$C$23,IF(G10=Dienste!$A$24,Dienste!$C$24,IF(G10=Dienste!$A$25,Dienste!$C$25,IF(G10=Dienste!$A$26,Dienste!$C$26,IF(G10=Dienste!$A$27,Dienste!$C$27,IF(G10=Dienste!$A$28,Dienste!$C$28,IF(G10=Dienste!#REF!,Dienste!#REF!,IF(G10=Dienste!#REF!,Dienste!#REF!,IF(G10=Dienste!#REF!,Dienste!#REF!,IF(G10=Dienste!#REF!,Dienste!#REF!,IF(G10=Dienste!$A$33,Dienste!$C$33,IF(G10=Dienste!$A$34,Dienste!$C$34,IF(G10=Dienste!$A$35,Dienste!$C$35,IF(G10=Dienste!$A$36,Dienste!$C$36,)))))))))))))))))))))))))))))))))))</f>
        <v>8</v>
      </c>
      <c r="BB10" s="27">
        <f>IF(H10=Dienste!$A$2,Dienste!$C$2,IF(H10=Dienste!$A$3,Dienste!$C$3,IF(H10=Dienste!$A$4,Dienste!$C$4,IF(H10=Dienste!$A$5,Dienste!$C$5,IF(H10=Dienste!$A$6,Dienste!$C$6,IF(H10=Dienste!$A$7,Dienste!$C$7,IF(H10=Dienste!$A$8,Dienste!$C$8,IF(H10=Dienste!$A$9,Dienste!$C$9,IF(H10=Dienste!$A$10,Dienste!$C$10,IF(H10=Dienste!$A$11,Dienste!$C$11,IF(H10=Dienste!$A$12,Dienste!$C$12,IF(H10=Dienste!$A$13,Dienste!$C$13,IF(H10=Dienste!$A$14,Dienste!$C$14,IF(H10=Dienste!$A$15,Dienste!$C$15,IF(H10=Dienste!$A$16,Dienste!$C$16,IF(H10=Dienste!$A$17,Dienste!$C$17,IF(H10=Dienste!$A$18,Dienste!$C$18,IF(H10=Dienste!$A$19,Dienste!$C$19,IF(H10=Dienste!$A$20,Dienste!$C$20,IF(H10=Dienste!$A$21,Dienste!$C$21,IF(H10=Dienste!$A$22,Dienste!$C$22,IF(H10=Dienste!$A$23,Dienste!$C$23,IF(H10=Dienste!$A$24,Dienste!$C$24,IF(H10=Dienste!$A$25,Dienste!$C$25,IF(H10=Dienste!$A$26,Dienste!$C$26,IF(H10=Dienste!$A$27,Dienste!$C$27,IF(H10=Dienste!$A$28,Dienste!$C$28,IF(H10=Dienste!#REF!,Dienste!#REF!,IF(H10=Dienste!#REF!,Dienste!#REF!,IF(H10=Dienste!#REF!,Dienste!#REF!,IF(H10=Dienste!#REF!,Dienste!#REF!,IF(H10=Dienste!$A$33,Dienste!$C$33,IF(H10=Dienste!$A$34,Dienste!$C$34,IF(H10=Dienste!$A$35,Dienste!$C$35,IF(H10=Dienste!$A$36,Dienste!$C$36,)))))))))))))))))))))))))))))))))))</f>
        <v>8</v>
      </c>
      <c r="BC10" s="27">
        <f>IF(I10=Dienste!$A$2,Dienste!$C$2,IF(I10=Dienste!$A$3,Dienste!$C$3,IF(I10=Dienste!$A$4,Dienste!$C$4,IF(I10=Dienste!$A$5,Dienste!$C$5,IF(I10=Dienste!$A$6,Dienste!$C$6,IF(I10=Dienste!$A$7,Dienste!$C$7,IF(I10=Dienste!$A$8,Dienste!$C$8,IF(I10=Dienste!$A$9,Dienste!$C$9,IF(I10=Dienste!$A$10,Dienste!$C$10,IF(I10=Dienste!$A$11,Dienste!$C$11,IF(I10=Dienste!$A$12,Dienste!$C$12,IF(I10=Dienste!$A$13,Dienste!$C$13,IF(I10=Dienste!$A$14,Dienste!$C$14,IF(I10=Dienste!$A$15,Dienste!$C$15,IF(I10=Dienste!$A$16,Dienste!$C$16,IF(I10=Dienste!$A$17,Dienste!$C$17,IF(I10=Dienste!$A$18,Dienste!$C$18,IF(I10=Dienste!$A$19,Dienste!$C$19,IF(I10=Dienste!$A$20,Dienste!$C$20,IF(I10=Dienste!$A$21,Dienste!$C$21,IF(I10=Dienste!$A$22,Dienste!$C$22,IF(I10=Dienste!$A$23,Dienste!$C$23,IF(I10=Dienste!$A$24,Dienste!$C$24,IF(I10=Dienste!$A$25,Dienste!$C$25,IF(I10=Dienste!$A$26,Dienste!$C$26,IF(I10=Dienste!$A$27,Dienste!$C$27,IF(I10=Dienste!$A$28,Dienste!$C$28,IF(I10=Dienste!#REF!,Dienste!#REF!,IF(I10=Dienste!#REF!,Dienste!#REF!,IF(I10=Dienste!#REF!,Dienste!#REF!,IF(I10=Dienste!#REF!,Dienste!#REF!,IF(I10=Dienste!$A$33,Dienste!$C$33,IF(I10=Dienste!$A$34,Dienste!$C$34,IF(I10=Dienste!$A$35,Dienste!$C$35,IF(I10=Dienste!$A$36,Dienste!$C$36,)))))))))))))))))))))))))))))))))))</f>
        <v>8</v>
      </c>
      <c r="BD10" s="27">
        <f>IF(J10=Dienste!$A$2,Dienste!$C$2,IF(J10=Dienste!$A$3,Dienste!$C$3,IF(J10=Dienste!$A$4,Dienste!$C$4,IF(J10=Dienste!$A$5,Dienste!$C$5,IF(J10=Dienste!$A$6,Dienste!$C$6,IF(J10=Dienste!$A$7,Dienste!$C$7,IF(J10=Dienste!$A$8,Dienste!$C$8,IF(J10=Dienste!$A$9,Dienste!$C$9,IF(J10=Dienste!$A$10,Dienste!$C$10,IF(J10=Dienste!$A$11,Dienste!$C$11,IF(J10=Dienste!$A$12,Dienste!$C$12,IF(J10=Dienste!$A$13,Dienste!$C$13,IF(J10=Dienste!$A$14,Dienste!$C$14,IF(J10=Dienste!$A$15,Dienste!$C$15,IF(J10=Dienste!$A$16,Dienste!$C$16,IF(J10=Dienste!$A$17,Dienste!$C$17,IF(J10=Dienste!$A$18,Dienste!$C$18,IF(J10=Dienste!$A$19,Dienste!$C$19,IF(J10=Dienste!$A$20,Dienste!$C$20,IF(J10=Dienste!$A$21,Dienste!$C$21,IF(J10=Dienste!$A$22,Dienste!$C$22,IF(J10=Dienste!$A$23,Dienste!$C$23,IF(J10=Dienste!$A$24,Dienste!$C$24,IF(J10=Dienste!$A$25,Dienste!$C$25,IF(J10=Dienste!$A$26,Dienste!$C$26,IF(J10=Dienste!$A$27,Dienste!$C$27,IF(J10=Dienste!$A$28,Dienste!$C$28,IF(J10=Dienste!#REF!,Dienste!#REF!,IF(J10=Dienste!#REF!,Dienste!#REF!,IF(J10=Dienste!#REF!,Dienste!#REF!,IF(J10=Dienste!#REF!,Dienste!#REF!,IF(J10=Dienste!$A$33,Dienste!$C$33,IF(J10=Dienste!$A$34,Dienste!$C$34,IF(J10=Dienste!$A$35,Dienste!$C$35,IF(J10=Dienste!$A$36,Dienste!$C$36,)))))))))))))))))))))))))))))))))))</f>
        <v>10</v>
      </c>
      <c r="BE10" s="27">
        <f>IF(K10=Dienste!$A$2,Dienste!$C$2,IF(K10=Dienste!$A$3,Dienste!$C$3,IF(K10=Dienste!$A$4,Dienste!$C$4,IF(K10=Dienste!$A$5,Dienste!$C$5,IF(K10=Dienste!$A$6,Dienste!$C$6,IF(K10=Dienste!$A$7,Dienste!$C$7,IF(K10=Dienste!$A$8,Dienste!$C$8,IF(K10=Dienste!$A$9,Dienste!$C$9,IF(K10=Dienste!$A$10,Dienste!$C$10,IF(K10=Dienste!$A$11,Dienste!$C$11,IF(K10=Dienste!$A$12,Dienste!$C$12,IF(K10=Dienste!$A$13,Dienste!$C$13,IF(K10=Dienste!$A$14,Dienste!$C$14,IF(K10=Dienste!$A$15,Dienste!$C$15,IF(K10=Dienste!$A$16,Dienste!$C$16,IF(K10=Dienste!$A$17,Dienste!$C$17,IF(K10=Dienste!$A$18,Dienste!$C$18,IF(K10=Dienste!$A$19,Dienste!$C$19,IF(K10=Dienste!$A$20,Dienste!$C$20,IF(K10=Dienste!$A$21,Dienste!$C$21,IF(K10=Dienste!$A$22,Dienste!$C$22,IF(K10=Dienste!$A$23,Dienste!$C$23,IF(K10=Dienste!$A$24,Dienste!$C$24,IF(K10=Dienste!$A$25,Dienste!$C$25,IF(K10=Dienste!$A$26,Dienste!$C$26,IF(K10=Dienste!$A$27,Dienste!$C$27,IF(K10=Dienste!$A$28,Dienste!$C$28,IF(K10=Dienste!#REF!,Dienste!#REF!,IF(K10=Dienste!#REF!,Dienste!#REF!,IF(K10=Dienste!#REF!,Dienste!#REF!,IF(K10=Dienste!#REF!,Dienste!#REF!,IF(K10=Dienste!$A$33,Dienste!$C$33,IF(K10=Dienste!$A$34,Dienste!$C$34,IF(K10=Dienste!$A$35,Dienste!$C$35,IF(K10=Dienste!$A$36,Dienste!$C$36,)))))))))))))))))))))))))))))))))))</f>
        <v>0</v>
      </c>
      <c r="BF10" s="27">
        <f>IF(L10=Dienste!$A$2,Dienste!$C$2,IF(L10=Dienste!$A$3,Dienste!$C$3,IF(L10=Dienste!$A$4,Dienste!$C$4,IF(L10=Dienste!$A$5,Dienste!$C$5,IF(L10=Dienste!$A$6,Dienste!$C$6,IF(L10=Dienste!$A$7,Dienste!$C$7,IF(L10=Dienste!$A$8,Dienste!$C$8,IF(L10=Dienste!$A$9,Dienste!$C$9,IF(L10=Dienste!$A$10,Dienste!$C$10,IF(L10=Dienste!$A$11,Dienste!$C$11,IF(L10=Dienste!$A$12,Dienste!$C$12,IF(L10=Dienste!$A$13,Dienste!$C$13,IF(L10=Dienste!$A$14,Dienste!$C$14,IF(L10=Dienste!$A$15,Dienste!$C$15,IF(L10=Dienste!$A$16,Dienste!$C$16,IF(L10=Dienste!$A$17,Dienste!$C$17,IF(L10=Dienste!$A$18,Dienste!$C$18,IF(L10=Dienste!$A$19,Dienste!$C$19,IF(L10=Dienste!$A$20,Dienste!$C$20,IF(L10=Dienste!$A$21,Dienste!$C$21,IF(L10=Dienste!$A$22,Dienste!$C$22,IF(L10=Dienste!$A$23,Dienste!$C$23,IF(L10=Dienste!$A$24,Dienste!$C$24,IF(L10=Dienste!$A$25,Dienste!$C$25,IF(L10=Dienste!$A$26,Dienste!$C$26,IF(L10=Dienste!$A$27,Dienste!$C$27,IF(L10=Dienste!$A$28,Dienste!$C$28,IF(L10=Dienste!#REF!,Dienste!#REF!,IF(L10=Dienste!#REF!,Dienste!#REF!,IF(L10=Dienste!#REF!,Dienste!#REF!,IF(L10=Dienste!#REF!,Dienste!#REF!,IF(L10=Dienste!$A$33,Dienste!$C$33,IF(L10=Dienste!$A$34,Dienste!$C$34,IF(L10=Dienste!$A$35,Dienste!$C$35,IF(L10=Dienste!$A$36,Dienste!$C$36,)))))))))))))))))))))))))))))))))))</f>
        <v>0</v>
      </c>
      <c r="BG10" s="27">
        <f>IF(M10=Dienste!$A$2,Dienste!$C$2,IF(M10=Dienste!$A$3,Dienste!$C$3,IF(M10=Dienste!$A$4,Dienste!$C$4,IF(M10=Dienste!$A$5,Dienste!$C$5,IF(M10=Dienste!$A$6,Dienste!$C$6,IF(M10=Dienste!$A$7,Dienste!$C$7,IF(M10=Dienste!$A$8,Dienste!$C$8,IF(M10=Dienste!$A$9,Dienste!$C$9,IF(M10=Dienste!$A$10,Dienste!$C$10,IF(M10=Dienste!$A$11,Dienste!$C$11,IF(M10=Dienste!$A$12,Dienste!$C$12,IF(M10=Dienste!$A$13,Dienste!$C$13,IF(M10=Dienste!$A$14,Dienste!$C$14,IF(M10=Dienste!$A$15,Dienste!$C$15,IF(M10=Dienste!$A$16,Dienste!$C$16,IF(M10=Dienste!$A$17,Dienste!$C$17,IF(M10=Dienste!$A$18,Dienste!$C$18,IF(M10=Dienste!$A$19,Dienste!$C$19,IF(M10=Dienste!$A$20,Dienste!$C$20,IF(M10=Dienste!$A$21,Dienste!$C$21,IF(M10=Dienste!$A$22,Dienste!$C$22,IF(M10=Dienste!$A$23,Dienste!$C$23,IF(M10=Dienste!$A$24,Dienste!$C$24,IF(M10=Dienste!$A$25,Dienste!$C$25,IF(M10=Dienste!$A$26,Dienste!$C$26,IF(M10=Dienste!$A$27,Dienste!$C$27,IF(M10=Dienste!$A$28,Dienste!$C$28,IF(M10=Dienste!#REF!,Dienste!#REF!,IF(M10=Dienste!#REF!,Dienste!#REF!,IF(M10=Dienste!#REF!,Dienste!#REF!,IF(M10=Dienste!#REF!,Dienste!#REF!,IF(M10=Dienste!$A$33,Dienste!$C$33,IF(M10=Dienste!$A$34,Dienste!$C$34,IF(M10=Dienste!$A$35,Dienste!$C$35,IF(M10=Dienste!$A$36,Dienste!$C$36,)))))))))))))))))))))))))))))))))))</f>
        <v>10</v>
      </c>
      <c r="BH10" s="27">
        <f>IF(N10=Dienste!$A$2,Dienste!$C$2,IF(N10=Dienste!$A$3,Dienste!$C$3,IF(N10=Dienste!$A$4,Dienste!$C$4,IF(N10=Dienste!$A$5,Dienste!$C$5,IF(N10=Dienste!$A$6,Dienste!$C$6,IF(N10=Dienste!$A$7,Dienste!$C$7,IF(N10=Dienste!$A$8,Dienste!$C$8,IF(N10=Dienste!$A$9,Dienste!$C$9,IF(N10=Dienste!$A$10,Dienste!$C$10,IF(N10=Dienste!$A$11,Dienste!$C$11,IF(N10=Dienste!$A$12,Dienste!$C$12,IF(N10=Dienste!$A$13,Dienste!$C$13,IF(N10=Dienste!$A$14,Dienste!$C$14,IF(N10=Dienste!$A$15,Dienste!$C$15,IF(N10=Dienste!$A$16,Dienste!$C$16,IF(N10=Dienste!$A$17,Dienste!$C$17,IF(N10=Dienste!$A$18,Dienste!$C$18,IF(N10=Dienste!$A$19,Dienste!$C$19,IF(N10=Dienste!$A$20,Dienste!$C$20,IF(N10=Dienste!$A$21,Dienste!$C$21,IF(N10=Dienste!$A$22,Dienste!$C$22,IF(N10=Dienste!$A$23,Dienste!$C$23,IF(N10=Dienste!$A$24,Dienste!$C$24,IF(N10=Dienste!$A$25,Dienste!$C$25,IF(N10=Dienste!$A$26,Dienste!$C$26,IF(N10=Dienste!$A$27,Dienste!$C$27,IF(N10=Dienste!$A$28,Dienste!$C$28,IF(N10=Dienste!#REF!,Dienste!#REF!,IF(N10=Dienste!#REF!,Dienste!#REF!,IF(N10=Dienste!#REF!,Dienste!#REF!,IF(N10=Dienste!#REF!,Dienste!#REF!,IF(N10=Dienste!$A$33,Dienste!$C$33,IF(N10=Dienste!$A$34,Dienste!$C$34,IF(N10=Dienste!$A$35,Dienste!$C$35,IF(N10=Dienste!$A$36,Dienste!$C$36,)))))))))))))))))))))))))))))))))))</f>
        <v>10</v>
      </c>
      <c r="BI10" s="27">
        <f>IF(O10=Dienste!$A$2,Dienste!$C$2,IF(O10=Dienste!$A$3,Dienste!$C$3,IF(O10=Dienste!$A$4,Dienste!$C$4,IF(O10=Dienste!$A$5,Dienste!$C$5,IF(O10=Dienste!$A$6,Dienste!$C$6,IF(O10=Dienste!$A$7,Dienste!$C$7,IF(O10=Dienste!$A$8,Dienste!$C$8,IF(O10=Dienste!$A$9,Dienste!$C$9,IF(O10=Dienste!$A$10,Dienste!$C$10,IF(O10=Dienste!$A$11,Dienste!$C$11,IF(O10=Dienste!$A$12,Dienste!$C$12,IF(O10=Dienste!$A$13,Dienste!$C$13,IF(O10=Dienste!$A$14,Dienste!$C$14,IF(O10=Dienste!$A$15,Dienste!$C$15,IF(O10=Dienste!$A$16,Dienste!$C$16,IF(O10=Dienste!$A$17,Dienste!$C$17,IF(O10=Dienste!$A$18,Dienste!$C$18,IF(O10=Dienste!$A$19,Dienste!$C$19,IF(O10=Dienste!$A$20,Dienste!$C$20,IF(O10=Dienste!$A$21,Dienste!$C$21,IF(O10=Dienste!$A$22,Dienste!$C$22,IF(O10=Dienste!$A$23,Dienste!$C$23,IF(O10=Dienste!$A$24,Dienste!$C$24,IF(O10=Dienste!$A$25,Dienste!$C$25,IF(O10=Dienste!$A$26,Dienste!$C$26,IF(O10=Dienste!$A$27,Dienste!$C$27,IF(O10=Dienste!$A$28,Dienste!$C$28,IF(O10=Dienste!#REF!,Dienste!#REF!,IF(O10=Dienste!#REF!,Dienste!#REF!,IF(O10=Dienste!#REF!,Dienste!#REF!,IF(O10=Dienste!#REF!,Dienste!#REF!,IF(O10=Dienste!$A$33,Dienste!$C$33,IF(O10=Dienste!$A$34,Dienste!$C$34,IF(O10=Dienste!$A$35,Dienste!$C$35,IF(O10=Dienste!$A$36,Dienste!$C$36,)))))))))))))))))))))))))))))))))))</f>
        <v>10</v>
      </c>
      <c r="BJ10" s="27">
        <f>IF(P10=Dienste!$A$2,Dienste!$C$2,IF(P10=Dienste!$A$3,Dienste!$C$3,IF(P10=Dienste!$A$4,Dienste!$C$4,IF(P10=Dienste!$A$5,Dienste!$C$5,IF(P10=Dienste!$A$6,Dienste!$C$6,IF(P10=Dienste!$A$7,Dienste!$C$7,IF(P10=Dienste!$A$8,Dienste!$C$8,IF(P10=Dienste!$A$9,Dienste!$C$9,IF(P10=Dienste!$A$10,Dienste!$C$10,IF(P10=Dienste!$A$11,Dienste!$C$11,IF(P10=Dienste!$A$12,Dienste!$C$12,IF(P10=Dienste!$A$13,Dienste!$C$13,IF(P10=Dienste!$A$14,Dienste!$C$14,IF(P10=Dienste!$A$15,Dienste!$C$15,IF(P10=Dienste!$A$16,Dienste!$C$16,IF(P10=Dienste!$A$17,Dienste!$C$17,IF(P10=Dienste!$A$18,Dienste!$C$18,IF(P10=Dienste!$A$19,Dienste!$C$19,IF(P10=Dienste!$A$20,Dienste!$C$20,IF(P10=Dienste!$A$21,Dienste!$C$21,IF(P10=Dienste!$A$22,Dienste!$C$22,IF(P10=Dienste!$A$23,Dienste!$C$23,IF(P10=Dienste!$A$24,Dienste!$C$24,IF(P10=Dienste!$A$25,Dienste!$C$25,IF(P10=Dienste!$A$26,Dienste!$C$26,IF(P10=Dienste!$A$27,Dienste!$C$27,IF(P10=Dienste!$A$28,Dienste!$C$28,IF(P10=Dienste!#REF!,Dienste!#REF!,IF(P10=Dienste!#REF!,Dienste!#REF!,IF(P10=Dienste!#REF!,Dienste!#REF!,IF(P10=Dienste!#REF!,Dienste!#REF!,IF(P10=Dienste!$A$33,Dienste!$C$33,IF(P10=Dienste!$A$34,Dienste!$C$34,IF(P10=Dienste!$A$35,Dienste!$C$35,IF(P10=Dienste!$A$36,Dienste!$C$36,)))))))))))))))))))))))))))))))))))</f>
        <v>8</v>
      </c>
      <c r="BK10" s="27">
        <f>IF(Q10=Dienste!$A$2,Dienste!$C$2,IF(Q10=Dienste!$A$3,Dienste!$C$3,IF(Q10=Dienste!$A$4,Dienste!$C$4,IF(Q10=Dienste!$A$5,Dienste!$C$5,IF(Q10=Dienste!$A$6,Dienste!$C$6,IF(Q10=Dienste!$A$7,Dienste!$C$7,IF(Q10=Dienste!$A$8,Dienste!$C$8,IF(Q10=Dienste!$A$9,Dienste!$C$9,IF(Q10=Dienste!$A$10,Dienste!$C$10,IF(Q10=Dienste!$A$11,Dienste!$C$11,IF(Q10=Dienste!$A$12,Dienste!$C$12,IF(Q10=Dienste!$A$13,Dienste!$C$13,IF(Q10=Dienste!$A$14,Dienste!$C$14,IF(Q10=Dienste!$A$15,Dienste!$C$15,IF(Q10=Dienste!$A$16,Dienste!$C$16,IF(Q10=Dienste!$A$17,Dienste!$C$17,IF(Q10=Dienste!$A$18,Dienste!$C$18,IF(Q10=Dienste!$A$19,Dienste!$C$19,IF(Q10=Dienste!$A$20,Dienste!$C$20,IF(Q10=Dienste!$A$21,Dienste!$C$21,IF(Q10=Dienste!$A$22,Dienste!$C$22,IF(Q10=Dienste!$A$23,Dienste!$C$23,IF(Q10=Dienste!$A$24,Dienste!$C$24,IF(Q10=Dienste!$A$25,Dienste!$C$25,IF(Q10=Dienste!$A$26,Dienste!$C$26,IF(Q10=Dienste!$A$27,Dienste!$C$27,IF(Q10=Dienste!$A$28,Dienste!$C$28,IF(Q10=Dienste!#REF!,Dienste!#REF!,IF(Q10=Dienste!#REF!,Dienste!#REF!,IF(Q10=Dienste!#REF!,Dienste!#REF!,IF(Q10=Dienste!#REF!,Dienste!#REF!,IF(Q10=Dienste!$A$33,Dienste!$C$33,IF(Q10=Dienste!$A$34,Dienste!$C$34,IF(Q10=Dienste!$A$35,Dienste!$C$35,IF(Q10=Dienste!$A$36,Dienste!$C$36,)))))))))))))))))))))))))))))))))))</f>
        <v>8</v>
      </c>
      <c r="BL10" s="27">
        <f>IF(R10=Dienste!$A$2,Dienste!$C$2,IF(R10=Dienste!$A$3,Dienste!$C$3,IF(R10=Dienste!$A$4,Dienste!$C$4,IF(R10=Dienste!$A$5,Dienste!$C$5,IF(R10=Dienste!$A$6,Dienste!$C$6,IF(R10=Dienste!$A$7,Dienste!$C$7,IF(R10=Dienste!$A$8,Dienste!$C$8,IF(R10=Dienste!$A$9,Dienste!$C$9,IF(R10=Dienste!$A$10,Dienste!$C$10,IF(R10=Dienste!$A$11,Dienste!$C$11,IF(R10=Dienste!$A$12,Dienste!$C$12,IF(R10=Dienste!$A$13,Dienste!$C$13,IF(R10=Dienste!$A$14,Dienste!$C$14,IF(R10=Dienste!$A$15,Dienste!$C$15,IF(R10=Dienste!$A$16,Dienste!$C$16,IF(R10=Dienste!$A$17,Dienste!$C$17,IF(R10=Dienste!$A$18,Dienste!$C$18,IF(R10=Dienste!$A$19,Dienste!$C$19,IF(R10=Dienste!$A$20,Dienste!$C$20,IF(R10=Dienste!$A$21,Dienste!$C$21,IF(R10=Dienste!$A$22,Dienste!$C$22,IF(R10=Dienste!$A$23,Dienste!$C$23,IF(R10=Dienste!$A$24,Dienste!$C$24,IF(R10=Dienste!$A$25,Dienste!$C$25,IF(R10=Dienste!$A$26,Dienste!$C$26,IF(R10=Dienste!$A$27,Dienste!$C$27,IF(R10=Dienste!$A$28,Dienste!$C$28,IF(R10=Dienste!#REF!,Dienste!#REF!,IF(R10=Dienste!#REF!,Dienste!#REF!,IF(R10=Dienste!#REF!,Dienste!#REF!,IF(R10=Dienste!#REF!,Dienste!#REF!,IF(R10=Dienste!$A$33,Dienste!$C$33,IF(R10=Dienste!$A$34,Dienste!$C$34,IF(R10=Dienste!$A$35,Dienste!$C$35,IF(R10=Dienste!$A$36,Dienste!$C$36,)))))))))))))))))))))))))))))))))))</f>
        <v>0</v>
      </c>
      <c r="BM10" s="27">
        <f>IF(S10=Dienste!$A$2,Dienste!$C$2,IF(S10=Dienste!$A$3,Dienste!$C$3,IF(S10=Dienste!$A$4,Dienste!$C$4,IF(S10=Dienste!$A$5,Dienste!$C$5,IF(S10=Dienste!$A$6,Dienste!$C$6,IF(S10=Dienste!$A$7,Dienste!$C$7,IF(S10=Dienste!$A$8,Dienste!$C$8,IF(S10=Dienste!$A$9,Dienste!$C$9,IF(S10=Dienste!$A$10,Dienste!$C$10,IF(S10=Dienste!$A$11,Dienste!$C$11,IF(S10=Dienste!$A$12,Dienste!$C$12,IF(S10=Dienste!$A$13,Dienste!$C$13,IF(S10=Dienste!$A$14,Dienste!$C$14,IF(S10=Dienste!$A$15,Dienste!$C$15,IF(S10=Dienste!$A$16,Dienste!$C$16,IF(S10=Dienste!$A$17,Dienste!$C$17,IF(S10=Dienste!$A$18,Dienste!$C$18,IF(S10=Dienste!$A$19,Dienste!$C$19,IF(S10=Dienste!$A$20,Dienste!$C$20,IF(S10=Dienste!$A$21,Dienste!$C$21,IF(S10=Dienste!$A$22,Dienste!$C$22,IF(S10=Dienste!$A$23,Dienste!$C$23,IF(S10=Dienste!$A$24,Dienste!$C$24,IF(S10=Dienste!$A$25,Dienste!$C$25,IF(S10=Dienste!$A$26,Dienste!$C$26,IF(S10=Dienste!$A$27,Dienste!$C$27,IF(S10=Dienste!$A$28,Dienste!$C$28,IF(S10=Dienste!#REF!,Dienste!#REF!,IF(S10=Dienste!#REF!,Dienste!#REF!,IF(S10=Dienste!#REF!,Dienste!#REF!,IF(S10=Dienste!#REF!,Dienste!#REF!,IF(S10=Dienste!$A$33,Dienste!$C$33,IF(S10=Dienste!$A$34,Dienste!$C$34,IF(S10=Dienste!$A$35,Dienste!$C$35,IF(S10=Dienste!$A$36,Dienste!$C$36,)))))))))))))))))))))))))))))))))))</f>
        <v>0</v>
      </c>
      <c r="BN10" s="27">
        <f>IF(T10=Dienste!$A$2,Dienste!$C$2,IF(T10=Dienste!$A$3,Dienste!$C$3,IF(T10=Dienste!$A$4,Dienste!$C$4,IF(T10=Dienste!$A$5,Dienste!$C$5,IF(T10=Dienste!$A$6,Dienste!$C$6,IF(T10=Dienste!$A$7,Dienste!$C$7,IF(T10=Dienste!$A$8,Dienste!$C$8,IF(T10=Dienste!$A$9,Dienste!$C$9,IF(T10=Dienste!$A$10,Dienste!$C$10,IF(T10=Dienste!$A$11,Dienste!$C$11,IF(T10=Dienste!$A$12,Dienste!$C$12,IF(T10=Dienste!$A$13,Dienste!$C$13,IF(T10=Dienste!$A$14,Dienste!$C$14,IF(T10=Dienste!$A$15,Dienste!$C$15,IF(T10=Dienste!$A$16,Dienste!$C$16,IF(T10=Dienste!$A$17,Dienste!$C$17,IF(T10=Dienste!$A$18,Dienste!$C$18,IF(T10=Dienste!$A$19,Dienste!$C$19,IF(T10=Dienste!$A$20,Dienste!$C$20,IF(T10=Dienste!$A$21,Dienste!$C$21,IF(T10=Dienste!$A$22,Dienste!$C$22,IF(T10=Dienste!$A$23,Dienste!$C$23,IF(T10=Dienste!$A$24,Dienste!$C$24,IF(T10=Dienste!$A$25,Dienste!$C$25,IF(T10=Dienste!$A$26,Dienste!$C$26,IF(T10=Dienste!$A$27,Dienste!$C$27,IF(T10=Dienste!$A$28,Dienste!$C$28,IF(T10=Dienste!#REF!,Dienste!#REF!,IF(T10=Dienste!#REF!,Dienste!#REF!,IF(T10=Dienste!#REF!,Dienste!#REF!,IF(T10=Dienste!#REF!,Dienste!#REF!,IF(T10=Dienste!$A$33,Dienste!$C$33,IF(T10=Dienste!$A$34,Dienste!$C$34,IF(T10=Dienste!$A$35,Dienste!$C$35,IF(T10=Dienste!$A$36,Dienste!$C$36,)))))))))))))))))))))))))))))))))))</f>
        <v>8</v>
      </c>
      <c r="BO10" s="27">
        <f>IF(U10=Dienste!$A$2,Dienste!$C$2,IF(U10=Dienste!$A$3,Dienste!$C$3,IF(U10=Dienste!$A$4,Dienste!$C$4,IF(U10=Dienste!$A$5,Dienste!$C$5,IF(U10=Dienste!$A$6,Dienste!$C$6,IF(U10=Dienste!$A$7,Dienste!$C$7,IF(U10=Dienste!$A$8,Dienste!$C$8,IF(U10=Dienste!$A$9,Dienste!$C$9,IF(U10=Dienste!$A$10,Dienste!$C$10,IF(U10=Dienste!$A$11,Dienste!$C$11,IF(U10=Dienste!$A$12,Dienste!$C$12,IF(U10=Dienste!$A$13,Dienste!$C$13,IF(U10=Dienste!$A$14,Dienste!$C$14,IF(U10=Dienste!$A$15,Dienste!$C$15,IF(U10=Dienste!$A$16,Dienste!$C$16,IF(U10=Dienste!$A$17,Dienste!$C$17,IF(U10=Dienste!$A$18,Dienste!$C$18,IF(U10=Dienste!$A$19,Dienste!$C$19,IF(U10=Dienste!$A$20,Dienste!$C$20,IF(U10=Dienste!$A$21,Dienste!$C$21,IF(U10=Dienste!$A$22,Dienste!$C$22,IF(U10=Dienste!$A$23,Dienste!$C$23,IF(U10=Dienste!$A$24,Dienste!$C$24,IF(U10=Dienste!$A$25,Dienste!$C$25,IF(U10=Dienste!$A$26,Dienste!$C$26,IF(U10=Dienste!$A$27,Dienste!$C$27,IF(U10=Dienste!$A$28,Dienste!$C$28,IF(U10=Dienste!#REF!,Dienste!#REF!,IF(U10=Dienste!#REF!,Dienste!#REF!,IF(U10=Dienste!#REF!,Dienste!#REF!,IF(U10=Dienste!#REF!,Dienste!#REF!,IF(U10=Dienste!$A$33,Dienste!$C$33,IF(U10=Dienste!$A$34,Dienste!$C$34,IF(U10=Dienste!$A$35,Dienste!$C$35,IF(U10=Dienste!$A$36,Dienste!$C$36,)))))))))))))))))))))))))))))))))))</f>
        <v>8</v>
      </c>
      <c r="BP10" s="27">
        <f>IF(V10=Dienste!$A$2,Dienste!$C$2,IF(V10=Dienste!$A$3,Dienste!$C$3,IF(V10=Dienste!$A$4,Dienste!$C$4,IF(V10=Dienste!$A$5,Dienste!$C$5,IF(V10=Dienste!$A$6,Dienste!$C$6,IF(V10=Dienste!$A$7,Dienste!$C$7,IF(V10=Dienste!$A$8,Dienste!$C$8,IF(V10=Dienste!$A$9,Dienste!$C$9,IF(V10=Dienste!$A$10,Dienste!$C$10,IF(V10=Dienste!$A$11,Dienste!$C$11,IF(V10=Dienste!$A$12,Dienste!$C$12,IF(V10=Dienste!$A$13,Dienste!$C$13,IF(V10=Dienste!$A$14,Dienste!$C$14,IF(V10=Dienste!$A$15,Dienste!$C$15,IF(V10=Dienste!$A$16,Dienste!$C$16,IF(V10=Dienste!$A$17,Dienste!$C$17,IF(V10=Dienste!$A$18,Dienste!$C$18,IF(V10=Dienste!$A$19,Dienste!$C$19,IF(V10=Dienste!$A$20,Dienste!$C$20,IF(V10=Dienste!$A$21,Dienste!$C$21,IF(V10=Dienste!$A$22,Dienste!$C$22,IF(V10=Dienste!$A$23,Dienste!$C$23,IF(V10=Dienste!$A$24,Dienste!$C$24,IF(V10=Dienste!$A$25,Dienste!$C$25,IF(V10=Dienste!$A$26,Dienste!$C$26,IF(V10=Dienste!$A$27,Dienste!$C$27,IF(V10=Dienste!$A$28,Dienste!$C$28,IF(V10=Dienste!#REF!,Dienste!#REF!,IF(V10=Dienste!#REF!,Dienste!#REF!,IF(V10=Dienste!#REF!,Dienste!#REF!,IF(V10=Dienste!#REF!,Dienste!#REF!,IF(V10=Dienste!$A$33,Dienste!$C$33,IF(V10=Dienste!$A$34,Dienste!$C$34,IF(V10=Dienste!$A$35,Dienste!$C$35,IF(V10=Dienste!$A$36,Dienste!$C$36,)))))))))))))))))))))))))))))))))))</f>
        <v>8</v>
      </c>
      <c r="BQ10" s="27">
        <f>IF(W10=Dienste!$A$2,Dienste!$C$2,IF(W10=Dienste!$A$3,Dienste!$C$3,IF(W10=Dienste!$A$4,Dienste!$C$4,IF(W10=Dienste!$A$5,Dienste!$C$5,IF(W10=Dienste!$A$6,Dienste!$C$6,IF(W10=Dienste!$A$7,Dienste!$C$7,IF(W10=Dienste!$A$8,Dienste!$C$8,IF(W10=Dienste!$A$9,Dienste!$C$9,IF(W10=Dienste!$A$10,Dienste!$C$10,IF(W10=Dienste!$A$11,Dienste!$C$11,IF(W10=Dienste!$A$12,Dienste!$C$12,IF(W10=Dienste!$A$13,Dienste!$C$13,IF(W10=Dienste!$A$14,Dienste!$C$14,IF(W10=Dienste!$A$15,Dienste!$C$15,IF(W10=Dienste!$A$16,Dienste!$C$16,IF(W10=Dienste!$A$17,Dienste!$C$17,IF(W10=Dienste!$A$18,Dienste!$C$18,IF(W10=Dienste!$A$19,Dienste!$C$19,IF(W10=Dienste!$A$20,Dienste!$C$20,IF(W10=Dienste!$A$21,Dienste!$C$21,IF(W10=Dienste!$A$22,Dienste!$C$22,IF(W10=Dienste!$A$23,Dienste!$C$23,IF(W10=Dienste!$A$24,Dienste!$C$24,IF(W10=Dienste!$A$25,Dienste!$C$25,IF(W10=Dienste!$A$26,Dienste!$C$26,IF(W10=Dienste!$A$27,Dienste!$C$27,IF(W10=Dienste!$A$28,Dienste!$C$28,IF(W10=Dienste!#REF!,Dienste!#REF!,IF(W10=Dienste!#REF!,Dienste!#REF!,IF(W10=Dienste!#REF!,Dienste!#REF!,IF(W10=Dienste!#REF!,Dienste!#REF!,IF(W10=Dienste!$A$33,Dienste!$C$33,IF(W10=Dienste!$A$34,Dienste!$C$34,IF(W10=Dienste!$A$35,Dienste!$C$35,IF(W10=Dienste!$A$36,Dienste!$C$36,)))))))))))))))))))))))))))))))))))</f>
        <v>8</v>
      </c>
      <c r="BR10" s="27">
        <f>IF(X10=Dienste!$A$2,Dienste!$C$2,IF(X10=Dienste!$A$3,Dienste!$C$3,IF(X10=Dienste!$A$4,Dienste!$C$4,IF(X10=Dienste!$A$5,Dienste!$C$5,IF(X10=Dienste!$A$6,Dienste!$C$6,IF(X10=Dienste!$A$7,Dienste!$C$7,IF(X10=Dienste!$A$8,Dienste!$C$8,IF(X10=Dienste!$A$9,Dienste!$C$9,IF(X10=Dienste!$A$10,Dienste!$C$10,IF(X10=Dienste!$A$11,Dienste!$C$11,IF(X10=Dienste!$A$12,Dienste!$C$12,IF(X10=Dienste!$A$13,Dienste!$C$13,IF(X10=Dienste!$A$14,Dienste!$C$14,IF(X10=Dienste!$A$15,Dienste!$C$15,IF(X10=Dienste!$A$16,Dienste!$C$16,IF(X10=Dienste!$A$17,Dienste!$C$17,IF(X10=Dienste!$A$18,Dienste!$C$18,IF(X10=Dienste!$A$19,Dienste!$C$19,IF(X10=Dienste!$A$20,Dienste!$C$20,IF(X10=Dienste!$A$21,Dienste!$C$21,IF(X10=Dienste!$A$22,Dienste!$C$22,IF(X10=Dienste!$A$23,Dienste!$C$23,IF(X10=Dienste!$A$24,Dienste!$C$24,IF(X10=Dienste!$A$25,Dienste!$C$25,IF(X10=Dienste!$A$26,Dienste!$C$26,IF(X10=Dienste!$A$27,Dienste!$C$27,IF(X10=Dienste!$A$28,Dienste!$C$28,IF(X10=Dienste!#REF!,Dienste!#REF!,IF(X10=Dienste!#REF!,Dienste!#REF!,IF(X10=Dienste!#REF!,Dienste!#REF!,IF(X10=Dienste!#REF!,Dienste!#REF!,IF(X10=Dienste!$A$33,Dienste!$C$33,IF(X10=Dienste!$A$34,Dienste!$C$34,IF(X10=Dienste!$A$35,Dienste!$C$35,IF(X10=Dienste!$A$36,Dienste!$C$36,)))))))))))))))))))))))))))))))))))</f>
        <v>8</v>
      </c>
      <c r="BS10" s="27">
        <f>IF(Y10=Dienste!$A$2,Dienste!$C$2,IF(Y10=Dienste!$A$3,Dienste!$C$3,IF(Y10=Dienste!$A$4,Dienste!$C$4,IF(Y10=Dienste!$A$5,Dienste!$C$5,IF(Y10=Dienste!$A$6,Dienste!$C$6,IF(Y10=Dienste!$A$7,Dienste!$C$7,IF(Y10=Dienste!$A$8,Dienste!$C$8,IF(Y10=Dienste!$A$9,Dienste!$C$9,IF(Y10=Dienste!$A$10,Dienste!$C$10,IF(Y10=Dienste!$A$11,Dienste!$C$11,IF(Y10=Dienste!$A$12,Dienste!$C$12,IF(Y10=Dienste!$A$13,Dienste!$C$13,IF(Y10=Dienste!$A$14,Dienste!$C$14,IF(Y10=Dienste!$A$15,Dienste!$C$15,IF(Y10=Dienste!$A$16,Dienste!$C$16,IF(Y10=Dienste!$A$17,Dienste!$C$17,IF(Y10=Dienste!$A$18,Dienste!$C$18,IF(Y10=Dienste!$A$19,Dienste!$C$19,IF(Y10=Dienste!$A$20,Dienste!$C$20,IF(Y10=Dienste!$A$21,Dienste!$C$21,IF(Y10=Dienste!$A$22,Dienste!$C$22,IF(Y10=Dienste!$A$23,Dienste!$C$23,IF(Y10=Dienste!$A$24,Dienste!$C$24,IF(Y10=Dienste!$A$25,Dienste!$C$25,IF(Y10=Dienste!$A$26,Dienste!$C$26,IF(Y10=Dienste!$A$27,Dienste!$C$27,IF(Y10=Dienste!$A$28,Dienste!$C$28,IF(Y10=Dienste!#REF!,Dienste!#REF!,IF(Y10=Dienste!#REF!,Dienste!#REF!,IF(Y10=Dienste!#REF!,Dienste!#REF!,IF(Y10=Dienste!#REF!,Dienste!#REF!,IF(Y10=Dienste!$A$33,Dienste!$C$33,IF(Y10=Dienste!$A$34,Dienste!$C$34,IF(Y10=Dienste!$A$35,Dienste!$C$35,IF(Y10=Dienste!$A$36,Dienste!$C$36,)))))))))))))))))))))))))))))))))))</f>
        <v>0</v>
      </c>
      <c r="BT10" s="27">
        <f>IF(Z10=Dienste!$A$2,Dienste!$C$2,IF(Z10=Dienste!$A$3,Dienste!$C$3,IF(Z10=Dienste!$A$4,Dienste!$C$4,IF(Z10=Dienste!$A$5,Dienste!$C$5,IF(Z10=Dienste!$A$6,Dienste!$C$6,IF(Z10=Dienste!$A$7,Dienste!$C$7,IF(Z10=Dienste!$A$8,Dienste!$C$8,IF(Z10=Dienste!$A$9,Dienste!$C$9,IF(Z10=Dienste!$A$10,Dienste!$C$10,IF(Z10=Dienste!$A$11,Dienste!$C$11,IF(Z10=Dienste!$A$12,Dienste!$C$12,IF(Z10=Dienste!$A$13,Dienste!$C$13,IF(Z10=Dienste!$A$14,Dienste!$C$14,IF(Z10=Dienste!$A$15,Dienste!$C$15,IF(Z10=Dienste!$A$16,Dienste!$C$16,IF(Z10=Dienste!$A$17,Dienste!$C$17,IF(Z10=Dienste!$A$18,Dienste!$C$18,IF(Z10=Dienste!$A$19,Dienste!$C$19,IF(Z10=Dienste!$A$20,Dienste!$C$20,IF(Z10=Dienste!$A$21,Dienste!$C$21,IF(Z10=Dienste!$A$22,Dienste!$C$22,IF(Z10=Dienste!$A$23,Dienste!$C$23,IF(Z10=Dienste!$A$24,Dienste!$C$24,IF(Z10=Dienste!$A$25,Dienste!$C$25,IF(Z10=Dienste!$A$26,Dienste!$C$26,IF(Z10=Dienste!$A$27,Dienste!$C$27,IF(Z10=Dienste!$A$28,Dienste!$C$28,IF(Z10=Dienste!#REF!,Dienste!#REF!,IF(Z10=Dienste!#REF!,Dienste!#REF!,IF(Z10=Dienste!#REF!,Dienste!#REF!,IF(Z10=Dienste!#REF!,Dienste!#REF!,IF(Z10=Dienste!$A$33,Dienste!$C$33,IF(Z10=Dienste!$A$34,Dienste!$C$34,IF(Z10=Dienste!$A$35,Dienste!$C$35,IF(Z10=Dienste!$A$36,Dienste!$C$36,)))))))))))))))))))))))))))))))))))</f>
        <v>0</v>
      </c>
      <c r="BU10" s="27">
        <f>IF(AA10=Dienste!$A$2,Dienste!$C$2,IF(AA10=Dienste!$A$3,Dienste!$C$3,IF(AA10=Dienste!$A$4,Dienste!$C$4,IF(AA10=Dienste!$A$5,Dienste!$C$5,IF(AA10=Dienste!$A$6,Dienste!$C$6,IF(AA10=Dienste!$A$7,Dienste!$C$7,IF(AA10=Dienste!$A$8,Dienste!$C$8,IF(AA10=Dienste!$A$9,Dienste!$C$9,IF(AA10=Dienste!$A$10,Dienste!$C$10,IF(AA10=Dienste!$A$11,Dienste!$C$11,IF(AA10=Dienste!$A$12,Dienste!$C$12,IF(AA10=Dienste!$A$13,Dienste!$C$13,IF(AA10=Dienste!$A$14,Dienste!$C$14,IF(AA10=Dienste!$A$15,Dienste!$C$15,IF(AA10=Dienste!$A$16,Dienste!$C$16,IF(AA10=Dienste!$A$17,Dienste!$C$17,IF(AA10=Dienste!$A$18,Dienste!$C$18,IF(AA10=Dienste!$A$19,Dienste!$C$19,IF(AA10=Dienste!$A$20,Dienste!$C$20,IF(AA10=Dienste!$A$21,Dienste!$C$21,IF(AA10=Dienste!$A$22,Dienste!$C$22,IF(AA10=Dienste!$A$23,Dienste!$C$23,IF(AA10=Dienste!$A$24,Dienste!$C$24,IF(AA10=Dienste!$A$25,Dienste!$C$25,IF(AA10=Dienste!$A$26,Dienste!$C$26,IF(AA10=Dienste!$A$27,Dienste!$C$27,IF(AA10=Dienste!$A$28,Dienste!$C$28,IF(AA10=Dienste!#REF!,Dienste!#REF!,IF(AA10=Dienste!#REF!,Dienste!#REF!,IF(AA10=Dienste!#REF!,Dienste!#REF!,IF(AA10=Dienste!#REF!,Dienste!#REF!,IF(AA10=Dienste!$A$33,Dienste!$C$33,IF(AA10=Dienste!$A$34,Dienste!$C$34,IF(AA10=Dienste!$A$35,Dienste!$C$35,IF(AA10=Dienste!$A$36,Dienste!$C$36,)))))))))))))))))))))))))))))))))))</f>
        <v>10</v>
      </c>
      <c r="BV10" s="27">
        <f>IF(AB10=Dienste!$A$2,Dienste!$C$2,IF(AB10=Dienste!$A$3,Dienste!$C$3,IF(AB10=Dienste!$A$4,Dienste!$C$4,IF(AB10=Dienste!$A$5,Dienste!$C$5,IF(AB10=Dienste!$A$6,Dienste!$C$6,IF(AB10=Dienste!$A$7,Dienste!$C$7,IF(AB10=Dienste!$A$8,Dienste!$C$8,IF(AB10=Dienste!$A$9,Dienste!$C$9,IF(AB10=Dienste!$A$10,Dienste!$C$10,IF(AB10=Dienste!$A$11,Dienste!$C$11,IF(AB10=Dienste!$A$12,Dienste!$C$12,IF(AB10=Dienste!$A$13,Dienste!$C$13,IF(AB10=Dienste!$A$14,Dienste!$C$14,IF(AB10=Dienste!$A$15,Dienste!$C$15,IF(AB10=Dienste!$A$16,Dienste!$C$16,IF(AB10=Dienste!$A$17,Dienste!$C$17,IF(AB10=Dienste!$A$18,Dienste!$C$18,IF(AB10=Dienste!$A$19,Dienste!$C$19,IF(AB10=Dienste!$A$20,Dienste!$C$20,IF(AB10=Dienste!$A$21,Dienste!$C$21,IF(AB10=Dienste!$A$22,Dienste!$C$22,IF(AB10=Dienste!$A$23,Dienste!$C$23,IF(AB10=Dienste!$A$24,Dienste!$C$24,IF(AB10=Dienste!$A$25,Dienste!$C$25,IF(AB10=Dienste!$A$26,Dienste!$C$26,IF(AB10=Dienste!$A$27,Dienste!$C$27,IF(AB10=Dienste!$A$28,Dienste!$C$28,IF(AB10=Dienste!#REF!,Dienste!#REF!,IF(AB10=Dienste!#REF!,Dienste!#REF!,IF(AB10=Dienste!#REF!,Dienste!#REF!,IF(AB10=Dienste!#REF!,Dienste!#REF!,IF(AB10=Dienste!$A$33,Dienste!$C$33,IF(AB10=Dienste!$A$34,Dienste!$C$34,IF(AB10=Dienste!$A$35,Dienste!$C$35,IF(AB10=Dienste!$A$36,Dienste!$C$36,)))))))))))))))))))))))))))))))))))</f>
        <v>10</v>
      </c>
      <c r="BW10" s="27">
        <f>IF(AC10=Dienste!$A$2,Dienste!$C$2,IF(AC10=Dienste!$A$3,Dienste!$C$3,IF(AC10=Dienste!$A$4,Dienste!$C$4,IF(AC10=Dienste!$A$5,Dienste!$C$5,IF(AC10=Dienste!$A$6,Dienste!$C$6,IF(AC10=Dienste!$A$7,Dienste!$C$7,IF(AC10=Dienste!$A$8,Dienste!$C$8,IF(AC10=Dienste!$A$9,Dienste!$C$9,IF(AC10=Dienste!$A$10,Dienste!$C$10,IF(AC10=Dienste!$A$11,Dienste!$C$11,IF(AC10=Dienste!$A$12,Dienste!$C$12,IF(AC10=Dienste!$A$13,Dienste!$C$13,IF(AC10=Dienste!$A$14,Dienste!$C$14,IF(AC10=Dienste!$A$15,Dienste!$C$15,IF(AC10=Dienste!$A$16,Dienste!$C$16,IF(AC10=Dienste!$A$17,Dienste!$C$17,IF(AC10=Dienste!$A$18,Dienste!$C$18,IF(AC10=Dienste!$A$19,Dienste!$C$19,IF(AC10=Dienste!$A$20,Dienste!$C$20,IF(AC10=Dienste!$A$21,Dienste!$C$21,IF(AC10=Dienste!$A$22,Dienste!$C$22,IF(AC10=Dienste!$A$23,Dienste!$C$23,IF(AC10=Dienste!$A$24,Dienste!$C$24,IF(AC10=Dienste!$A$25,Dienste!$C$25,IF(AC10=Dienste!$A$26,Dienste!$C$26,IF(AC10=Dienste!$A$27,Dienste!$C$27,IF(AC10=Dienste!$A$28,Dienste!$C$28,IF(AC10=Dienste!#REF!,Dienste!#REF!,IF(AC10=Dienste!#REF!,Dienste!#REF!,IF(AC10=Dienste!#REF!,Dienste!#REF!,IF(AC10=Dienste!#REF!,Dienste!#REF!,IF(AC10=Dienste!$A$33,Dienste!$C$33,IF(AC10=Dienste!$A$34,Dienste!$C$34,IF(AC10=Dienste!$A$35,Dienste!$C$35,IF(AC10=Dienste!$A$36,Dienste!$C$36,)))))))))))))))))))))))))))))))))))</f>
        <v>10</v>
      </c>
      <c r="BX10" s="27">
        <f>IF(AD10=Dienste!$A$2,Dienste!$C$2,IF(AD10=Dienste!$A$3,Dienste!$C$3,IF(AD10=Dienste!$A$4,Dienste!$C$4,IF(AD10=Dienste!$A$5,Dienste!$C$5,IF(AD10=Dienste!$A$6,Dienste!$C$6,IF(AD10=Dienste!$A$7,Dienste!$C$7,IF(AD10=Dienste!$A$8,Dienste!$C$8,IF(AD10=Dienste!$A$9,Dienste!$C$9,IF(AD10=Dienste!$A$10,Dienste!$C$10,IF(AD10=Dienste!$A$11,Dienste!$C$11,IF(AD10=Dienste!$A$12,Dienste!$C$12,IF(AD10=Dienste!$A$13,Dienste!$C$13,IF(AD10=Dienste!$A$14,Dienste!$C$14,IF(AD10=Dienste!$A$15,Dienste!$C$15,IF(AD10=Dienste!$A$16,Dienste!$C$16,IF(AD10=Dienste!$A$17,Dienste!$C$17,IF(AD10=Dienste!$A$18,Dienste!$C$18,IF(AD10=Dienste!$A$19,Dienste!$C$19,IF(AD10=Dienste!$A$20,Dienste!$C$20,IF(AD10=Dienste!$A$21,Dienste!$C$21,IF(AD10=Dienste!$A$22,Dienste!$C$22,IF(AD10=Dienste!$A$23,Dienste!$C$23,IF(AD10=Dienste!$A$24,Dienste!$C$24,IF(AD10=Dienste!$A$25,Dienste!$C$25,IF(AD10=Dienste!$A$26,Dienste!$C$26,IF(AD10=Dienste!$A$27,Dienste!$C$27,IF(AD10=Dienste!$A$28,Dienste!$C$28,IF(AD10=Dienste!#REF!,Dienste!#REF!,IF(AD10=Dienste!#REF!,Dienste!#REF!,IF(AD10=Dienste!#REF!,Dienste!#REF!,IF(AD10=Dienste!#REF!,Dienste!#REF!,IF(AD10=Dienste!$A$33,Dienste!$C$33,IF(AD10=Dienste!$A$34,Dienste!$C$34,IF(AD10=Dienste!$A$35,Dienste!$C$35,IF(AD10=Dienste!$A$36,Dienste!$C$36,)))))))))))))))))))))))))))))))))))</f>
        <v>10</v>
      </c>
      <c r="BY10" s="27">
        <f>IF(AE10=Dienste!$A$2,Dienste!$C$2,IF(AE10=Dienste!$A$3,Dienste!$C$3,IF(AE10=Dienste!$A$4,Dienste!$C$4,IF(AE10=Dienste!$A$5,Dienste!$C$5,IF(AE10=Dienste!$A$6,Dienste!$C$6,IF(AE10=Dienste!$A$7,Dienste!$C$7,IF(AE10=Dienste!$A$8,Dienste!$C$8,IF(AE10=Dienste!$A$9,Dienste!$C$9,IF(AE10=Dienste!$A$10,Dienste!$C$10,IF(AE10=Dienste!$A$11,Dienste!$C$11,IF(AE10=Dienste!$A$12,Dienste!$C$12,IF(AE10=Dienste!$A$13,Dienste!$C$13,IF(AE10=Dienste!$A$14,Dienste!$C$14,IF(AE10=Dienste!$A$15,Dienste!$C$15,IF(AE10=Dienste!$A$16,Dienste!$C$16,IF(AE10=Dienste!$A$17,Dienste!$C$17,IF(AE10=Dienste!$A$18,Dienste!$C$18,IF(AE10=Dienste!$A$19,Dienste!$C$19,IF(AE10=Dienste!$A$20,Dienste!$C$20,IF(AE10=Dienste!$A$21,Dienste!$C$21,IF(AE10=Dienste!$A$22,Dienste!$C$22,IF(AE10=Dienste!$A$23,Dienste!$C$23,IF(AE10=Dienste!$A$24,Dienste!$C$24,IF(AE10=Dienste!$A$25,Dienste!$C$25,IF(AE10=Dienste!$A$26,Dienste!$C$26,IF(AE10=Dienste!$A$27,Dienste!$C$27,IF(AE10=Dienste!$A$28,Dienste!$C$28,IF(AE10=Dienste!#REF!,Dienste!#REF!,IF(AE10=Dienste!#REF!,Dienste!#REF!,IF(AE10=Dienste!#REF!,Dienste!#REF!,IF(AE10=Dienste!#REF!,Dienste!#REF!,IF(AE10=Dienste!$A$33,Dienste!$C$33,IF(AE10=Dienste!$A$34,Dienste!$C$34,IF(AE10=Dienste!$A$35,Dienste!$C$35,IF(AE10=Dienste!$A$36,Dienste!$C$36,)))))))))))))))))))))))))))))))))))</f>
        <v>8</v>
      </c>
      <c r="BZ10" s="27">
        <f>IF(AF10=Dienste!$A$2,Dienste!$C$2,IF(AF10=Dienste!$A$3,Dienste!$C$3,IF(AF10=Dienste!$A$4,Dienste!$C$4,IF(AF10=Dienste!$A$5,Dienste!$C$5,IF(AF10=Dienste!$A$6,Dienste!$C$6,IF(AF10=Dienste!$A$7,Dienste!$C$7,IF(AF10=Dienste!$A$8,Dienste!$C$8,IF(AF10=Dienste!$A$9,Dienste!$C$9,IF(AF10=Dienste!$A$10,Dienste!$C$10,IF(AF10=Dienste!$A$11,Dienste!$C$11,IF(AF10=Dienste!$A$12,Dienste!$C$12,IF(AF10=Dienste!$A$13,Dienste!$C$13,IF(AF10=Dienste!$A$14,Dienste!$C$14,IF(AF10=Dienste!$A$15,Dienste!$C$15,IF(AF10=Dienste!$A$16,Dienste!$C$16,IF(AF10=Dienste!$A$17,Dienste!$C$17,IF(AF10=Dienste!$A$18,Dienste!$C$18,IF(AF10=Dienste!$A$19,Dienste!$C$19,IF(AF10=Dienste!$A$20,Dienste!$C$20,IF(AF10=Dienste!$A$21,Dienste!$C$21,IF(AF10=Dienste!$A$22,Dienste!$C$22,IF(AF10=Dienste!$A$23,Dienste!$C$23,IF(AF10=Dienste!$A$24,Dienste!$C$24,IF(AF10=Dienste!$A$25,Dienste!$C$25,IF(AF10=Dienste!$A$26,Dienste!$C$26,IF(AF10=Dienste!$A$27,Dienste!$C$27,IF(AF10=Dienste!$A$28,Dienste!$C$28,IF(AF10=Dienste!#REF!,Dienste!#REF!,IF(AF10=Dienste!#REF!,Dienste!#REF!,IF(AF10=Dienste!#REF!,Dienste!#REF!,IF(AF10=Dienste!#REF!,Dienste!#REF!,IF(AF10=Dienste!$A$33,Dienste!$C$33,IF(AF10=Dienste!$A$34,Dienste!$C$34,IF(AF10=Dienste!$A$35,Dienste!$C$35,IF(AF10=Dienste!$A$36,Dienste!$C$36,)))))))))))))))))))))))))))))))))))</f>
        <v>0</v>
      </c>
      <c r="CA10" s="27">
        <f>IF(AG10=Dienste!$A$2,Dienste!$C$2,IF(AG10=Dienste!$A$3,Dienste!$C$3,IF(AG10=Dienste!$A$4,Dienste!$C$4,IF(AG10=Dienste!$A$5,Dienste!$C$5,IF(AG10=Dienste!$A$6,Dienste!$C$6,IF(AG10=Dienste!$A$7,Dienste!$C$7,IF(AG10=Dienste!$A$8,Dienste!$C$8,IF(AG10=Dienste!$A$9,Dienste!$C$9,IF(AG10=Dienste!$A$10,Dienste!$C$10,IF(AG10=Dienste!$A$11,Dienste!$C$11,IF(AG10=Dienste!$A$12,Dienste!$C$12,IF(AG10=Dienste!$A$13,Dienste!$C$13,IF(AG10=Dienste!$A$14,Dienste!$C$14,IF(AG10=Dienste!$A$15,Dienste!$C$15,IF(AG10=Dienste!$A$16,Dienste!$C$16,IF(AG10=Dienste!$A$17,Dienste!$C$17,IF(AG10=Dienste!$A$18,Dienste!$C$18,IF(AG10=Dienste!$A$19,Dienste!$C$19,IF(AG10=Dienste!$A$20,Dienste!$C$20,IF(AG10=Dienste!$A$21,Dienste!$C$21,IF(AG10=Dienste!$A$22,Dienste!$C$22,IF(AG10=Dienste!$A$23,Dienste!$C$23,IF(AG10=Dienste!$A$24,Dienste!$C$24,IF(AG10=Dienste!$A$25,Dienste!$C$25,IF(AG10=Dienste!$A$26,Dienste!$C$26,IF(AG10=Dienste!$A$27,Dienste!$C$27,IF(AG10=Dienste!$A$28,Dienste!$C$28,IF(AG10=Dienste!#REF!,Dienste!#REF!,IF(AG10=Dienste!#REF!,Dienste!#REF!,IF(AG10=Dienste!#REF!,Dienste!#REF!,IF(AG10=Dienste!#REF!,Dienste!#REF!,IF(AG10=Dienste!$A$33,Dienste!$C$33,IF(AG10=Dienste!$A$34,Dienste!$C$34,IF(AG10=Dienste!$A$35,Dienste!$C$35,IF(AG10=Dienste!$A$36,Dienste!$C$36,)))))))))))))))))))))))))))))))))))</f>
        <v>0</v>
      </c>
      <c r="CB10" s="27">
        <f>IF(AH10=Dienste!$A$2,Dienste!$C$2,IF(AH10=Dienste!$A$3,Dienste!$C$3,IF(AH10=Dienste!$A$4,Dienste!$C$4,IF(AH10=Dienste!$A$5,Dienste!$C$5,IF(AH10=Dienste!$A$6,Dienste!$C$6,IF(AH10=Dienste!$A$7,Dienste!$C$7,IF(AH10=Dienste!$A$8,Dienste!$C$8,IF(AH10=Dienste!$A$9,Dienste!$C$9,IF(AH10=Dienste!$A$10,Dienste!$C$10,IF(AH10=Dienste!$A$11,Dienste!$C$11,IF(AH10=Dienste!$A$12,Dienste!$C$12,IF(AH10=Dienste!$A$13,Dienste!$C$13,IF(AH10=Dienste!$A$14,Dienste!$C$14,IF(AH10=Dienste!$A$15,Dienste!$C$15,IF(AH10=Dienste!$A$16,Dienste!$C$16,IF(AH10=Dienste!$A$17,Dienste!$C$17,IF(AH10=Dienste!$A$18,Dienste!$C$18,IF(AH10=Dienste!$A$19,Dienste!$C$19,IF(AH10=Dienste!$A$20,Dienste!$C$20,IF(AH10=Dienste!$A$21,Dienste!$C$21,IF(AH10=Dienste!$A$22,Dienste!$C$22,IF(AH10=Dienste!$A$23,Dienste!$C$23,IF(AH10=Dienste!$A$24,Dienste!$C$24,IF(AH10=Dienste!$A$25,Dienste!$C$25,IF(AH10=Dienste!$A$26,Dienste!$C$26,IF(AH10=Dienste!$A$27,Dienste!$C$27,IF(AH10=Dienste!$A$28,Dienste!$C$28,IF(AH10=Dienste!#REF!,Dienste!#REF!,IF(AH10=Dienste!#REF!,Dienste!#REF!,IF(AH10=Dienste!#REF!,Dienste!#REF!,IF(AH10=Dienste!#REF!,Dienste!#REF!,IF(AH10=Dienste!$A$33,Dienste!$C$33,IF(AH10=Dienste!$A$34,Dienste!$C$34,IF(AH10=Dienste!$A$35,Dienste!$C$35,IF(AH10=Dienste!$A$36,Dienste!$C$36,)))))))))))))))))))))))))))))))))))</f>
        <v>8</v>
      </c>
      <c r="CC10" s="27" t="e">
        <f>IF(AI10=Dienste!$A$2,Dienste!$C$2,IF(AI10=Dienste!$A$3,Dienste!$C$3,IF(AI10=Dienste!$A$4,Dienste!$C$4,IF(AI10=Dienste!$A$5,Dienste!$C$5,IF(AI10=Dienste!$A$6,Dienste!$C$6,IF(AI10=Dienste!$A$7,Dienste!$C$7,IF(AI10=Dienste!$A$8,Dienste!$C$8,IF(AI10=Dienste!$A$9,Dienste!$C$9,IF(AI10=Dienste!$A$10,Dienste!$C$10,IF(AI10=Dienste!$A$11,Dienste!$C$11,IF(AI10=Dienste!$A$12,Dienste!$C$12,IF(AI10=Dienste!$A$13,Dienste!$C$13,IF(AI10=Dienste!$A$14,Dienste!$C$14,IF(AI10=Dienste!$A$15,Dienste!$C$15,IF(AI10=Dienste!$A$16,Dienste!$C$16,IF(AI10=Dienste!$A$17,Dienste!$C$17,IF(AI10=Dienste!$A$18,Dienste!$C$18,IF(AI10=Dienste!$A$19,Dienste!$C$19,IF(AI10=Dienste!$A$20,Dienste!$C$20,IF(AI10=Dienste!$A$21,Dienste!$C$21,IF(AI10=Dienste!$A$22,Dienste!$C$22,IF(AI10=Dienste!$A$23,Dienste!$C$23,IF(AI10=Dienste!$A$24,Dienste!$C$24,IF(AI10=Dienste!$A$25,Dienste!$C$25,IF(AI10=Dienste!$A$26,Dienste!$C$26,IF(AI10=Dienste!$A$27,Dienste!$C$27,IF(AI10=Dienste!$A$28,Dienste!$C$28,IF(AI10=Dienste!#REF!,Dienste!#REF!,IF(AI10=Dienste!#REF!,Dienste!#REF!,IF(AI10=Dienste!#REF!,Dienste!#REF!,IF(AI10=Dienste!#REF!,Dienste!#REF!,IF(AI10=Dienste!$A$33,Dienste!$C$33,IF(AI10=Dienste!$A$34,Dienste!$C$34,IF(AI10=Dienste!$A$35,Dienste!$C$35,IF(AI10=Dienste!$A$36,Dienste!$C$36,)))))))))))))))))))))))))))))))))))</f>
        <v>#REF!</v>
      </c>
    </row>
    <row r="11" spans="1:81" x14ac:dyDescent="0.25">
      <c r="A11" s="109" t="s">
        <v>129</v>
      </c>
      <c r="B11" s="15" t="s">
        <v>61</v>
      </c>
      <c r="C11" s="15">
        <v>40</v>
      </c>
      <c r="D11" s="98">
        <v>1</v>
      </c>
      <c r="E11" s="104" t="s">
        <v>83</v>
      </c>
      <c r="F11" s="9" t="s">
        <v>83</v>
      </c>
      <c r="G11" s="9" t="s">
        <v>31</v>
      </c>
      <c r="H11" s="9" t="s">
        <v>364</v>
      </c>
      <c r="I11" s="9" t="s">
        <v>65</v>
      </c>
      <c r="J11" s="9" t="s">
        <v>58</v>
      </c>
      <c r="K11" s="9" t="s">
        <v>83</v>
      </c>
      <c r="L11" s="9" t="s">
        <v>371</v>
      </c>
      <c r="M11" s="9" t="s">
        <v>31</v>
      </c>
      <c r="N11" s="9" t="s">
        <v>32</v>
      </c>
      <c r="O11" s="9" t="s">
        <v>31</v>
      </c>
      <c r="P11" s="9" t="s">
        <v>60</v>
      </c>
      <c r="Q11" s="9" t="s">
        <v>60</v>
      </c>
      <c r="R11" s="9" t="s">
        <v>83</v>
      </c>
      <c r="S11" s="9" t="s">
        <v>83</v>
      </c>
      <c r="T11" s="9" t="s">
        <v>60</v>
      </c>
      <c r="U11" s="9" t="s">
        <v>60</v>
      </c>
      <c r="V11" s="9" t="s">
        <v>53</v>
      </c>
      <c r="W11" s="9" t="s">
        <v>65</v>
      </c>
      <c r="X11" s="9" t="s">
        <v>80</v>
      </c>
      <c r="Y11" s="9" t="s">
        <v>84</v>
      </c>
      <c r="Z11" s="9" t="s">
        <v>84</v>
      </c>
      <c r="AA11" s="9" t="s">
        <v>63</v>
      </c>
      <c r="AB11" s="9" t="s">
        <v>63</v>
      </c>
      <c r="AC11" s="9" t="s">
        <v>63</v>
      </c>
      <c r="AD11" s="9" t="s">
        <v>63</v>
      </c>
      <c r="AE11" s="9" t="s">
        <v>63</v>
      </c>
      <c r="AF11" s="9" t="s">
        <v>84</v>
      </c>
      <c r="AG11" s="9" t="s">
        <v>84</v>
      </c>
      <c r="AH11" s="9" t="s">
        <v>53</v>
      </c>
      <c r="AI11" s="15"/>
      <c r="AJ11" s="109">
        <v>42.6</v>
      </c>
      <c r="AK11" s="15">
        <v>168</v>
      </c>
      <c r="AL11" s="109">
        <v>170</v>
      </c>
      <c r="AM11" s="15">
        <v>44.6</v>
      </c>
      <c r="AN11" s="170">
        <v>2</v>
      </c>
      <c r="AO11" s="109">
        <v>25.35</v>
      </c>
      <c r="AP11" s="15">
        <v>4</v>
      </c>
      <c r="AQ11" s="98">
        <v>2</v>
      </c>
      <c r="AR11" s="109">
        <v>60</v>
      </c>
      <c r="AS11" s="15">
        <v>42.898076923076921</v>
      </c>
      <c r="AT11" s="98">
        <v>26</v>
      </c>
      <c r="AU11" s="96" t="e">
        <f t="shared" si="2"/>
        <v>#REF!</v>
      </c>
      <c r="AV11" s="27" t="e">
        <f t="shared" si="0"/>
        <v>#REF!</v>
      </c>
      <c r="AW11" s="58" t="e">
        <f t="shared" si="1"/>
        <v>#REF!</v>
      </c>
      <c r="AY11" s="27">
        <f>IF(E11=Dienste!$A$2,Dienste!$C$2,IF(E11=Dienste!$A$3,Dienste!$C$3,IF(E11=Dienste!$A$4,Dienste!$C$4,IF(E11=Dienste!$A$5,Dienste!$C$5,IF(E11=Dienste!$A$6,Dienste!$C$6,IF(E11=Dienste!$A$7,Dienste!$C$7,IF(E11=Dienste!$A$8,Dienste!$C$8,IF(E11=Dienste!$A$9,Dienste!$C$9,IF(E11=Dienste!$A$10,Dienste!$C$10,IF(E11=Dienste!$A$11,Dienste!$C$11,IF(E11=Dienste!$A$12,Dienste!$C$12,IF(E11=Dienste!$A$13,Dienste!$C$13,IF(E11=Dienste!$A$14,Dienste!$C$14,IF(E11=Dienste!$A$15,Dienste!$C$15,IF(E11=Dienste!$A$16,Dienste!$C$16,IF(E11=Dienste!$A$17,Dienste!$C$17,IF(E11=Dienste!$A$18,Dienste!$C$18,IF(E11=Dienste!$A$19,Dienste!$C$19,IF(E11=Dienste!$A$20,Dienste!$C$20,IF(E11=Dienste!$A$21,Dienste!$C$21,IF(E11=Dienste!$A$22,Dienste!$C$22,IF(E11=Dienste!$A$23,Dienste!$C$23,IF(E11=Dienste!$A$24,Dienste!$C$24,IF(E11=Dienste!$A$25,Dienste!$C$25,IF(E11=Dienste!$A$26,Dienste!$C$26,IF(E11=Dienste!$A$27,Dienste!$C$27,IF(E11=Dienste!$A$28,Dienste!$C$28,IF(E11=Dienste!#REF!,Dienste!#REF!,IF(E11=Dienste!#REF!,Dienste!#REF!,IF(E11=Dienste!#REF!,Dienste!#REF!,IF(E11=Dienste!#REF!,Dienste!#REF!,IF(E11=Dienste!$A$33,Dienste!$C$33,IF(E11=Dienste!$A$34,Dienste!$C$34,IF(E11=Dienste!$A$35,Dienste!$C$35,IF(E11=Dienste!$A$36,Dienste!$C$36,)))))))))))))))))))))))))))))))))))</f>
        <v>0</v>
      </c>
      <c r="AZ11" s="27">
        <f>IF(F11=Dienste!$A$2,Dienste!$C$2,IF(F11=Dienste!$A$3,Dienste!$C$3,IF(F11=Dienste!$A$4,Dienste!$C$4,IF(F11=Dienste!$A$5,Dienste!$C$5,IF(F11=Dienste!$A$6,Dienste!$C$6,IF(F11=Dienste!$A$7,Dienste!$C$7,IF(F11=Dienste!$A$8,Dienste!$C$8,IF(F11=Dienste!$A$9,Dienste!$C$9,IF(F11=Dienste!$A$10,Dienste!$C$10,IF(F11=Dienste!$A$11,Dienste!$C$11,IF(F11=Dienste!$A$12,Dienste!$C$12,IF(F11=Dienste!$A$13,Dienste!$C$13,IF(F11=Dienste!$A$14,Dienste!$C$14,IF(F11=Dienste!$A$15,Dienste!$C$15,IF(F11=Dienste!$A$16,Dienste!$C$16,IF(F11=Dienste!$A$17,Dienste!$C$17,IF(F11=Dienste!$A$18,Dienste!$C$18,IF(F11=Dienste!$A$19,Dienste!$C$19,IF(F11=Dienste!$A$20,Dienste!$C$20,IF(F11=Dienste!$A$21,Dienste!$C$21,IF(F11=Dienste!$A$22,Dienste!$C$22,IF(F11=Dienste!$A$23,Dienste!$C$23,IF(F11=Dienste!$A$24,Dienste!$C$24,IF(F11=Dienste!$A$25,Dienste!$C$25,IF(F11=Dienste!$A$26,Dienste!$C$26,IF(F11=Dienste!$A$27,Dienste!$C$27,IF(F11=Dienste!$A$28,Dienste!$C$28,IF(F11=Dienste!#REF!,Dienste!#REF!,IF(F11=Dienste!#REF!,Dienste!#REF!,IF(F11=Dienste!#REF!,Dienste!#REF!,IF(F11=Dienste!#REF!,Dienste!#REF!,IF(F11=Dienste!$A$33,Dienste!$C$33,IF(F11=Dienste!$A$34,Dienste!$C$34,IF(F11=Dienste!$A$35,Dienste!$C$35,IF(F11=Dienste!$A$36,Dienste!$C$36,)))))))))))))))))))))))))))))))))))</f>
        <v>0</v>
      </c>
      <c r="BA11" s="27">
        <f>IF(G11=Dienste!$A$2,Dienste!$C$2,IF(G11=Dienste!$A$3,Dienste!$C$3,IF(G11=Dienste!$A$4,Dienste!$C$4,IF(G11=Dienste!$A$5,Dienste!$C$5,IF(G11=Dienste!$A$6,Dienste!$C$6,IF(G11=Dienste!$A$7,Dienste!$C$7,IF(G11=Dienste!$A$8,Dienste!$C$8,IF(G11=Dienste!$A$9,Dienste!$C$9,IF(G11=Dienste!$A$10,Dienste!$C$10,IF(G11=Dienste!$A$11,Dienste!$C$11,IF(G11=Dienste!$A$12,Dienste!$C$12,IF(G11=Dienste!$A$13,Dienste!$C$13,IF(G11=Dienste!$A$14,Dienste!$C$14,IF(G11=Dienste!$A$15,Dienste!$C$15,IF(G11=Dienste!$A$16,Dienste!$C$16,IF(G11=Dienste!$A$17,Dienste!$C$17,IF(G11=Dienste!$A$18,Dienste!$C$18,IF(G11=Dienste!$A$19,Dienste!$C$19,IF(G11=Dienste!$A$20,Dienste!$C$20,IF(G11=Dienste!$A$21,Dienste!$C$21,IF(G11=Dienste!$A$22,Dienste!$C$22,IF(G11=Dienste!$A$23,Dienste!$C$23,IF(G11=Dienste!$A$24,Dienste!$C$24,IF(G11=Dienste!$A$25,Dienste!$C$25,IF(G11=Dienste!$A$26,Dienste!$C$26,IF(G11=Dienste!$A$27,Dienste!$C$27,IF(G11=Dienste!$A$28,Dienste!$C$28,IF(G11=Dienste!#REF!,Dienste!#REF!,IF(G11=Dienste!#REF!,Dienste!#REF!,IF(G11=Dienste!#REF!,Dienste!#REF!,IF(G11=Dienste!#REF!,Dienste!#REF!,IF(G11=Dienste!$A$33,Dienste!$C$33,IF(G11=Dienste!$A$34,Dienste!$C$34,IF(G11=Dienste!$A$35,Dienste!$C$35,IF(G11=Dienste!$A$36,Dienste!$C$36,)))))))))))))))))))))))))))))))))))</f>
        <v>8</v>
      </c>
      <c r="BB11" s="27" t="e">
        <f>IF(H11=Dienste!$A$2,Dienste!$C$2,IF(H11=Dienste!$A$3,Dienste!$C$3,IF(H11=Dienste!$A$4,Dienste!$C$4,IF(H11=Dienste!$A$5,Dienste!$C$5,IF(H11=Dienste!$A$6,Dienste!$C$6,IF(H11=Dienste!$A$7,Dienste!$C$7,IF(H11=Dienste!$A$8,Dienste!$C$8,IF(H11=Dienste!$A$9,Dienste!$C$9,IF(H11=Dienste!$A$10,Dienste!$C$10,IF(H11=Dienste!$A$11,Dienste!$C$11,IF(H11=Dienste!$A$12,Dienste!$C$12,IF(H11=Dienste!$A$13,Dienste!$C$13,IF(H11=Dienste!$A$14,Dienste!$C$14,IF(H11=Dienste!$A$15,Dienste!$C$15,IF(H11=Dienste!$A$16,Dienste!$C$16,IF(H11=Dienste!$A$17,Dienste!$C$17,IF(H11=Dienste!$A$18,Dienste!$C$18,IF(H11=Dienste!$A$19,Dienste!$C$19,IF(H11=Dienste!$A$20,Dienste!$C$20,IF(H11=Dienste!$A$21,Dienste!$C$21,IF(H11=Dienste!$A$22,Dienste!$C$22,IF(H11=Dienste!$A$23,Dienste!$C$23,IF(H11=Dienste!$A$24,Dienste!$C$24,IF(H11=Dienste!$A$25,Dienste!$C$25,IF(H11=Dienste!$A$26,Dienste!$C$26,IF(H11=Dienste!$A$27,Dienste!$C$27,IF(H11=Dienste!$A$28,Dienste!$C$28,IF(H11=Dienste!#REF!,Dienste!#REF!,IF(H11=Dienste!#REF!,Dienste!#REF!,IF(H11=Dienste!#REF!,Dienste!#REF!,IF(H11=Dienste!#REF!,Dienste!#REF!,IF(H11=Dienste!$A$33,Dienste!$C$33,IF(H11=Dienste!$A$34,Dienste!$C$34,IF(H11=Dienste!$A$35,Dienste!$C$35,IF(H11=Dienste!$A$36,Dienste!$C$36,)))))))))))))))))))))))))))))))))))</f>
        <v>#REF!</v>
      </c>
      <c r="BC11" s="27">
        <f>IF(I11=Dienste!$A$2,Dienste!$C$2,IF(I11=Dienste!$A$3,Dienste!$C$3,IF(I11=Dienste!$A$4,Dienste!$C$4,IF(I11=Dienste!$A$5,Dienste!$C$5,IF(I11=Dienste!$A$6,Dienste!$C$6,IF(I11=Dienste!$A$7,Dienste!$C$7,IF(I11=Dienste!$A$8,Dienste!$C$8,IF(I11=Dienste!$A$9,Dienste!$C$9,IF(I11=Dienste!$A$10,Dienste!$C$10,IF(I11=Dienste!$A$11,Dienste!$C$11,IF(I11=Dienste!$A$12,Dienste!$C$12,IF(I11=Dienste!$A$13,Dienste!$C$13,IF(I11=Dienste!$A$14,Dienste!$C$14,IF(I11=Dienste!$A$15,Dienste!$C$15,IF(I11=Dienste!$A$16,Dienste!$C$16,IF(I11=Dienste!$A$17,Dienste!$C$17,IF(I11=Dienste!$A$18,Dienste!$C$18,IF(I11=Dienste!$A$19,Dienste!$C$19,IF(I11=Dienste!$A$20,Dienste!$C$20,IF(I11=Dienste!$A$21,Dienste!$C$21,IF(I11=Dienste!$A$22,Dienste!$C$22,IF(I11=Dienste!$A$23,Dienste!$C$23,IF(I11=Dienste!$A$24,Dienste!$C$24,IF(I11=Dienste!$A$25,Dienste!$C$25,IF(I11=Dienste!$A$26,Dienste!$C$26,IF(I11=Dienste!$A$27,Dienste!$C$27,IF(I11=Dienste!$A$28,Dienste!$C$28,IF(I11=Dienste!#REF!,Dienste!#REF!,IF(I11=Dienste!#REF!,Dienste!#REF!,IF(I11=Dienste!#REF!,Dienste!#REF!,IF(I11=Dienste!#REF!,Dienste!#REF!,IF(I11=Dienste!$A$33,Dienste!$C$33,IF(I11=Dienste!$A$34,Dienste!$C$34,IF(I11=Dienste!$A$35,Dienste!$C$35,IF(I11=Dienste!$A$36,Dienste!$C$36,)))))))))))))))))))))))))))))))))))</f>
        <v>8</v>
      </c>
      <c r="BD11" s="27">
        <f>IF(J11=Dienste!$A$2,Dienste!$C$2,IF(J11=Dienste!$A$3,Dienste!$C$3,IF(J11=Dienste!$A$4,Dienste!$C$4,IF(J11=Dienste!$A$5,Dienste!$C$5,IF(J11=Dienste!$A$6,Dienste!$C$6,IF(J11=Dienste!$A$7,Dienste!$C$7,IF(J11=Dienste!$A$8,Dienste!$C$8,IF(J11=Dienste!$A$9,Dienste!$C$9,IF(J11=Dienste!$A$10,Dienste!$C$10,IF(J11=Dienste!$A$11,Dienste!$C$11,IF(J11=Dienste!$A$12,Dienste!$C$12,IF(J11=Dienste!$A$13,Dienste!$C$13,IF(J11=Dienste!$A$14,Dienste!$C$14,IF(J11=Dienste!$A$15,Dienste!$C$15,IF(J11=Dienste!$A$16,Dienste!$C$16,IF(J11=Dienste!$A$17,Dienste!$C$17,IF(J11=Dienste!$A$18,Dienste!$C$18,IF(J11=Dienste!$A$19,Dienste!$C$19,IF(J11=Dienste!$A$20,Dienste!$C$20,IF(J11=Dienste!$A$21,Dienste!$C$21,IF(J11=Dienste!$A$22,Dienste!$C$22,IF(J11=Dienste!$A$23,Dienste!$C$23,IF(J11=Dienste!$A$24,Dienste!$C$24,IF(J11=Dienste!$A$25,Dienste!$C$25,IF(J11=Dienste!$A$26,Dienste!$C$26,IF(J11=Dienste!$A$27,Dienste!$C$27,IF(J11=Dienste!$A$28,Dienste!$C$28,IF(J11=Dienste!#REF!,Dienste!#REF!,IF(J11=Dienste!#REF!,Dienste!#REF!,IF(J11=Dienste!#REF!,Dienste!#REF!,IF(J11=Dienste!#REF!,Dienste!#REF!,IF(J11=Dienste!$A$33,Dienste!$C$33,IF(J11=Dienste!$A$34,Dienste!$C$34,IF(J11=Dienste!$A$35,Dienste!$C$35,IF(J11=Dienste!$A$36,Dienste!$C$36,)))))))))))))))))))))))))))))))))))</f>
        <v>8</v>
      </c>
      <c r="BE11" s="27">
        <f>IF(K11=Dienste!$A$2,Dienste!$C$2,IF(K11=Dienste!$A$3,Dienste!$C$3,IF(K11=Dienste!$A$4,Dienste!$C$4,IF(K11=Dienste!$A$5,Dienste!$C$5,IF(K11=Dienste!$A$6,Dienste!$C$6,IF(K11=Dienste!$A$7,Dienste!$C$7,IF(K11=Dienste!$A$8,Dienste!$C$8,IF(K11=Dienste!$A$9,Dienste!$C$9,IF(K11=Dienste!$A$10,Dienste!$C$10,IF(K11=Dienste!$A$11,Dienste!$C$11,IF(K11=Dienste!$A$12,Dienste!$C$12,IF(K11=Dienste!$A$13,Dienste!$C$13,IF(K11=Dienste!$A$14,Dienste!$C$14,IF(K11=Dienste!$A$15,Dienste!$C$15,IF(K11=Dienste!$A$16,Dienste!$C$16,IF(K11=Dienste!$A$17,Dienste!$C$17,IF(K11=Dienste!$A$18,Dienste!$C$18,IF(K11=Dienste!$A$19,Dienste!$C$19,IF(K11=Dienste!$A$20,Dienste!$C$20,IF(K11=Dienste!$A$21,Dienste!$C$21,IF(K11=Dienste!$A$22,Dienste!$C$22,IF(K11=Dienste!$A$23,Dienste!$C$23,IF(K11=Dienste!$A$24,Dienste!$C$24,IF(K11=Dienste!$A$25,Dienste!$C$25,IF(K11=Dienste!$A$26,Dienste!$C$26,IF(K11=Dienste!$A$27,Dienste!$C$27,IF(K11=Dienste!$A$28,Dienste!$C$28,IF(K11=Dienste!#REF!,Dienste!#REF!,IF(K11=Dienste!#REF!,Dienste!#REF!,IF(K11=Dienste!#REF!,Dienste!#REF!,IF(K11=Dienste!#REF!,Dienste!#REF!,IF(K11=Dienste!$A$33,Dienste!$C$33,IF(K11=Dienste!$A$34,Dienste!$C$34,IF(K11=Dienste!$A$35,Dienste!$C$35,IF(K11=Dienste!$A$36,Dienste!$C$36,)))))))))))))))))))))))))))))))))))</f>
        <v>0</v>
      </c>
      <c r="BF11" s="27" t="e">
        <f>IF(L11=Dienste!$A$2,Dienste!$C$2,IF(L11=Dienste!$A$3,Dienste!$C$3,IF(L11=Dienste!$A$4,Dienste!$C$4,IF(L11=Dienste!$A$5,Dienste!$C$5,IF(L11=Dienste!$A$6,Dienste!$C$6,IF(L11=Dienste!$A$7,Dienste!$C$7,IF(L11=Dienste!$A$8,Dienste!$C$8,IF(L11=Dienste!$A$9,Dienste!$C$9,IF(L11=Dienste!$A$10,Dienste!$C$10,IF(L11=Dienste!$A$11,Dienste!$C$11,IF(L11=Dienste!$A$12,Dienste!$C$12,IF(L11=Dienste!$A$13,Dienste!$C$13,IF(L11=Dienste!$A$14,Dienste!$C$14,IF(L11=Dienste!$A$15,Dienste!$C$15,IF(L11=Dienste!$A$16,Dienste!$C$16,IF(L11=Dienste!$A$17,Dienste!$C$17,IF(L11=Dienste!$A$18,Dienste!$C$18,IF(L11=Dienste!$A$19,Dienste!$C$19,IF(L11=Dienste!$A$20,Dienste!$C$20,IF(L11=Dienste!$A$21,Dienste!$C$21,IF(L11=Dienste!$A$22,Dienste!$C$22,IF(L11=Dienste!$A$23,Dienste!$C$23,IF(L11=Dienste!$A$24,Dienste!$C$24,IF(L11=Dienste!$A$25,Dienste!$C$25,IF(L11=Dienste!$A$26,Dienste!$C$26,IF(L11=Dienste!$A$27,Dienste!$C$27,IF(L11=Dienste!$A$28,Dienste!$C$28,IF(L11=Dienste!#REF!,Dienste!#REF!,IF(L11=Dienste!#REF!,Dienste!#REF!,IF(L11=Dienste!#REF!,Dienste!#REF!,IF(L11=Dienste!#REF!,Dienste!#REF!,IF(L11=Dienste!$A$33,Dienste!$C$33,IF(L11=Dienste!$A$34,Dienste!$C$34,IF(L11=Dienste!$A$35,Dienste!$C$35,IF(L11=Dienste!$A$36,Dienste!$C$36,)))))))))))))))))))))))))))))))))))</f>
        <v>#REF!</v>
      </c>
      <c r="BG11" s="27">
        <f>IF(M11=Dienste!$A$2,Dienste!$C$2,IF(M11=Dienste!$A$3,Dienste!$C$3,IF(M11=Dienste!$A$4,Dienste!$C$4,IF(M11=Dienste!$A$5,Dienste!$C$5,IF(M11=Dienste!$A$6,Dienste!$C$6,IF(M11=Dienste!$A$7,Dienste!$C$7,IF(M11=Dienste!$A$8,Dienste!$C$8,IF(M11=Dienste!$A$9,Dienste!$C$9,IF(M11=Dienste!$A$10,Dienste!$C$10,IF(M11=Dienste!$A$11,Dienste!$C$11,IF(M11=Dienste!$A$12,Dienste!$C$12,IF(M11=Dienste!$A$13,Dienste!$C$13,IF(M11=Dienste!$A$14,Dienste!$C$14,IF(M11=Dienste!$A$15,Dienste!$C$15,IF(M11=Dienste!$A$16,Dienste!$C$16,IF(M11=Dienste!$A$17,Dienste!$C$17,IF(M11=Dienste!$A$18,Dienste!$C$18,IF(M11=Dienste!$A$19,Dienste!$C$19,IF(M11=Dienste!$A$20,Dienste!$C$20,IF(M11=Dienste!$A$21,Dienste!$C$21,IF(M11=Dienste!$A$22,Dienste!$C$22,IF(M11=Dienste!$A$23,Dienste!$C$23,IF(M11=Dienste!$A$24,Dienste!$C$24,IF(M11=Dienste!$A$25,Dienste!$C$25,IF(M11=Dienste!$A$26,Dienste!$C$26,IF(M11=Dienste!$A$27,Dienste!$C$27,IF(M11=Dienste!$A$28,Dienste!$C$28,IF(M11=Dienste!#REF!,Dienste!#REF!,IF(M11=Dienste!#REF!,Dienste!#REF!,IF(M11=Dienste!#REF!,Dienste!#REF!,IF(M11=Dienste!#REF!,Dienste!#REF!,IF(M11=Dienste!$A$33,Dienste!$C$33,IF(M11=Dienste!$A$34,Dienste!$C$34,IF(M11=Dienste!$A$35,Dienste!$C$35,IF(M11=Dienste!$A$36,Dienste!$C$36,)))))))))))))))))))))))))))))))))))</f>
        <v>8</v>
      </c>
      <c r="BH11" s="27">
        <f>IF(N11=Dienste!$A$2,Dienste!$C$2,IF(N11=Dienste!$A$3,Dienste!$C$3,IF(N11=Dienste!$A$4,Dienste!$C$4,IF(N11=Dienste!$A$5,Dienste!$C$5,IF(N11=Dienste!$A$6,Dienste!$C$6,IF(N11=Dienste!$A$7,Dienste!$C$7,IF(N11=Dienste!$A$8,Dienste!$C$8,IF(N11=Dienste!$A$9,Dienste!$C$9,IF(N11=Dienste!$A$10,Dienste!$C$10,IF(N11=Dienste!$A$11,Dienste!$C$11,IF(N11=Dienste!$A$12,Dienste!$C$12,IF(N11=Dienste!$A$13,Dienste!$C$13,IF(N11=Dienste!$A$14,Dienste!$C$14,IF(N11=Dienste!$A$15,Dienste!$C$15,IF(N11=Dienste!$A$16,Dienste!$C$16,IF(N11=Dienste!$A$17,Dienste!$C$17,IF(N11=Dienste!$A$18,Dienste!$C$18,IF(N11=Dienste!$A$19,Dienste!$C$19,IF(N11=Dienste!$A$20,Dienste!$C$20,IF(N11=Dienste!$A$21,Dienste!$C$21,IF(N11=Dienste!$A$22,Dienste!$C$22,IF(N11=Dienste!$A$23,Dienste!$C$23,IF(N11=Dienste!$A$24,Dienste!$C$24,IF(N11=Dienste!$A$25,Dienste!$C$25,IF(N11=Dienste!$A$26,Dienste!$C$26,IF(N11=Dienste!$A$27,Dienste!$C$27,IF(N11=Dienste!$A$28,Dienste!$C$28,IF(N11=Dienste!#REF!,Dienste!#REF!,IF(N11=Dienste!#REF!,Dienste!#REF!,IF(N11=Dienste!#REF!,Dienste!#REF!,IF(N11=Dienste!#REF!,Dienste!#REF!,IF(N11=Dienste!$A$33,Dienste!$C$33,IF(N11=Dienste!$A$34,Dienste!$C$34,IF(N11=Dienste!$A$35,Dienste!$C$35,IF(N11=Dienste!$A$36,Dienste!$C$36,)))))))))))))))))))))))))))))))))))</f>
        <v>8</v>
      </c>
      <c r="BI11" s="27">
        <f>IF(O11=Dienste!$A$2,Dienste!$C$2,IF(O11=Dienste!$A$3,Dienste!$C$3,IF(O11=Dienste!$A$4,Dienste!$C$4,IF(O11=Dienste!$A$5,Dienste!$C$5,IF(O11=Dienste!$A$6,Dienste!$C$6,IF(O11=Dienste!$A$7,Dienste!$C$7,IF(O11=Dienste!$A$8,Dienste!$C$8,IF(O11=Dienste!$A$9,Dienste!$C$9,IF(O11=Dienste!$A$10,Dienste!$C$10,IF(O11=Dienste!$A$11,Dienste!$C$11,IF(O11=Dienste!$A$12,Dienste!$C$12,IF(O11=Dienste!$A$13,Dienste!$C$13,IF(O11=Dienste!$A$14,Dienste!$C$14,IF(O11=Dienste!$A$15,Dienste!$C$15,IF(O11=Dienste!$A$16,Dienste!$C$16,IF(O11=Dienste!$A$17,Dienste!$C$17,IF(O11=Dienste!$A$18,Dienste!$C$18,IF(O11=Dienste!$A$19,Dienste!$C$19,IF(O11=Dienste!$A$20,Dienste!$C$20,IF(O11=Dienste!$A$21,Dienste!$C$21,IF(O11=Dienste!$A$22,Dienste!$C$22,IF(O11=Dienste!$A$23,Dienste!$C$23,IF(O11=Dienste!$A$24,Dienste!$C$24,IF(O11=Dienste!$A$25,Dienste!$C$25,IF(O11=Dienste!$A$26,Dienste!$C$26,IF(O11=Dienste!$A$27,Dienste!$C$27,IF(O11=Dienste!$A$28,Dienste!$C$28,IF(O11=Dienste!#REF!,Dienste!#REF!,IF(O11=Dienste!#REF!,Dienste!#REF!,IF(O11=Dienste!#REF!,Dienste!#REF!,IF(O11=Dienste!#REF!,Dienste!#REF!,IF(O11=Dienste!$A$33,Dienste!$C$33,IF(O11=Dienste!$A$34,Dienste!$C$34,IF(O11=Dienste!$A$35,Dienste!$C$35,IF(O11=Dienste!$A$36,Dienste!$C$36,)))))))))))))))))))))))))))))))))))</f>
        <v>8</v>
      </c>
      <c r="BJ11" s="27">
        <f>IF(P11=Dienste!$A$2,Dienste!$C$2,IF(P11=Dienste!$A$3,Dienste!$C$3,IF(P11=Dienste!$A$4,Dienste!$C$4,IF(P11=Dienste!$A$5,Dienste!$C$5,IF(P11=Dienste!$A$6,Dienste!$C$6,IF(P11=Dienste!$A$7,Dienste!$C$7,IF(P11=Dienste!$A$8,Dienste!$C$8,IF(P11=Dienste!$A$9,Dienste!$C$9,IF(P11=Dienste!$A$10,Dienste!$C$10,IF(P11=Dienste!$A$11,Dienste!$C$11,IF(P11=Dienste!$A$12,Dienste!$C$12,IF(P11=Dienste!$A$13,Dienste!$C$13,IF(P11=Dienste!$A$14,Dienste!$C$14,IF(P11=Dienste!$A$15,Dienste!$C$15,IF(P11=Dienste!$A$16,Dienste!$C$16,IF(P11=Dienste!$A$17,Dienste!$C$17,IF(P11=Dienste!$A$18,Dienste!$C$18,IF(P11=Dienste!$A$19,Dienste!$C$19,IF(P11=Dienste!$A$20,Dienste!$C$20,IF(P11=Dienste!$A$21,Dienste!$C$21,IF(P11=Dienste!$A$22,Dienste!$C$22,IF(P11=Dienste!$A$23,Dienste!$C$23,IF(P11=Dienste!$A$24,Dienste!$C$24,IF(P11=Dienste!$A$25,Dienste!$C$25,IF(P11=Dienste!$A$26,Dienste!$C$26,IF(P11=Dienste!$A$27,Dienste!$C$27,IF(P11=Dienste!$A$28,Dienste!$C$28,IF(P11=Dienste!#REF!,Dienste!#REF!,IF(P11=Dienste!#REF!,Dienste!#REF!,IF(P11=Dienste!#REF!,Dienste!#REF!,IF(P11=Dienste!#REF!,Dienste!#REF!,IF(P11=Dienste!$A$33,Dienste!$C$33,IF(P11=Dienste!$A$34,Dienste!$C$34,IF(P11=Dienste!$A$35,Dienste!$C$35,IF(P11=Dienste!$A$36,Dienste!$C$36,)))))))))))))))))))))))))))))))))))</f>
        <v>10</v>
      </c>
      <c r="BK11" s="27">
        <f>IF(Q11=Dienste!$A$2,Dienste!$C$2,IF(Q11=Dienste!$A$3,Dienste!$C$3,IF(Q11=Dienste!$A$4,Dienste!$C$4,IF(Q11=Dienste!$A$5,Dienste!$C$5,IF(Q11=Dienste!$A$6,Dienste!$C$6,IF(Q11=Dienste!$A$7,Dienste!$C$7,IF(Q11=Dienste!$A$8,Dienste!$C$8,IF(Q11=Dienste!$A$9,Dienste!$C$9,IF(Q11=Dienste!$A$10,Dienste!$C$10,IF(Q11=Dienste!$A$11,Dienste!$C$11,IF(Q11=Dienste!$A$12,Dienste!$C$12,IF(Q11=Dienste!$A$13,Dienste!$C$13,IF(Q11=Dienste!$A$14,Dienste!$C$14,IF(Q11=Dienste!$A$15,Dienste!$C$15,IF(Q11=Dienste!$A$16,Dienste!$C$16,IF(Q11=Dienste!$A$17,Dienste!$C$17,IF(Q11=Dienste!$A$18,Dienste!$C$18,IF(Q11=Dienste!$A$19,Dienste!$C$19,IF(Q11=Dienste!$A$20,Dienste!$C$20,IF(Q11=Dienste!$A$21,Dienste!$C$21,IF(Q11=Dienste!$A$22,Dienste!$C$22,IF(Q11=Dienste!$A$23,Dienste!$C$23,IF(Q11=Dienste!$A$24,Dienste!$C$24,IF(Q11=Dienste!$A$25,Dienste!$C$25,IF(Q11=Dienste!$A$26,Dienste!$C$26,IF(Q11=Dienste!$A$27,Dienste!$C$27,IF(Q11=Dienste!$A$28,Dienste!$C$28,IF(Q11=Dienste!#REF!,Dienste!#REF!,IF(Q11=Dienste!#REF!,Dienste!#REF!,IF(Q11=Dienste!#REF!,Dienste!#REF!,IF(Q11=Dienste!#REF!,Dienste!#REF!,IF(Q11=Dienste!$A$33,Dienste!$C$33,IF(Q11=Dienste!$A$34,Dienste!$C$34,IF(Q11=Dienste!$A$35,Dienste!$C$35,IF(Q11=Dienste!$A$36,Dienste!$C$36,)))))))))))))))))))))))))))))))))))</f>
        <v>10</v>
      </c>
      <c r="BL11" s="27">
        <f>IF(R11=Dienste!$A$2,Dienste!$C$2,IF(R11=Dienste!$A$3,Dienste!$C$3,IF(R11=Dienste!$A$4,Dienste!$C$4,IF(R11=Dienste!$A$5,Dienste!$C$5,IF(R11=Dienste!$A$6,Dienste!$C$6,IF(R11=Dienste!$A$7,Dienste!$C$7,IF(R11=Dienste!$A$8,Dienste!$C$8,IF(R11=Dienste!$A$9,Dienste!$C$9,IF(R11=Dienste!$A$10,Dienste!$C$10,IF(R11=Dienste!$A$11,Dienste!$C$11,IF(R11=Dienste!$A$12,Dienste!$C$12,IF(R11=Dienste!$A$13,Dienste!$C$13,IF(R11=Dienste!$A$14,Dienste!$C$14,IF(R11=Dienste!$A$15,Dienste!$C$15,IF(R11=Dienste!$A$16,Dienste!$C$16,IF(R11=Dienste!$A$17,Dienste!$C$17,IF(R11=Dienste!$A$18,Dienste!$C$18,IF(R11=Dienste!$A$19,Dienste!$C$19,IF(R11=Dienste!$A$20,Dienste!$C$20,IF(R11=Dienste!$A$21,Dienste!$C$21,IF(R11=Dienste!$A$22,Dienste!$C$22,IF(R11=Dienste!$A$23,Dienste!$C$23,IF(R11=Dienste!$A$24,Dienste!$C$24,IF(R11=Dienste!$A$25,Dienste!$C$25,IF(R11=Dienste!$A$26,Dienste!$C$26,IF(R11=Dienste!$A$27,Dienste!$C$27,IF(R11=Dienste!$A$28,Dienste!$C$28,IF(R11=Dienste!#REF!,Dienste!#REF!,IF(R11=Dienste!#REF!,Dienste!#REF!,IF(R11=Dienste!#REF!,Dienste!#REF!,IF(R11=Dienste!#REF!,Dienste!#REF!,IF(R11=Dienste!$A$33,Dienste!$C$33,IF(R11=Dienste!$A$34,Dienste!$C$34,IF(R11=Dienste!$A$35,Dienste!$C$35,IF(R11=Dienste!$A$36,Dienste!$C$36,)))))))))))))))))))))))))))))))))))</f>
        <v>0</v>
      </c>
      <c r="BM11" s="27">
        <f>IF(S11=Dienste!$A$2,Dienste!$C$2,IF(S11=Dienste!$A$3,Dienste!$C$3,IF(S11=Dienste!$A$4,Dienste!$C$4,IF(S11=Dienste!$A$5,Dienste!$C$5,IF(S11=Dienste!$A$6,Dienste!$C$6,IF(S11=Dienste!$A$7,Dienste!$C$7,IF(S11=Dienste!$A$8,Dienste!$C$8,IF(S11=Dienste!$A$9,Dienste!$C$9,IF(S11=Dienste!$A$10,Dienste!$C$10,IF(S11=Dienste!$A$11,Dienste!$C$11,IF(S11=Dienste!$A$12,Dienste!$C$12,IF(S11=Dienste!$A$13,Dienste!$C$13,IF(S11=Dienste!$A$14,Dienste!$C$14,IF(S11=Dienste!$A$15,Dienste!$C$15,IF(S11=Dienste!$A$16,Dienste!$C$16,IF(S11=Dienste!$A$17,Dienste!$C$17,IF(S11=Dienste!$A$18,Dienste!$C$18,IF(S11=Dienste!$A$19,Dienste!$C$19,IF(S11=Dienste!$A$20,Dienste!$C$20,IF(S11=Dienste!$A$21,Dienste!$C$21,IF(S11=Dienste!$A$22,Dienste!$C$22,IF(S11=Dienste!$A$23,Dienste!$C$23,IF(S11=Dienste!$A$24,Dienste!$C$24,IF(S11=Dienste!$A$25,Dienste!$C$25,IF(S11=Dienste!$A$26,Dienste!$C$26,IF(S11=Dienste!$A$27,Dienste!$C$27,IF(S11=Dienste!$A$28,Dienste!$C$28,IF(S11=Dienste!#REF!,Dienste!#REF!,IF(S11=Dienste!#REF!,Dienste!#REF!,IF(S11=Dienste!#REF!,Dienste!#REF!,IF(S11=Dienste!#REF!,Dienste!#REF!,IF(S11=Dienste!$A$33,Dienste!$C$33,IF(S11=Dienste!$A$34,Dienste!$C$34,IF(S11=Dienste!$A$35,Dienste!$C$35,IF(S11=Dienste!$A$36,Dienste!$C$36,)))))))))))))))))))))))))))))))))))</f>
        <v>0</v>
      </c>
      <c r="BN11" s="27">
        <f>IF(T11=Dienste!$A$2,Dienste!$C$2,IF(T11=Dienste!$A$3,Dienste!$C$3,IF(T11=Dienste!$A$4,Dienste!$C$4,IF(T11=Dienste!$A$5,Dienste!$C$5,IF(T11=Dienste!$A$6,Dienste!$C$6,IF(T11=Dienste!$A$7,Dienste!$C$7,IF(T11=Dienste!$A$8,Dienste!$C$8,IF(T11=Dienste!$A$9,Dienste!$C$9,IF(T11=Dienste!$A$10,Dienste!$C$10,IF(T11=Dienste!$A$11,Dienste!$C$11,IF(T11=Dienste!$A$12,Dienste!$C$12,IF(T11=Dienste!$A$13,Dienste!$C$13,IF(T11=Dienste!$A$14,Dienste!$C$14,IF(T11=Dienste!$A$15,Dienste!$C$15,IF(T11=Dienste!$A$16,Dienste!$C$16,IF(T11=Dienste!$A$17,Dienste!$C$17,IF(T11=Dienste!$A$18,Dienste!$C$18,IF(T11=Dienste!$A$19,Dienste!$C$19,IF(T11=Dienste!$A$20,Dienste!$C$20,IF(T11=Dienste!$A$21,Dienste!$C$21,IF(T11=Dienste!$A$22,Dienste!$C$22,IF(T11=Dienste!$A$23,Dienste!$C$23,IF(T11=Dienste!$A$24,Dienste!$C$24,IF(T11=Dienste!$A$25,Dienste!$C$25,IF(T11=Dienste!$A$26,Dienste!$C$26,IF(T11=Dienste!$A$27,Dienste!$C$27,IF(T11=Dienste!$A$28,Dienste!$C$28,IF(T11=Dienste!#REF!,Dienste!#REF!,IF(T11=Dienste!#REF!,Dienste!#REF!,IF(T11=Dienste!#REF!,Dienste!#REF!,IF(T11=Dienste!#REF!,Dienste!#REF!,IF(T11=Dienste!$A$33,Dienste!$C$33,IF(T11=Dienste!$A$34,Dienste!$C$34,IF(T11=Dienste!$A$35,Dienste!$C$35,IF(T11=Dienste!$A$36,Dienste!$C$36,)))))))))))))))))))))))))))))))))))</f>
        <v>10</v>
      </c>
      <c r="BO11" s="27">
        <f>IF(U11=Dienste!$A$2,Dienste!$C$2,IF(U11=Dienste!$A$3,Dienste!$C$3,IF(U11=Dienste!$A$4,Dienste!$C$4,IF(U11=Dienste!$A$5,Dienste!$C$5,IF(U11=Dienste!$A$6,Dienste!$C$6,IF(U11=Dienste!$A$7,Dienste!$C$7,IF(U11=Dienste!$A$8,Dienste!$C$8,IF(U11=Dienste!$A$9,Dienste!$C$9,IF(U11=Dienste!$A$10,Dienste!$C$10,IF(U11=Dienste!$A$11,Dienste!$C$11,IF(U11=Dienste!$A$12,Dienste!$C$12,IF(U11=Dienste!$A$13,Dienste!$C$13,IF(U11=Dienste!$A$14,Dienste!$C$14,IF(U11=Dienste!$A$15,Dienste!$C$15,IF(U11=Dienste!$A$16,Dienste!$C$16,IF(U11=Dienste!$A$17,Dienste!$C$17,IF(U11=Dienste!$A$18,Dienste!$C$18,IF(U11=Dienste!$A$19,Dienste!$C$19,IF(U11=Dienste!$A$20,Dienste!$C$20,IF(U11=Dienste!$A$21,Dienste!$C$21,IF(U11=Dienste!$A$22,Dienste!$C$22,IF(U11=Dienste!$A$23,Dienste!$C$23,IF(U11=Dienste!$A$24,Dienste!$C$24,IF(U11=Dienste!$A$25,Dienste!$C$25,IF(U11=Dienste!$A$26,Dienste!$C$26,IF(U11=Dienste!$A$27,Dienste!$C$27,IF(U11=Dienste!$A$28,Dienste!$C$28,IF(U11=Dienste!#REF!,Dienste!#REF!,IF(U11=Dienste!#REF!,Dienste!#REF!,IF(U11=Dienste!#REF!,Dienste!#REF!,IF(U11=Dienste!#REF!,Dienste!#REF!,IF(U11=Dienste!$A$33,Dienste!$C$33,IF(U11=Dienste!$A$34,Dienste!$C$34,IF(U11=Dienste!$A$35,Dienste!$C$35,IF(U11=Dienste!$A$36,Dienste!$C$36,)))))))))))))))))))))))))))))))))))</f>
        <v>10</v>
      </c>
      <c r="BP11" s="27">
        <f>IF(V11=Dienste!$A$2,Dienste!$C$2,IF(V11=Dienste!$A$3,Dienste!$C$3,IF(V11=Dienste!$A$4,Dienste!$C$4,IF(V11=Dienste!$A$5,Dienste!$C$5,IF(V11=Dienste!$A$6,Dienste!$C$6,IF(V11=Dienste!$A$7,Dienste!$C$7,IF(V11=Dienste!$A$8,Dienste!$C$8,IF(V11=Dienste!$A$9,Dienste!$C$9,IF(V11=Dienste!$A$10,Dienste!$C$10,IF(V11=Dienste!$A$11,Dienste!$C$11,IF(V11=Dienste!$A$12,Dienste!$C$12,IF(V11=Dienste!$A$13,Dienste!$C$13,IF(V11=Dienste!$A$14,Dienste!$C$14,IF(V11=Dienste!$A$15,Dienste!$C$15,IF(V11=Dienste!$A$16,Dienste!$C$16,IF(V11=Dienste!$A$17,Dienste!$C$17,IF(V11=Dienste!$A$18,Dienste!$C$18,IF(V11=Dienste!$A$19,Dienste!$C$19,IF(V11=Dienste!$A$20,Dienste!$C$20,IF(V11=Dienste!$A$21,Dienste!$C$21,IF(V11=Dienste!$A$22,Dienste!$C$22,IF(V11=Dienste!$A$23,Dienste!$C$23,IF(V11=Dienste!$A$24,Dienste!$C$24,IF(V11=Dienste!$A$25,Dienste!$C$25,IF(V11=Dienste!$A$26,Dienste!$C$26,IF(V11=Dienste!$A$27,Dienste!$C$27,IF(V11=Dienste!$A$28,Dienste!$C$28,IF(V11=Dienste!#REF!,Dienste!#REF!,IF(V11=Dienste!#REF!,Dienste!#REF!,IF(V11=Dienste!#REF!,Dienste!#REF!,IF(V11=Dienste!#REF!,Dienste!#REF!,IF(V11=Dienste!$A$33,Dienste!$C$33,IF(V11=Dienste!$A$34,Dienste!$C$34,IF(V11=Dienste!$A$35,Dienste!$C$35,IF(V11=Dienste!$A$36,Dienste!$C$36,)))))))))))))))))))))))))))))))))))</f>
        <v>9</v>
      </c>
      <c r="BQ11" s="27">
        <f>IF(W11=Dienste!$A$2,Dienste!$C$2,IF(W11=Dienste!$A$3,Dienste!$C$3,IF(W11=Dienste!$A$4,Dienste!$C$4,IF(W11=Dienste!$A$5,Dienste!$C$5,IF(W11=Dienste!$A$6,Dienste!$C$6,IF(W11=Dienste!$A$7,Dienste!$C$7,IF(W11=Dienste!$A$8,Dienste!$C$8,IF(W11=Dienste!$A$9,Dienste!$C$9,IF(W11=Dienste!$A$10,Dienste!$C$10,IF(W11=Dienste!$A$11,Dienste!$C$11,IF(W11=Dienste!$A$12,Dienste!$C$12,IF(W11=Dienste!$A$13,Dienste!$C$13,IF(W11=Dienste!$A$14,Dienste!$C$14,IF(W11=Dienste!$A$15,Dienste!$C$15,IF(W11=Dienste!$A$16,Dienste!$C$16,IF(W11=Dienste!$A$17,Dienste!$C$17,IF(W11=Dienste!$A$18,Dienste!$C$18,IF(W11=Dienste!$A$19,Dienste!$C$19,IF(W11=Dienste!$A$20,Dienste!$C$20,IF(W11=Dienste!$A$21,Dienste!$C$21,IF(W11=Dienste!$A$22,Dienste!$C$22,IF(W11=Dienste!$A$23,Dienste!$C$23,IF(W11=Dienste!$A$24,Dienste!$C$24,IF(W11=Dienste!$A$25,Dienste!$C$25,IF(W11=Dienste!$A$26,Dienste!$C$26,IF(W11=Dienste!$A$27,Dienste!$C$27,IF(W11=Dienste!$A$28,Dienste!$C$28,IF(W11=Dienste!#REF!,Dienste!#REF!,IF(W11=Dienste!#REF!,Dienste!#REF!,IF(W11=Dienste!#REF!,Dienste!#REF!,IF(W11=Dienste!#REF!,Dienste!#REF!,IF(W11=Dienste!$A$33,Dienste!$C$33,IF(W11=Dienste!$A$34,Dienste!$C$34,IF(W11=Dienste!$A$35,Dienste!$C$35,IF(W11=Dienste!$A$36,Dienste!$C$36,)))))))))))))))))))))))))))))))))))</f>
        <v>8</v>
      </c>
      <c r="BR11" s="27">
        <f>IF(X11=Dienste!$A$2,Dienste!$C$2,IF(X11=Dienste!$A$3,Dienste!$C$3,IF(X11=Dienste!$A$4,Dienste!$C$4,IF(X11=Dienste!$A$5,Dienste!$C$5,IF(X11=Dienste!$A$6,Dienste!$C$6,IF(X11=Dienste!$A$7,Dienste!$C$7,IF(X11=Dienste!$A$8,Dienste!$C$8,IF(X11=Dienste!$A$9,Dienste!$C$9,IF(X11=Dienste!$A$10,Dienste!$C$10,IF(X11=Dienste!$A$11,Dienste!$C$11,IF(X11=Dienste!$A$12,Dienste!$C$12,IF(X11=Dienste!$A$13,Dienste!$C$13,IF(X11=Dienste!$A$14,Dienste!$C$14,IF(X11=Dienste!$A$15,Dienste!$C$15,IF(X11=Dienste!$A$16,Dienste!$C$16,IF(X11=Dienste!$A$17,Dienste!$C$17,IF(X11=Dienste!$A$18,Dienste!$C$18,IF(X11=Dienste!$A$19,Dienste!$C$19,IF(X11=Dienste!$A$20,Dienste!$C$20,IF(X11=Dienste!$A$21,Dienste!$C$21,IF(X11=Dienste!$A$22,Dienste!$C$22,IF(X11=Dienste!$A$23,Dienste!$C$23,IF(X11=Dienste!$A$24,Dienste!$C$24,IF(X11=Dienste!$A$25,Dienste!$C$25,IF(X11=Dienste!$A$26,Dienste!$C$26,IF(X11=Dienste!$A$27,Dienste!$C$27,IF(X11=Dienste!$A$28,Dienste!$C$28,IF(X11=Dienste!#REF!,Dienste!#REF!,IF(X11=Dienste!#REF!,Dienste!#REF!,IF(X11=Dienste!#REF!,Dienste!#REF!,IF(X11=Dienste!#REF!,Dienste!#REF!,IF(X11=Dienste!$A$33,Dienste!$C$33,IF(X11=Dienste!$A$34,Dienste!$C$34,IF(X11=Dienste!$A$35,Dienste!$C$35,IF(X11=Dienste!$A$36,Dienste!$C$36,)))))))))))))))))))))))))))))))))))</f>
        <v>8</v>
      </c>
      <c r="BS11" s="27">
        <f>IF(Y11=Dienste!$A$2,Dienste!$C$2,IF(Y11=Dienste!$A$3,Dienste!$C$3,IF(Y11=Dienste!$A$4,Dienste!$C$4,IF(Y11=Dienste!$A$5,Dienste!$C$5,IF(Y11=Dienste!$A$6,Dienste!$C$6,IF(Y11=Dienste!$A$7,Dienste!$C$7,IF(Y11=Dienste!$A$8,Dienste!$C$8,IF(Y11=Dienste!$A$9,Dienste!$C$9,IF(Y11=Dienste!$A$10,Dienste!$C$10,IF(Y11=Dienste!$A$11,Dienste!$C$11,IF(Y11=Dienste!$A$12,Dienste!$C$12,IF(Y11=Dienste!$A$13,Dienste!$C$13,IF(Y11=Dienste!$A$14,Dienste!$C$14,IF(Y11=Dienste!$A$15,Dienste!$C$15,IF(Y11=Dienste!$A$16,Dienste!$C$16,IF(Y11=Dienste!$A$17,Dienste!$C$17,IF(Y11=Dienste!$A$18,Dienste!$C$18,IF(Y11=Dienste!$A$19,Dienste!$C$19,IF(Y11=Dienste!$A$20,Dienste!$C$20,IF(Y11=Dienste!$A$21,Dienste!$C$21,IF(Y11=Dienste!$A$22,Dienste!$C$22,IF(Y11=Dienste!$A$23,Dienste!$C$23,IF(Y11=Dienste!$A$24,Dienste!$C$24,IF(Y11=Dienste!$A$25,Dienste!$C$25,IF(Y11=Dienste!$A$26,Dienste!$C$26,IF(Y11=Dienste!$A$27,Dienste!$C$27,IF(Y11=Dienste!$A$28,Dienste!$C$28,IF(Y11=Dienste!#REF!,Dienste!#REF!,IF(Y11=Dienste!#REF!,Dienste!#REF!,IF(Y11=Dienste!#REF!,Dienste!#REF!,IF(Y11=Dienste!#REF!,Dienste!#REF!,IF(Y11=Dienste!$A$33,Dienste!$C$33,IF(Y11=Dienste!$A$34,Dienste!$C$34,IF(Y11=Dienste!$A$35,Dienste!$C$35,IF(Y11=Dienste!$A$36,Dienste!$C$36,)))))))))))))))))))))))))))))))))))</f>
        <v>0</v>
      </c>
      <c r="BT11" s="27">
        <f>IF(Z11=Dienste!$A$2,Dienste!$C$2,IF(Z11=Dienste!$A$3,Dienste!$C$3,IF(Z11=Dienste!$A$4,Dienste!$C$4,IF(Z11=Dienste!$A$5,Dienste!$C$5,IF(Z11=Dienste!$A$6,Dienste!$C$6,IF(Z11=Dienste!$A$7,Dienste!$C$7,IF(Z11=Dienste!$A$8,Dienste!$C$8,IF(Z11=Dienste!$A$9,Dienste!$C$9,IF(Z11=Dienste!$A$10,Dienste!$C$10,IF(Z11=Dienste!$A$11,Dienste!$C$11,IF(Z11=Dienste!$A$12,Dienste!$C$12,IF(Z11=Dienste!$A$13,Dienste!$C$13,IF(Z11=Dienste!$A$14,Dienste!$C$14,IF(Z11=Dienste!$A$15,Dienste!$C$15,IF(Z11=Dienste!$A$16,Dienste!$C$16,IF(Z11=Dienste!$A$17,Dienste!$C$17,IF(Z11=Dienste!$A$18,Dienste!$C$18,IF(Z11=Dienste!$A$19,Dienste!$C$19,IF(Z11=Dienste!$A$20,Dienste!$C$20,IF(Z11=Dienste!$A$21,Dienste!$C$21,IF(Z11=Dienste!$A$22,Dienste!$C$22,IF(Z11=Dienste!$A$23,Dienste!$C$23,IF(Z11=Dienste!$A$24,Dienste!$C$24,IF(Z11=Dienste!$A$25,Dienste!$C$25,IF(Z11=Dienste!$A$26,Dienste!$C$26,IF(Z11=Dienste!$A$27,Dienste!$C$27,IF(Z11=Dienste!$A$28,Dienste!$C$28,IF(Z11=Dienste!#REF!,Dienste!#REF!,IF(Z11=Dienste!#REF!,Dienste!#REF!,IF(Z11=Dienste!#REF!,Dienste!#REF!,IF(Z11=Dienste!#REF!,Dienste!#REF!,IF(Z11=Dienste!$A$33,Dienste!$C$33,IF(Z11=Dienste!$A$34,Dienste!$C$34,IF(Z11=Dienste!$A$35,Dienste!$C$35,IF(Z11=Dienste!$A$36,Dienste!$C$36,)))))))))))))))))))))))))))))))))))</f>
        <v>0</v>
      </c>
      <c r="BU11" s="27">
        <f>IF(AA11=Dienste!$A$2,Dienste!$C$2,IF(AA11=Dienste!$A$3,Dienste!$C$3,IF(AA11=Dienste!$A$4,Dienste!$C$4,IF(AA11=Dienste!$A$5,Dienste!$C$5,IF(AA11=Dienste!$A$6,Dienste!$C$6,IF(AA11=Dienste!$A$7,Dienste!$C$7,IF(AA11=Dienste!$A$8,Dienste!$C$8,IF(AA11=Dienste!$A$9,Dienste!$C$9,IF(AA11=Dienste!$A$10,Dienste!$C$10,IF(AA11=Dienste!$A$11,Dienste!$C$11,IF(AA11=Dienste!$A$12,Dienste!$C$12,IF(AA11=Dienste!$A$13,Dienste!$C$13,IF(AA11=Dienste!$A$14,Dienste!$C$14,IF(AA11=Dienste!$A$15,Dienste!$C$15,IF(AA11=Dienste!$A$16,Dienste!$C$16,IF(AA11=Dienste!$A$17,Dienste!$C$17,IF(AA11=Dienste!$A$18,Dienste!$C$18,IF(AA11=Dienste!$A$19,Dienste!$C$19,IF(AA11=Dienste!$A$20,Dienste!$C$20,IF(AA11=Dienste!$A$21,Dienste!$C$21,IF(AA11=Dienste!$A$22,Dienste!$C$22,IF(AA11=Dienste!$A$23,Dienste!$C$23,IF(AA11=Dienste!$A$24,Dienste!$C$24,IF(AA11=Dienste!$A$25,Dienste!$C$25,IF(AA11=Dienste!$A$26,Dienste!$C$26,IF(AA11=Dienste!$A$27,Dienste!$C$27,IF(AA11=Dienste!$A$28,Dienste!$C$28,IF(AA11=Dienste!#REF!,Dienste!#REF!,IF(AA11=Dienste!#REF!,Dienste!#REF!,IF(AA11=Dienste!#REF!,Dienste!#REF!,IF(AA11=Dienste!#REF!,Dienste!#REF!,IF(AA11=Dienste!$A$33,Dienste!$C$33,IF(AA11=Dienste!$A$34,Dienste!$C$34,IF(AA11=Dienste!$A$35,Dienste!$C$35,IF(AA11=Dienste!$A$36,Dienste!$C$36,)))))))))))))))))))))))))))))))))))</f>
        <v>8</v>
      </c>
      <c r="BV11" s="27">
        <f>IF(AB11=Dienste!$A$2,Dienste!$C$2,IF(AB11=Dienste!$A$3,Dienste!$C$3,IF(AB11=Dienste!$A$4,Dienste!$C$4,IF(AB11=Dienste!$A$5,Dienste!$C$5,IF(AB11=Dienste!$A$6,Dienste!$C$6,IF(AB11=Dienste!$A$7,Dienste!$C$7,IF(AB11=Dienste!$A$8,Dienste!$C$8,IF(AB11=Dienste!$A$9,Dienste!$C$9,IF(AB11=Dienste!$A$10,Dienste!$C$10,IF(AB11=Dienste!$A$11,Dienste!$C$11,IF(AB11=Dienste!$A$12,Dienste!$C$12,IF(AB11=Dienste!$A$13,Dienste!$C$13,IF(AB11=Dienste!$A$14,Dienste!$C$14,IF(AB11=Dienste!$A$15,Dienste!$C$15,IF(AB11=Dienste!$A$16,Dienste!$C$16,IF(AB11=Dienste!$A$17,Dienste!$C$17,IF(AB11=Dienste!$A$18,Dienste!$C$18,IF(AB11=Dienste!$A$19,Dienste!$C$19,IF(AB11=Dienste!$A$20,Dienste!$C$20,IF(AB11=Dienste!$A$21,Dienste!$C$21,IF(AB11=Dienste!$A$22,Dienste!$C$22,IF(AB11=Dienste!$A$23,Dienste!$C$23,IF(AB11=Dienste!$A$24,Dienste!$C$24,IF(AB11=Dienste!$A$25,Dienste!$C$25,IF(AB11=Dienste!$A$26,Dienste!$C$26,IF(AB11=Dienste!$A$27,Dienste!$C$27,IF(AB11=Dienste!$A$28,Dienste!$C$28,IF(AB11=Dienste!#REF!,Dienste!#REF!,IF(AB11=Dienste!#REF!,Dienste!#REF!,IF(AB11=Dienste!#REF!,Dienste!#REF!,IF(AB11=Dienste!#REF!,Dienste!#REF!,IF(AB11=Dienste!$A$33,Dienste!$C$33,IF(AB11=Dienste!$A$34,Dienste!$C$34,IF(AB11=Dienste!$A$35,Dienste!$C$35,IF(AB11=Dienste!$A$36,Dienste!$C$36,)))))))))))))))))))))))))))))))))))</f>
        <v>8</v>
      </c>
      <c r="BW11" s="27">
        <f>IF(AC11=Dienste!$A$2,Dienste!$C$2,IF(AC11=Dienste!$A$3,Dienste!$C$3,IF(AC11=Dienste!$A$4,Dienste!$C$4,IF(AC11=Dienste!$A$5,Dienste!$C$5,IF(AC11=Dienste!$A$6,Dienste!$C$6,IF(AC11=Dienste!$A$7,Dienste!$C$7,IF(AC11=Dienste!$A$8,Dienste!$C$8,IF(AC11=Dienste!$A$9,Dienste!$C$9,IF(AC11=Dienste!$A$10,Dienste!$C$10,IF(AC11=Dienste!$A$11,Dienste!$C$11,IF(AC11=Dienste!$A$12,Dienste!$C$12,IF(AC11=Dienste!$A$13,Dienste!$C$13,IF(AC11=Dienste!$A$14,Dienste!$C$14,IF(AC11=Dienste!$A$15,Dienste!$C$15,IF(AC11=Dienste!$A$16,Dienste!$C$16,IF(AC11=Dienste!$A$17,Dienste!$C$17,IF(AC11=Dienste!$A$18,Dienste!$C$18,IF(AC11=Dienste!$A$19,Dienste!$C$19,IF(AC11=Dienste!$A$20,Dienste!$C$20,IF(AC11=Dienste!$A$21,Dienste!$C$21,IF(AC11=Dienste!$A$22,Dienste!$C$22,IF(AC11=Dienste!$A$23,Dienste!$C$23,IF(AC11=Dienste!$A$24,Dienste!$C$24,IF(AC11=Dienste!$A$25,Dienste!$C$25,IF(AC11=Dienste!$A$26,Dienste!$C$26,IF(AC11=Dienste!$A$27,Dienste!$C$27,IF(AC11=Dienste!$A$28,Dienste!$C$28,IF(AC11=Dienste!#REF!,Dienste!#REF!,IF(AC11=Dienste!#REF!,Dienste!#REF!,IF(AC11=Dienste!#REF!,Dienste!#REF!,IF(AC11=Dienste!#REF!,Dienste!#REF!,IF(AC11=Dienste!$A$33,Dienste!$C$33,IF(AC11=Dienste!$A$34,Dienste!$C$34,IF(AC11=Dienste!$A$35,Dienste!$C$35,IF(AC11=Dienste!$A$36,Dienste!$C$36,)))))))))))))))))))))))))))))))))))</f>
        <v>8</v>
      </c>
      <c r="BX11" s="27">
        <f>IF(AD11=Dienste!$A$2,Dienste!$C$2,IF(AD11=Dienste!$A$3,Dienste!$C$3,IF(AD11=Dienste!$A$4,Dienste!$C$4,IF(AD11=Dienste!$A$5,Dienste!$C$5,IF(AD11=Dienste!$A$6,Dienste!$C$6,IF(AD11=Dienste!$A$7,Dienste!$C$7,IF(AD11=Dienste!$A$8,Dienste!$C$8,IF(AD11=Dienste!$A$9,Dienste!$C$9,IF(AD11=Dienste!$A$10,Dienste!$C$10,IF(AD11=Dienste!$A$11,Dienste!$C$11,IF(AD11=Dienste!$A$12,Dienste!$C$12,IF(AD11=Dienste!$A$13,Dienste!$C$13,IF(AD11=Dienste!$A$14,Dienste!$C$14,IF(AD11=Dienste!$A$15,Dienste!$C$15,IF(AD11=Dienste!$A$16,Dienste!$C$16,IF(AD11=Dienste!$A$17,Dienste!$C$17,IF(AD11=Dienste!$A$18,Dienste!$C$18,IF(AD11=Dienste!$A$19,Dienste!$C$19,IF(AD11=Dienste!$A$20,Dienste!$C$20,IF(AD11=Dienste!$A$21,Dienste!$C$21,IF(AD11=Dienste!$A$22,Dienste!$C$22,IF(AD11=Dienste!$A$23,Dienste!$C$23,IF(AD11=Dienste!$A$24,Dienste!$C$24,IF(AD11=Dienste!$A$25,Dienste!$C$25,IF(AD11=Dienste!$A$26,Dienste!$C$26,IF(AD11=Dienste!$A$27,Dienste!$C$27,IF(AD11=Dienste!$A$28,Dienste!$C$28,IF(AD11=Dienste!#REF!,Dienste!#REF!,IF(AD11=Dienste!#REF!,Dienste!#REF!,IF(AD11=Dienste!#REF!,Dienste!#REF!,IF(AD11=Dienste!#REF!,Dienste!#REF!,IF(AD11=Dienste!$A$33,Dienste!$C$33,IF(AD11=Dienste!$A$34,Dienste!$C$34,IF(AD11=Dienste!$A$35,Dienste!$C$35,IF(AD11=Dienste!$A$36,Dienste!$C$36,)))))))))))))))))))))))))))))))))))</f>
        <v>8</v>
      </c>
      <c r="BY11" s="27">
        <f>IF(AE11=Dienste!$A$2,Dienste!$C$2,IF(AE11=Dienste!$A$3,Dienste!$C$3,IF(AE11=Dienste!$A$4,Dienste!$C$4,IF(AE11=Dienste!$A$5,Dienste!$C$5,IF(AE11=Dienste!$A$6,Dienste!$C$6,IF(AE11=Dienste!$A$7,Dienste!$C$7,IF(AE11=Dienste!$A$8,Dienste!$C$8,IF(AE11=Dienste!$A$9,Dienste!$C$9,IF(AE11=Dienste!$A$10,Dienste!$C$10,IF(AE11=Dienste!$A$11,Dienste!$C$11,IF(AE11=Dienste!$A$12,Dienste!$C$12,IF(AE11=Dienste!$A$13,Dienste!$C$13,IF(AE11=Dienste!$A$14,Dienste!$C$14,IF(AE11=Dienste!$A$15,Dienste!$C$15,IF(AE11=Dienste!$A$16,Dienste!$C$16,IF(AE11=Dienste!$A$17,Dienste!$C$17,IF(AE11=Dienste!$A$18,Dienste!$C$18,IF(AE11=Dienste!$A$19,Dienste!$C$19,IF(AE11=Dienste!$A$20,Dienste!$C$20,IF(AE11=Dienste!$A$21,Dienste!$C$21,IF(AE11=Dienste!$A$22,Dienste!$C$22,IF(AE11=Dienste!$A$23,Dienste!$C$23,IF(AE11=Dienste!$A$24,Dienste!$C$24,IF(AE11=Dienste!$A$25,Dienste!$C$25,IF(AE11=Dienste!$A$26,Dienste!$C$26,IF(AE11=Dienste!$A$27,Dienste!$C$27,IF(AE11=Dienste!$A$28,Dienste!$C$28,IF(AE11=Dienste!#REF!,Dienste!#REF!,IF(AE11=Dienste!#REF!,Dienste!#REF!,IF(AE11=Dienste!#REF!,Dienste!#REF!,IF(AE11=Dienste!#REF!,Dienste!#REF!,IF(AE11=Dienste!$A$33,Dienste!$C$33,IF(AE11=Dienste!$A$34,Dienste!$C$34,IF(AE11=Dienste!$A$35,Dienste!$C$35,IF(AE11=Dienste!$A$36,Dienste!$C$36,)))))))))))))))))))))))))))))))))))</f>
        <v>8</v>
      </c>
      <c r="BZ11" s="27">
        <f>IF(AF11=Dienste!$A$2,Dienste!$C$2,IF(AF11=Dienste!$A$3,Dienste!$C$3,IF(AF11=Dienste!$A$4,Dienste!$C$4,IF(AF11=Dienste!$A$5,Dienste!$C$5,IF(AF11=Dienste!$A$6,Dienste!$C$6,IF(AF11=Dienste!$A$7,Dienste!$C$7,IF(AF11=Dienste!$A$8,Dienste!$C$8,IF(AF11=Dienste!$A$9,Dienste!$C$9,IF(AF11=Dienste!$A$10,Dienste!$C$10,IF(AF11=Dienste!$A$11,Dienste!$C$11,IF(AF11=Dienste!$A$12,Dienste!$C$12,IF(AF11=Dienste!$A$13,Dienste!$C$13,IF(AF11=Dienste!$A$14,Dienste!$C$14,IF(AF11=Dienste!$A$15,Dienste!$C$15,IF(AF11=Dienste!$A$16,Dienste!$C$16,IF(AF11=Dienste!$A$17,Dienste!$C$17,IF(AF11=Dienste!$A$18,Dienste!$C$18,IF(AF11=Dienste!$A$19,Dienste!$C$19,IF(AF11=Dienste!$A$20,Dienste!$C$20,IF(AF11=Dienste!$A$21,Dienste!$C$21,IF(AF11=Dienste!$A$22,Dienste!$C$22,IF(AF11=Dienste!$A$23,Dienste!$C$23,IF(AF11=Dienste!$A$24,Dienste!$C$24,IF(AF11=Dienste!$A$25,Dienste!$C$25,IF(AF11=Dienste!$A$26,Dienste!$C$26,IF(AF11=Dienste!$A$27,Dienste!$C$27,IF(AF11=Dienste!$A$28,Dienste!$C$28,IF(AF11=Dienste!#REF!,Dienste!#REF!,IF(AF11=Dienste!#REF!,Dienste!#REF!,IF(AF11=Dienste!#REF!,Dienste!#REF!,IF(AF11=Dienste!#REF!,Dienste!#REF!,IF(AF11=Dienste!$A$33,Dienste!$C$33,IF(AF11=Dienste!$A$34,Dienste!$C$34,IF(AF11=Dienste!$A$35,Dienste!$C$35,IF(AF11=Dienste!$A$36,Dienste!$C$36,)))))))))))))))))))))))))))))))))))</f>
        <v>0</v>
      </c>
      <c r="CA11" s="27">
        <f>IF(AG11=Dienste!$A$2,Dienste!$C$2,IF(AG11=Dienste!$A$3,Dienste!$C$3,IF(AG11=Dienste!$A$4,Dienste!$C$4,IF(AG11=Dienste!$A$5,Dienste!$C$5,IF(AG11=Dienste!$A$6,Dienste!$C$6,IF(AG11=Dienste!$A$7,Dienste!$C$7,IF(AG11=Dienste!$A$8,Dienste!$C$8,IF(AG11=Dienste!$A$9,Dienste!$C$9,IF(AG11=Dienste!$A$10,Dienste!$C$10,IF(AG11=Dienste!$A$11,Dienste!$C$11,IF(AG11=Dienste!$A$12,Dienste!$C$12,IF(AG11=Dienste!$A$13,Dienste!$C$13,IF(AG11=Dienste!$A$14,Dienste!$C$14,IF(AG11=Dienste!$A$15,Dienste!$C$15,IF(AG11=Dienste!$A$16,Dienste!$C$16,IF(AG11=Dienste!$A$17,Dienste!$C$17,IF(AG11=Dienste!$A$18,Dienste!$C$18,IF(AG11=Dienste!$A$19,Dienste!$C$19,IF(AG11=Dienste!$A$20,Dienste!$C$20,IF(AG11=Dienste!$A$21,Dienste!$C$21,IF(AG11=Dienste!$A$22,Dienste!$C$22,IF(AG11=Dienste!$A$23,Dienste!$C$23,IF(AG11=Dienste!$A$24,Dienste!$C$24,IF(AG11=Dienste!$A$25,Dienste!$C$25,IF(AG11=Dienste!$A$26,Dienste!$C$26,IF(AG11=Dienste!$A$27,Dienste!$C$27,IF(AG11=Dienste!$A$28,Dienste!$C$28,IF(AG11=Dienste!#REF!,Dienste!#REF!,IF(AG11=Dienste!#REF!,Dienste!#REF!,IF(AG11=Dienste!#REF!,Dienste!#REF!,IF(AG11=Dienste!#REF!,Dienste!#REF!,IF(AG11=Dienste!$A$33,Dienste!$C$33,IF(AG11=Dienste!$A$34,Dienste!$C$34,IF(AG11=Dienste!$A$35,Dienste!$C$35,IF(AG11=Dienste!$A$36,Dienste!$C$36,)))))))))))))))))))))))))))))))))))</f>
        <v>0</v>
      </c>
      <c r="CB11" s="27">
        <f>IF(AH11=Dienste!$A$2,Dienste!$C$2,IF(AH11=Dienste!$A$3,Dienste!$C$3,IF(AH11=Dienste!$A$4,Dienste!$C$4,IF(AH11=Dienste!$A$5,Dienste!$C$5,IF(AH11=Dienste!$A$6,Dienste!$C$6,IF(AH11=Dienste!$A$7,Dienste!$C$7,IF(AH11=Dienste!$A$8,Dienste!$C$8,IF(AH11=Dienste!$A$9,Dienste!$C$9,IF(AH11=Dienste!$A$10,Dienste!$C$10,IF(AH11=Dienste!$A$11,Dienste!$C$11,IF(AH11=Dienste!$A$12,Dienste!$C$12,IF(AH11=Dienste!$A$13,Dienste!$C$13,IF(AH11=Dienste!$A$14,Dienste!$C$14,IF(AH11=Dienste!$A$15,Dienste!$C$15,IF(AH11=Dienste!$A$16,Dienste!$C$16,IF(AH11=Dienste!$A$17,Dienste!$C$17,IF(AH11=Dienste!$A$18,Dienste!$C$18,IF(AH11=Dienste!$A$19,Dienste!$C$19,IF(AH11=Dienste!$A$20,Dienste!$C$20,IF(AH11=Dienste!$A$21,Dienste!$C$21,IF(AH11=Dienste!$A$22,Dienste!$C$22,IF(AH11=Dienste!$A$23,Dienste!$C$23,IF(AH11=Dienste!$A$24,Dienste!$C$24,IF(AH11=Dienste!$A$25,Dienste!$C$25,IF(AH11=Dienste!$A$26,Dienste!$C$26,IF(AH11=Dienste!$A$27,Dienste!$C$27,IF(AH11=Dienste!$A$28,Dienste!$C$28,IF(AH11=Dienste!#REF!,Dienste!#REF!,IF(AH11=Dienste!#REF!,Dienste!#REF!,IF(AH11=Dienste!#REF!,Dienste!#REF!,IF(AH11=Dienste!#REF!,Dienste!#REF!,IF(AH11=Dienste!$A$33,Dienste!$C$33,IF(AH11=Dienste!$A$34,Dienste!$C$34,IF(AH11=Dienste!$A$35,Dienste!$C$35,IF(AH11=Dienste!$A$36,Dienste!$C$36,)))))))))))))))))))))))))))))))))))</f>
        <v>9</v>
      </c>
      <c r="CC11" s="27" t="e">
        <f>IF(AI11=Dienste!$A$2,Dienste!$C$2,IF(AI11=Dienste!$A$3,Dienste!$C$3,IF(AI11=Dienste!$A$4,Dienste!$C$4,IF(AI11=Dienste!$A$5,Dienste!$C$5,IF(AI11=Dienste!$A$6,Dienste!$C$6,IF(AI11=Dienste!$A$7,Dienste!$C$7,IF(AI11=Dienste!$A$8,Dienste!$C$8,IF(AI11=Dienste!$A$9,Dienste!$C$9,IF(AI11=Dienste!$A$10,Dienste!$C$10,IF(AI11=Dienste!$A$11,Dienste!$C$11,IF(AI11=Dienste!$A$12,Dienste!$C$12,IF(AI11=Dienste!$A$13,Dienste!$C$13,IF(AI11=Dienste!$A$14,Dienste!$C$14,IF(AI11=Dienste!$A$15,Dienste!$C$15,IF(AI11=Dienste!$A$16,Dienste!$C$16,IF(AI11=Dienste!$A$17,Dienste!$C$17,IF(AI11=Dienste!$A$18,Dienste!$C$18,IF(AI11=Dienste!$A$19,Dienste!$C$19,IF(AI11=Dienste!$A$20,Dienste!$C$20,IF(AI11=Dienste!$A$21,Dienste!$C$21,IF(AI11=Dienste!$A$22,Dienste!$C$22,IF(AI11=Dienste!$A$23,Dienste!$C$23,IF(AI11=Dienste!$A$24,Dienste!$C$24,IF(AI11=Dienste!$A$25,Dienste!$C$25,IF(AI11=Dienste!$A$26,Dienste!$C$26,IF(AI11=Dienste!$A$27,Dienste!$C$27,IF(AI11=Dienste!$A$28,Dienste!$C$28,IF(AI11=Dienste!#REF!,Dienste!#REF!,IF(AI11=Dienste!#REF!,Dienste!#REF!,IF(AI11=Dienste!#REF!,Dienste!#REF!,IF(AI11=Dienste!#REF!,Dienste!#REF!,IF(AI11=Dienste!$A$33,Dienste!$C$33,IF(AI11=Dienste!$A$34,Dienste!$C$34,IF(AI11=Dienste!$A$35,Dienste!$C$35,IF(AI11=Dienste!$A$36,Dienste!$C$36,)))))))))))))))))))))))))))))))))))</f>
        <v>#REF!</v>
      </c>
    </row>
    <row r="12" spans="1:81" x14ac:dyDescent="0.25">
      <c r="A12" s="109" t="s">
        <v>130</v>
      </c>
      <c r="B12" s="15" t="s">
        <v>231</v>
      </c>
      <c r="C12" s="15">
        <v>32</v>
      </c>
      <c r="D12" s="98">
        <v>0</v>
      </c>
      <c r="E12" s="104" t="s">
        <v>83</v>
      </c>
      <c r="F12" s="9" t="s">
        <v>31</v>
      </c>
      <c r="G12" s="9" t="s">
        <v>5</v>
      </c>
      <c r="H12" s="9" t="s">
        <v>17</v>
      </c>
      <c r="I12" s="9" t="s">
        <v>65</v>
      </c>
      <c r="J12" s="9" t="s">
        <v>31</v>
      </c>
      <c r="K12" s="9" t="s">
        <v>83</v>
      </c>
      <c r="L12" s="9" t="s">
        <v>83</v>
      </c>
      <c r="M12" s="9" t="s">
        <v>31</v>
      </c>
      <c r="N12" s="9" t="s">
        <v>5</v>
      </c>
      <c r="O12" s="9" t="s">
        <v>17</v>
      </c>
      <c r="P12" s="9" t="s">
        <v>65</v>
      </c>
      <c r="Q12" s="9" t="s">
        <v>31</v>
      </c>
      <c r="R12" s="9" t="s">
        <v>83</v>
      </c>
      <c r="S12" s="9" t="s">
        <v>38</v>
      </c>
      <c r="T12" s="9" t="s">
        <v>31</v>
      </c>
      <c r="U12" s="9" t="s">
        <v>5</v>
      </c>
      <c r="V12" s="9" t="s">
        <v>83</v>
      </c>
      <c r="W12" s="9" t="s">
        <v>63</v>
      </c>
      <c r="X12" s="9" t="s">
        <v>63</v>
      </c>
      <c r="Y12" s="9" t="s">
        <v>83</v>
      </c>
      <c r="Z12" s="9" t="s">
        <v>83</v>
      </c>
      <c r="AA12" s="9" t="s">
        <v>31</v>
      </c>
      <c r="AB12" s="9" t="s">
        <v>5</v>
      </c>
      <c r="AC12" s="9" t="s">
        <v>17</v>
      </c>
      <c r="AD12" s="9" t="s">
        <v>65</v>
      </c>
      <c r="AE12" s="9" t="s">
        <v>69</v>
      </c>
      <c r="AF12" s="9" t="s">
        <v>69</v>
      </c>
      <c r="AG12" s="9" t="s">
        <v>69</v>
      </c>
      <c r="AH12" s="9" t="s">
        <v>31</v>
      </c>
      <c r="AI12" s="15"/>
      <c r="AJ12" s="109">
        <v>23.05</v>
      </c>
      <c r="AK12" s="15">
        <v>134.4</v>
      </c>
      <c r="AL12" s="109">
        <v>144</v>
      </c>
      <c r="AM12" s="15">
        <v>32.650000000000006</v>
      </c>
      <c r="AN12" s="170">
        <v>9.6000000000000014</v>
      </c>
      <c r="AO12" s="109">
        <v>11.25</v>
      </c>
      <c r="AP12" s="15">
        <v>3</v>
      </c>
      <c r="AQ12" s="98">
        <v>4</v>
      </c>
      <c r="AR12" s="109">
        <v>38.4</v>
      </c>
      <c r="AS12" s="15">
        <v>33.692307692307693</v>
      </c>
      <c r="AT12" s="98">
        <v>26</v>
      </c>
      <c r="AU12" s="96" t="e">
        <f t="shared" si="2"/>
        <v>#REF!</v>
      </c>
      <c r="AV12" s="27" t="e">
        <f t="shared" si="0"/>
        <v>#REF!</v>
      </c>
      <c r="AW12" s="58" t="e">
        <f t="shared" si="1"/>
        <v>#REF!</v>
      </c>
      <c r="AY12" s="27">
        <f>IF(E12=Dienste!$A$2,Dienste!$C$2,IF(E12=Dienste!$A$3,Dienste!$C$3,IF(E12=Dienste!$A$4,Dienste!$C$4,IF(E12=Dienste!$A$5,Dienste!$C$5,IF(E12=Dienste!$A$6,Dienste!$C$6,IF(E12=Dienste!$A$7,Dienste!$C$7,IF(E12=Dienste!$A$8,Dienste!$C$8,IF(E12=Dienste!$A$9,Dienste!$C$9,IF(E12=Dienste!$A$10,Dienste!$C$10,IF(E12=Dienste!$A$11,Dienste!$C$11,IF(E12=Dienste!$A$12,Dienste!$C$12,IF(E12=Dienste!$A$13,Dienste!$C$13,IF(E12=Dienste!$A$14,Dienste!$C$14,IF(E12=Dienste!$A$15,Dienste!$C$15,IF(E12=Dienste!$A$16,Dienste!$C$16,IF(E12=Dienste!$A$17,Dienste!$C$17,IF(E12=Dienste!$A$18,Dienste!$C$18,IF(E12=Dienste!$A$19,Dienste!$C$19,IF(E12=Dienste!$A$20,Dienste!$C$20,IF(E12=Dienste!$A$21,Dienste!$C$21,IF(E12=Dienste!$A$22,Dienste!$C$22,IF(E12=Dienste!$A$23,Dienste!$C$23,IF(E12=Dienste!$A$24,Dienste!$C$24,IF(E12=Dienste!$A$25,Dienste!$C$25,IF(E12=Dienste!$A$26,Dienste!$C$26,IF(E12=Dienste!$A$27,Dienste!$C$27,IF(E12=Dienste!$A$28,Dienste!$C$28,IF(E12=Dienste!#REF!,Dienste!#REF!,IF(E12=Dienste!#REF!,Dienste!#REF!,IF(E12=Dienste!#REF!,Dienste!#REF!,IF(E12=Dienste!#REF!,Dienste!#REF!,IF(E12=Dienste!$A$33,Dienste!$C$33,IF(E12=Dienste!$A$34,Dienste!$C$34,IF(E12=Dienste!$A$35,Dienste!$C$35,IF(E12=Dienste!$A$36,Dienste!$C$36,)))))))))))))))))))))))))))))))))))</f>
        <v>0</v>
      </c>
      <c r="AZ12" s="27">
        <f>IF(F12=Dienste!$A$2,Dienste!$C$2,IF(F12=Dienste!$A$3,Dienste!$C$3,IF(F12=Dienste!$A$4,Dienste!$C$4,IF(F12=Dienste!$A$5,Dienste!$C$5,IF(F12=Dienste!$A$6,Dienste!$C$6,IF(F12=Dienste!$A$7,Dienste!$C$7,IF(F12=Dienste!$A$8,Dienste!$C$8,IF(F12=Dienste!$A$9,Dienste!$C$9,IF(F12=Dienste!$A$10,Dienste!$C$10,IF(F12=Dienste!$A$11,Dienste!$C$11,IF(F12=Dienste!$A$12,Dienste!$C$12,IF(F12=Dienste!$A$13,Dienste!$C$13,IF(F12=Dienste!$A$14,Dienste!$C$14,IF(F12=Dienste!$A$15,Dienste!$C$15,IF(F12=Dienste!$A$16,Dienste!$C$16,IF(F12=Dienste!$A$17,Dienste!$C$17,IF(F12=Dienste!$A$18,Dienste!$C$18,IF(F12=Dienste!$A$19,Dienste!$C$19,IF(F12=Dienste!$A$20,Dienste!$C$20,IF(F12=Dienste!$A$21,Dienste!$C$21,IF(F12=Dienste!$A$22,Dienste!$C$22,IF(F12=Dienste!$A$23,Dienste!$C$23,IF(F12=Dienste!$A$24,Dienste!$C$24,IF(F12=Dienste!$A$25,Dienste!$C$25,IF(F12=Dienste!$A$26,Dienste!$C$26,IF(F12=Dienste!$A$27,Dienste!$C$27,IF(F12=Dienste!$A$28,Dienste!$C$28,IF(F12=Dienste!#REF!,Dienste!#REF!,IF(F12=Dienste!#REF!,Dienste!#REF!,IF(F12=Dienste!#REF!,Dienste!#REF!,IF(F12=Dienste!#REF!,Dienste!#REF!,IF(F12=Dienste!$A$33,Dienste!$C$33,IF(F12=Dienste!$A$34,Dienste!$C$34,IF(F12=Dienste!$A$35,Dienste!$C$35,IF(F12=Dienste!$A$36,Dienste!$C$36,)))))))))))))))))))))))))))))))))))</f>
        <v>8</v>
      </c>
      <c r="BA12" s="27">
        <f>IF(G12=Dienste!$A$2,Dienste!$C$2,IF(G12=Dienste!$A$3,Dienste!$C$3,IF(G12=Dienste!$A$4,Dienste!$C$4,IF(G12=Dienste!$A$5,Dienste!$C$5,IF(G12=Dienste!$A$6,Dienste!$C$6,IF(G12=Dienste!$A$7,Dienste!$C$7,IF(G12=Dienste!$A$8,Dienste!$C$8,IF(G12=Dienste!$A$9,Dienste!$C$9,IF(G12=Dienste!$A$10,Dienste!$C$10,IF(G12=Dienste!$A$11,Dienste!$C$11,IF(G12=Dienste!$A$12,Dienste!$C$12,IF(G12=Dienste!$A$13,Dienste!$C$13,IF(G12=Dienste!$A$14,Dienste!$C$14,IF(G12=Dienste!$A$15,Dienste!$C$15,IF(G12=Dienste!$A$16,Dienste!$C$16,IF(G12=Dienste!$A$17,Dienste!$C$17,IF(G12=Dienste!$A$18,Dienste!$C$18,IF(G12=Dienste!$A$19,Dienste!$C$19,IF(G12=Dienste!$A$20,Dienste!$C$20,IF(G12=Dienste!$A$21,Dienste!$C$21,IF(G12=Dienste!$A$22,Dienste!$C$22,IF(G12=Dienste!$A$23,Dienste!$C$23,IF(G12=Dienste!$A$24,Dienste!$C$24,IF(G12=Dienste!$A$25,Dienste!$C$25,IF(G12=Dienste!$A$26,Dienste!$C$26,IF(G12=Dienste!$A$27,Dienste!$C$27,IF(G12=Dienste!$A$28,Dienste!$C$28,IF(G12=Dienste!#REF!,Dienste!#REF!,IF(G12=Dienste!#REF!,Dienste!#REF!,IF(G12=Dienste!#REF!,Dienste!#REF!,IF(G12=Dienste!#REF!,Dienste!#REF!,IF(G12=Dienste!$A$33,Dienste!$C$33,IF(G12=Dienste!$A$34,Dienste!$C$34,IF(G12=Dienste!$A$35,Dienste!$C$35,IF(G12=Dienste!$A$36,Dienste!$C$36,)))))))))))))))))))))))))))))))))))</f>
        <v>0</v>
      </c>
      <c r="BB12" s="27">
        <f>IF(H12=Dienste!$A$2,Dienste!$C$2,IF(H12=Dienste!$A$3,Dienste!$C$3,IF(H12=Dienste!$A$4,Dienste!$C$4,IF(H12=Dienste!$A$5,Dienste!$C$5,IF(H12=Dienste!$A$6,Dienste!$C$6,IF(H12=Dienste!$A$7,Dienste!$C$7,IF(H12=Dienste!$A$8,Dienste!$C$8,IF(H12=Dienste!$A$9,Dienste!$C$9,IF(H12=Dienste!$A$10,Dienste!$C$10,IF(H12=Dienste!$A$11,Dienste!$C$11,IF(H12=Dienste!$A$12,Dienste!$C$12,IF(H12=Dienste!$A$13,Dienste!$C$13,IF(H12=Dienste!$A$14,Dienste!$C$14,IF(H12=Dienste!$A$15,Dienste!$C$15,IF(H12=Dienste!$A$16,Dienste!$C$16,IF(H12=Dienste!$A$17,Dienste!$C$17,IF(H12=Dienste!$A$18,Dienste!$C$18,IF(H12=Dienste!$A$19,Dienste!$C$19,IF(H12=Dienste!$A$20,Dienste!$C$20,IF(H12=Dienste!$A$21,Dienste!$C$21,IF(H12=Dienste!$A$22,Dienste!$C$22,IF(H12=Dienste!$A$23,Dienste!$C$23,IF(H12=Dienste!$A$24,Dienste!$C$24,IF(H12=Dienste!$A$25,Dienste!$C$25,IF(H12=Dienste!$A$26,Dienste!$C$26,IF(H12=Dienste!$A$27,Dienste!$C$27,IF(H12=Dienste!$A$28,Dienste!$C$28,IF(H12=Dienste!#REF!,Dienste!#REF!,IF(H12=Dienste!#REF!,Dienste!#REF!,IF(H12=Dienste!#REF!,Dienste!#REF!,IF(H12=Dienste!#REF!,Dienste!#REF!,IF(H12=Dienste!$A$33,Dienste!$C$33,IF(H12=Dienste!$A$34,Dienste!$C$34,IF(H12=Dienste!$A$35,Dienste!$C$35,IF(H12=Dienste!$A$36,Dienste!$C$36,)))))))))))))))))))))))))))))))))))</f>
        <v>8</v>
      </c>
      <c r="BC12" s="27">
        <f>IF(I12=Dienste!$A$2,Dienste!$C$2,IF(I12=Dienste!$A$3,Dienste!$C$3,IF(I12=Dienste!$A$4,Dienste!$C$4,IF(I12=Dienste!$A$5,Dienste!$C$5,IF(I12=Dienste!$A$6,Dienste!$C$6,IF(I12=Dienste!$A$7,Dienste!$C$7,IF(I12=Dienste!$A$8,Dienste!$C$8,IF(I12=Dienste!$A$9,Dienste!$C$9,IF(I12=Dienste!$A$10,Dienste!$C$10,IF(I12=Dienste!$A$11,Dienste!$C$11,IF(I12=Dienste!$A$12,Dienste!$C$12,IF(I12=Dienste!$A$13,Dienste!$C$13,IF(I12=Dienste!$A$14,Dienste!$C$14,IF(I12=Dienste!$A$15,Dienste!$C$15,IF(I12=Dienste!$A$16,Dienste!$C$16,IF(I12=Dienste!$A$17,Dienste!$C$17,IF(I12=Dienste!$A$18,Dienste!$C$18,IF(I12=Dienste!$A$19,Dienste!$C$19,IF(I12=Dienste!$A$20,Dienste!$C$20,IF(I12=Dienste!$A$21,Dienste!$C$21,IF(I12=Dienste!$A$22,Dienste!$C$22,IF(I12=Dienste!$A$23,Dienste!$C$23,IF(I12=Dienste!$A$24,Dienste!$C$24,IF(I12=Dienste!$A$25,Dienste!$C$25,IF(I12=Dienste!$A$26,Dienste!$C$26,IF(I12=Dienste!$A$27,Dienste!$C$27,IF(I12=Dienste!$A$28,Dienste!$C$28,IF(I12=Dienste!#REF!,Dienste!#REF!,IF(I12=Dienste!#REF!,Dienste!#REF!,IF(I12=Dienste!#REF!,Dienste!#REF!,IF(I12=Dienste!#REF!,Dienste!#REF!,IF(I12=Dienste!$A$33,Dienste!$C$33,IF(I12=Dienste!$A$34,Dienste!$C$34,IF(I12=Dienste!$A$35,Dienste!$C$35,IF(I12=Dienste!$A$36,Dienste!$C$36,)))))))))))))))))))))))))))))))))))</f>
        <v>8</v>
      </c>
      <c r="BD12" s="27">
        <f>IF(J12=Dienste!$A$2,Dienste!$C$2,IF(J12=Dienste!$A$3,Dienste!$C$3,IF(J12=Dienste!$A$4,Dienste!$C$4,IF(J12=Dienste!$A$5,Dienste!$C$5,IF(J12=Dienste!$A$6,Dienste!$C$6,IF(J12=Dienste!$A$7,Dienste!$C$7,IF(J12=Dienste!$A$8,Dienste!$C$8,IF(J12=Dienste!$A$9,Dienste!$C$9,IF(J12=Dienste!$A$10,Dienste!$C$10,IF(J12=Dienste!$A$11,Dienste!$C$11,IF(J12=Dienste!$A$12,Dienste!$C$12,IF(J12=Dienste!$A$13,Dienste!$C$13,IF(J12=Dienste!$A$14,Dienste!$C$14,IF(J12=Dienste!$A$15,Dienste!$C$15,IF(J12=Dienste!$A$16,Dienste!$C$16,IF(J12=Dienste!$A$17,Dienste!$C$17,IF(J12=Dienste!$A$18,Dienste!$C$18,IF(J12=Dienste!$A$19,Dienste!$C$19,IF(J12=Dienste!$A$20,Dienste!$C$20,IF(J12=Dienste!$A$21,Dienste!$C$21,IF(J12=Dienste!$A$22,Dienste!$C$22,IF(J12=Dienste!$A$23,Dienste!$C$23,IF(J12=Dienste!$A$24,Dienste!$C$24,IF(J12=Dienste!$A$25,Dienste!$C$25,IF(J12=Dienste!$A$26,Dienste!$C$26,IF(J12=Dienste!$A$27,Dienste!$C$27,IF(J12=Dienste!$A$28,Dienste!$C$28,IF(J12=Dienste!#REF!,Dienste!#REF!,IF(J12=Dienste!#REF!,Dienste!#REF!,IF(J12=Dienste!#REF!,Dienste!#REF!,IF(J12=Dienste!#REF!,Dienste!#REF!,IF(J12=Dienste!$A$33,Dienste!$C$33,IF(J12=Dienste!$A$34,Dienste!$C$34,IF(J12=Dienste!$A$35,Dienste!$C$35,IF(J12=Dienste!$A$36,Dienste!$C$36,)))))))))))))))))))))))))))))))))))</f>
        <v>8</v>
      </c>
      <c r="BE12" s="27">
        <f>IF(K12=Dienste!$A$2,Dienste!$C$2,IF(K12=Dienste!$A$3,Dienste!$C$3,IF(K12=Dienste!$A$4,Dienste!$C$4,IF(K12=Dienste!$A$5,Dienste!$C$5,IF(K12=Dienste!$A$6,Dienste!$C$6,IF(K12=Dienste!$A$7,Dienste!$C$7,IF(K12=Dienste!$A$8,Dienste!$C$8,IF(K12=Dienste!$A$9,Dienste!$C$9,IF(K12=Dienste!$A$10,Dienste!$C$10,IF(K12=Dienste!$A$11,Dienste!$C$11,IF(K12=Dienste!$A$12,Dienste!$C$12,IF(K12=Dienste!$A$13,Dienste!$C$13,IF(K12=Dienste!$A$14,Dienste!$C$14,IF(K12=Dienste!$A$15,Dienste!$C$15,IF(K12=Dienste!$A$16,Dienste!$C$16,IF(K12=Dienste!$A$17,Dienste!$C$17,IF(K12=Dienste!$A$18,Dienste!$C$18,IF(K12=Dienste!$A$19,Dienste!$C$19,IF(K12=Dienste!$A$20,Dienste!$C$20,IF(K12=Dienste!$A$21,Dienste!$C$21,IF(K12=Dienste!$A$22,Dienste!$C$22,IF(K12=Dienste!$A$23,Dienste!$C$23,IF(K12=Dienste!$A$24,Dienste!$C$24,IF(K12=Dienste!$A$25,Dienste!$C$25,IF(K12=Dienste!$A$26,Dienste!$C$26,IF(K12=Dienste!$A$27,Dienste!$C$27,IF(K12=Dienste!$A$28,Dienste!$C$28,IF(K12=Dienste!#REF!,Dienste!#REF!,IF(K12=Dienste!#REF!,Dienste!#REF!,IF(K12=Dienste!#REF!,Dienste!#REF!,IF(K12=Dienste!#REF!,Dienste!#REF!,IF(K12=Dienste!$A$33,Dienste!$C$33,IF(K12=Dienste!$A$34,Dienste!$C$34,IF(K12=Dienste!$A$35,Dienste!$C$35,IF(K12=Dienste!$A$36,Dienste!$C$36,)))))))))))))))))))))))))))))))))))</f>
        <v>0</v>
      </c>
      <c r="BF12" s="27">
        <f>IF(L12=Dienste!$A$2,Dienste!$C$2,IF(L12=Dienste!$A$3,Dienste!$C$3,IF(L12=Dienste!$A$4,Dienste!$C$4,IF(L12=Dienste!$A$5,Dienste!$C$5,IF(L12=Dienste!$A$6,Dienste!$C$6,IF(L12=Dienste!$A$7,Dienste!$C$7,IF(L12=Dienste!$A$8,Dienste!$C$8,IF(L12=Dienste!$A$9,Dienste!$C$9,IF(L12=Dienste!$A$10,Dienste!$C$10,IF(L12=Dienste!$A$11,Dienste!$C$11,IF(L12=Dienste!$A$12,Dienste!$C$12,IF(L12=Dienste!$A$13,Dienste!$C$13,IF(L12=Dienste!$A$14,Dienste!$C$14,IF(L12=Dienste!$A$15,Dienste!$C$15,IF(L12=Dienste!$A$16,Dienste!$C$16,IF(L12=Dienste!$A$17,Dienste!$C$17,IF(L12=Dienste!$A$18,Dienste!$C$18,IF(L12=Dienste!$A$19,Dienste!$C$19,IF(L12=Dienste!$A$20,Dienste!$C$20,IF(L12=Dienste!$A$21,Dienste!$C$21,IF(L12=Dienste!$A$22,Dienste!$C$22,IF(L12=Dienste!$A$23,Dienste!$C$23,IF(L12=Dienste!$A$24,Dienste!$C$24,IF(L12=Dienste!$A$25,Dienste!$C$25,IF(L12=Dienste!$A$26,Dienste!$C$26,IF(L12=Dienste!$A$27,Dienste!$C$27,IF(L12=Dienste!$A$28,Dienste!$C$28,IF(L12=Dienste!#REF!,Dienste!#REF!,IF(L12=Dienste!#REF!,Dienste!#REF!,IF(L12=Dienste!#REF!,Dienste!#REF!,IF(L12=Dienste!#REF!,Dienste!#REF!,IF(L12=Dienste!$A$33,Dienste!$C$33,IF(L12=Dienste!$A$34,Dienste!$C$34,IF(L12=Dienste!$A$35,Dienste!$C$35,IF(L12=Dienste!$A$36,Dienste!$C$36,)))))))))))))))))))))))))))))))))))</f>
        <v>0</v>
      </c>
      <c r="BG12" s="27">
        <f>IF(M12=Dienste!$A$2,Dienste!$C$2,IF(M12=Dienste!$A$3,Dienste!$C$3,IF(M12=Dienste!$A$4,Dienste!$C$4,IF(M12=Dienste!$A$5,Dienste!$C$5,IF(M12=Dienste!$A$6,Dienste!$C$6,IF(M12=Dienste!$A$7,Dienste!$C$7,IF(M12=Dienste!$A$8,Dienste!$C$8,IF(M12=Dienste!$A$9,Dienste!$C$9,IF(M12=Dienste!$A$10,Dienste!$C$10,IF(M12=Dienste!$A$11,Dienste!$C$11,IF(M12=Dienste!$A$12,Dienste!$C$12,IF(M12=Dienste!$A$13,Dienste!$C$13,IF(M12=Dienste!$A$14,Dienste!$C$14,IF(M12=Dienste!$A$15,Dienste!$C$15,IF(M12=Dienste!$A$16,Dienste!$C$16,IF(M12=Dienste!$A$17,Dienste!$C$17,IF(M12=Dienste!$A$18,Dienste!$C$18,IF(M12=Dienste!$A$19,Dienste!$C$19,IF(M12=Dienste!$A$20,Dienste!$C$20,IF(M12=Dienste!$A$21,Dienste!$C$21,IF(M12=Dienste!$A$22,Dienste!$C$22,IF(M12=Dienste!$A$23,Dienste!$C$23,IF(M12=Dienste!$A$24,Dienste!$C$24,IF(M12=Dienste!$A$25,Dienste!$C$25,IF(M12=Dienste!$A$26,Dienste!$C$26,IF(M12=Dienste!$A$27,Dienste!$C$27,IF(M12=Dienste!$A$28,Dienste!$C$28,IF(M12=Dienste!#REF!,Dienste!#REF!,IF(M12=Dienste!#REF!,Dienste!#REF!,IF(M12=Dienste!#REF!,Dienste!#REF!,IF(M12=Dienste!#REF!,Dienste!#REF!,IF(M12=Dienste!$A$33,Dienste!$C$33,IF(M12=Dienste!$A$34,Dienste!$C$34,IF(M12=Dienste!$A$35,Dienste!$C$35,IF(M12=Dienste!$A$36,Dienste!$C$36,)))))))))))))))))))))))))))))))))))</f>
        <v>8</v>
      </c>
      <c r="BH12" s="27">
        <f>IF(N12=Dienste!$A$2,Dienste!$C$2,IF(N12=Dienste!$A$3,Dienste!$C$3,IF(N12=Dienste!$A$4,Dienste!$C$4,IF(N12=Dienste!$A$5,Dienste!$C$5,IF(N12=Dienste!$A$6,Dienste!$C$6,IF(N12=Dienste!$A$7,Dienste!$C$7,IF(N12=Dienste!$A$8,Dienste!$C$8,IF(N12=Dienste!$A$9,Dienste!$C$9,IF(N12=Dienste!$A$10,Dienste!$C$10,IF(N12=Dienste!$A$11,Dienste!$C$11,IF(N12=Dienste!$A$12,Dienste!$C$12,IF(N12=Dienste!$A$13,Dienste!$C$13,IF(N12=Dienste!$A$14,Dienste!$C$14,IF(N12=Dienste!$A$15,Dienste!$C$15,IF(N12=Dienste!$A$16,Dienste!$C$16,IF(N12=Dienste!$A$17,Dienste!$C$17,IF(N12=Dienste!$A$18,Dienste!$C$18,IF(N12=Dienste!$A$19,Dienste!$C$19,IF(N12=Dienste!$A$20,Dienste!$C$20,IF(N12=Dienste!$A$21,Dienste!$C$21,IF(N12=Dienste!$A$22,Dienste!$C$22,IF(N12=Dienste!$A$23,Dienste!$C$23,IF(N12=Dienste!$A$24,Dienste!$C$24,IF(N12=Dienste!$A$25,Dienste!$C$25,IF(N12=Dienste!$A$26,Dienste!$C$26,IF(N12=Dienste!$A$27,Dienste!$C$27,IF(N12=Dienste!$A$28,Dienste!$C$28,IF(N12=Dienste!#REF!,Dienste!#REF!,IF(N12=Dienste!#REF!,Dienste!#REF!,IF(N12=Dienste!#REF!,Dienste!#REF!,IF(N12=Dienste!#REF!,Dienste!#REF!,IF(N12=Dienste!$A$33,Dienste!$C$33,IF(N12=Dienste!$A$34,Dienste!$C$34,IF(N12=Dienste!$A$35,Dienste!$C$35,IF(N12=Dienste!$A$36,Dienste!$C$36,)))))))))))))))))))))))))))))))))))</f>
        <v>0</v>
      </c>
      <c r="BI12" s="27">
        <f>IF(O12=Dienste!$A$2,Dienste!$C$2,IF(O12=Dienste!$A$3,Dienste!$C$3,IF(O12=Dienste!$A$4,Dienste!$C$4,IF(O12=Dienste!$A$5,Dienste!$C$5,IF(O12=Dienste!$A$6,Dienste!$C$6,IF(O12=Dienste!$A$7,Dienste!$C$7,IF(O12=Dienste!$A$8,Dienste!$C$8,IF(O12=Dienste!$A$9,Dienste!$C$9,IF(O12=Dienste!$A$10,Dienste!$C$10,IF(O12=Dienste!$A$11,Dienste!$C$11,IF(O12=Dienste!$A$12,Dienste!$C$12,IF(O12=Dienste!$A$13,Dienste!$C$13,IF(O12=Dienste!$A$14,Dienste!$C$14,IF(O12=Dienste!$A$15,Dienste!$C$15,IF(O12=Dienste!$A$16,Dienste!$C$16,IF(O12=Dienste!$A$17,Dienste!$C$17,IF(O12=Dienste!$A$18,Dienste!$C$18,IF(O12=Dienste!$A$19,Dienste!$C$19,IF(O12=Dienste!$A$20,Dienste!$C$20,IF(O12=Dienste!$A$21,Dienste!$C$21,IF(O12=Dienste!$A$22,Dienste!$C$22,IF(O12=Dienste!$A$23,Dienste!$C$23,IF(O12=Dienste!$A$24,Dienste!$C$24,IF(O12=Dienste!$A$25,Dienste!$C$25,IF(O12=Dienste!$A$26,Dienste!$C$26,IF(O12=Dienste!$A$27,Dienste!$C$27,IF(O12=Dienste!$A$28,Dienste!$C$28,IF(O12=Dienste!#REF!,Dienste!#REF!,IF(O12=Dienste!#REF!,Dienste!#REF!,IF(O12=Dienste!#REF!,Dienste!#REF!,IF(O12=Dienste!#REF!,Dienste!#REF!,IF(O12=Dienste!$A$33,Dienste!$C$33,IF(O12=Dienste!$A$34,Dienste!$C$34,IF(O12=Dienste!$A$35,Dienste!$C$35,IF(O12=Dienste!$A$36,Dienste!$C$36,)))))))))))))))))))))))))))))))))))</f>
        <v>8</v>
      </c>
      <c r="BJ12" s="27">
        <f>IF(P12=Dienste!$A$2,Dienste!$C$2,IF(P12=Dienste!$A$3,Dienste!$C$3,IF(P12=Dienste!$A$4,Dienste!$C$4,IF(P12=Dienste!$A$5,Dienste!$C$5,IF(P12=Dienste!$A$6,Dienste!$C$6,IF(P12=Dienste!$A$7,Dienste!$C$7,IF(P12=Dienste!$A$8,Dienste!$C$8,IF(P12=Dienste!$A$9,Dienste!$C$9,IF(P12=Dienste!$A$10,Dienste!$C$10,IF(P12=Dienste!$A$11,Dienste!$C$11,IF(P12=Dienste!$A$12,Dienste!$C$12,IF(P12=Dienste!$A$13,Dienste!$C$13,IF(P12=Dienste!$A$14,Dienste!$C$14,IF(P12=Dienste!$A$15,Dienste!$C$15,IF(P12=Dienste!$A$16,Dienste!$C$16,IF(P12=Dienste!$A$17,Dienste!$C$17,IF(P12=Dienste!$A$18,Dienste!$C$18,IF(P12=Dienste!$A$19,Dienste!$C$19,IF(P12=Dienste!$A$20,Dienste!$C$20,IF(P12=Dienste!$A$21,Dienste!$C$21,IF(P12=Dienste!$A$22,Dienste!$C$22,IF(P12=Dienste!$A$23,Dienste!$C$23,IF(P12=Dienste!$A$24,Dienste!$C$24,IF(P12=Dienste!$A$25,Dienste!$C$25,IF(P12=Dienste!$A$26,Dienste!$C$26,IF(P12=Dienste!$A$27,Dienste!$C$27,IF(P12=Dienste!$A$28,Dienste!$C$28,IF(P12=Dienste!#REF!,Dienste!#REF!,IF(P12=Dienste!#REF!,Dienste!#REF!,IF(P12=Dienste!#REF!,Dienste!#REF!,IF(P12=Dienste!#REF!,Dienste!#REF!,IF(P12=Dienste!$A$33,Dienste!$C$33,IF(P12=Dienste!$A$34,Dienste!$C$34,IF(P12=Dienste!$A$35,Dienste!$C$35,IF(P12=Dienste!$A$36,Dienste!$C$36,)))))))))))))))))))))))))))))))))))</f>
        <v>8</v>
      </c>
      <c r="BK12" s="27">
        <f>IF(Q12=Dienste!$A$2,Dienste!$C$2,IF(Q12=Dienste!$A$3,Dienste!$C$3,IF(Q12=Dienste!$A$4,Dienste!$C$4,IF(Q12=Dienste!$A$5,Dienste!$C$5,IF(Q12=Dienste!$A$6,Dienste!$C$6,IF(Q12=Dienste!$A$7,Dienste!$C$7,IF(Q12=Dienste!$A$8,Dienste!$C$8,IF(Q12=Dienste!$A$9,Dienste!$C$9,IF(Q12=Dienste!$A$10,Dienste!$C$10,IF(Q12=Dienste!$A$11,Dienste!$C$11,IF(Q12=Dienste!$A$12,Dienste!$C$12,IF(Q12=Dienste!$A$13,Dienste!$C$13,IF(Q12=Dienste!$A$14,Dienste!$C$14,IF(Q12=Dienste!$A$15,Dienste!$C$15,IF(Q12=Dienste!$A$16,Dienste!$C$16,IF(Q12=Dienste!$A$17,Dienste!$C$17,IF(Q12=Dienste!$A$18,Dienste!$C$18,IF(Q12=Dienste!$A$19,Dienste!$C$19,IF(Q12=Dienste!$A$20,Dienste!$C$20,IF(Q12=Dienste!$A$21,Dienste!$C$21,IF(Q12=Dienste!$A$22,Dienste!$C$22,IF(Q12=Dienste!$A$23,Dienste!$C$23,IF(Q12=Dienste!$A$24,Dienste!$C$24,IF(Q12=Dienste!$A$25,Dienste!$C$25,IF(Q12=Dienste!$A$26,Dienste!$C$26,IF(Q12=Dienste!$A$27,Dienste!$C$27,IF(Q12=Dienste!$A$28,Dienste!$C$28,IF(Q12=Dienste!#REF!,Dienste!#REF!,IF(Q12=Dienste!#REF!,Dienste!#REF!,IF(Q12=Dienste!#REF!,Dienste!#REF!,IF(Q12=Dienste!#REF!,Dienste!#REF!,IF(Q12=Dienste!$A$33,Dienste!$C$33,IF(Q12=Dienste!$A$34,Dienste!$C$34,IF(Q12=Dienste!$A$35,Dienste!$C$35,IF(Q12=Dienste!$A$36,Dienste!$C$36,)))))))))))))))))))))))))))))))))))</f>
        <v>8</v>
      </c>
      <c r="BL12" s="27">
        <f>IF(R12=Dienste!$A$2,Dienste!$C$2,IF(R12=Dienste!$A$3,Dienste!$C$3,IF(R12=Dienste!$A$4,Dienste!$C$4,IF(R12=Dienste!$A$5,Dienste!$C$5,IF(R12=Dienste!$A$6,Dienste!$C$6,IF(R12=Dienste!$A$7,Dienste!$C$7,IF(R12=Dienste!$A$8,Dienste!$C$8,IF(R12=Dienste!$A$9,Dienste!$C$9,IF(R12=Dienste!$A$10,Dienste!$C$10,IF(R12=Dienste!$A$11,Dienste!$C$11,IF(R12=Dienste!$A$12,Dienste!$C$12,IF(R12=Dienste!$A$13,Dienste!$C$13,IF(R12=Dienste!$A$14,Dienste!$C$14,IF(R12=Dienste!$A$15,Dienste!$C$15,IF(R12=Dienste!$A$16,Dienste!$C$16,IF(R12=Dienste!$A$17,Dienste!$C$17,IF(R12=Dienste!$A$18,Dienste!$C$18,IF(R12=Dienste!$A$19,Dienste!$C$19,IF(R12=Dienste!$A$20,Dienste!$C$20,IF(R12=Dienste!$A$21,Dienste!$C$21,IF(R12=Dienste!$A$22,Dienste!$C$22,IF(R12=Dienste!$A$23,Dienste!$C$23,IF(R12=Dienste!$A$24,Dienste!$C$24,IF(R12=Dienste!$A$25,Dienste!$C$25,IF(R12=Dienste!$A$26,Dienste!$C$26,IF(R12=Dienste!$A$27,Dienste!$C$27,IF(R12=Dienste!$A$28,Dienste!$C$28,IF(R12=Dienste!#REF!,Dienste!#REF!,IF(R12=Dienste!#REF!,Dienste!#REF!,IF(R12=Dienste!#REF!,Dienste!#REF!,IF(R12=Dienste!#REF!,Dienste!#REF!,IF(R12=Dienste!$A$33,Dienste!$C$33,IF(R12=Dienste!$A$34,Dienste!$C$34,IF(R12=Dienste!$A$35,Dienste!$C$35,IF(R12=Dienste!$A$36,Dienste!$C$36,)))))))))))))))))))))))))))))))))))</f>
        <v>0</v>
      </c>
      <c r="BM12" s="27">
        <f>IF(S12=Dienste!$A$2,Dienste!$C$2,IF(S12=Dienste!$A$3,Dienste!$C$3,IF(S12=Dienste!$A$4,Dienste!$C$4,IF(S12=Dienste!$A$5,Dienste!$C$5,IF(S12=Dienste!$A$6,Dienste!$C$6,IF(S12=Dienste!$A$7,Dienste!$C$7,IF(S12=Dienste!$A$8,Dienste!$C$8,IF(S12=Dienste!$A$9,Dienste!$C$9,IF(S12=Dienste!$A$10,Dienste!$C$10,IF(S12=Dienste!$A$11,Dienste!$C$11,IF(S12=Dienste!$A$12,Dienste!$C$12,IF(S12=Dienste!$A$13,Dienste!$C$13,IF(S12=Dienste!$A$14,Dienste!$C$14,IF(S12=Dienste!$A$15,Dienste!$C$15,IF(S12=Dienste!$A$16,Dienste!$C$16,IF(S12=Dienste!$A$17,Dienste!$C$17,IF(S12=Dienste!$A$18,Dienste!$C$18,IF(S12=Dienste!$A$19,Dienste!$C$19,IF(S12=Dienste!$A$20,Dienste!$C$20,IF(S12=Dienste!$A$21,Dienste!$C$21,IF(S12=Dienste!$A$22,Dienste!$C$22,IF(S12=Dienste!$A$23,Dienste!$C$23,IF(S12=Dienste!$A$24,Dienste!$C$24,IF(S12=Dienste!$A$25,Dienste!$C$25,IF(S12=Dienste!$A$26,Dienste!$C$26,IF(S12=Dienste!$A$27,Dienste!$C$27,IF(S12=Dienste!$A$28,Dienste!$C$28,IF(S12=Dienste!#REF!,Dienste!#REF!,IF(S12=Dienste!#REF!,Dienste!#REF!,IF(S12=Dienste!#REF!,Dienste!#REF!,IF(S12=Dienste!#REF!,Dienste!#REF!,IF(S12=Dienste!$A$33,Dienste!$C$33,IF(S12=Dienste!$A$34,Dienste!$C$34,IF(S12=Dienste!$A$35,Dienste!$C$35,IF(S12=Dienste!$A$36,Dienste!$C$36,)))))))))))))))))))))))))))))))))))</f>
        <v>0</v>
      </c>
      <c r="BN12" s="27">
        <f>IF(T12=Dienste!$A$2,Dienste!$C$2,IF(T12=Dienste!$A$3,Dienste!$C$3,IF(T12=Dienste!$A$4,Dienste!$C$4,IF(T12=Dienste!$A$5,Dienste!$C$5,IF(T12=Dienste!$A$6,Dienste!$C$6,IF(T12=Dienste!$A$7,Dienste!$C$7,IF(T12=Dienste!$A$8,Dienste!$C$8,IF(T12=Dienste!$A$9,Dienste!$C$9,IF(T12=Dienste!$A$10,Dienste!$C$10,IF(T12=Dienste!$A$11,Dienste!$C$11,IF(T12=Dienste!$A$12,Dienste!$C$12,IF(T12=Dienste!$A$13,Dienste!$C$13,IF(T12=Dienste!$A$14,Dienste!$C$14,IF(T12=Dienste!$A$15,Dienste!$C$15,IF(T12=Dienste!$A$16,Dienste!$C$16,IF(T12=Dienste!$A$17,Dienste!$C$17,IF(T12=Dienste!$A$18,Dienste!$C$18,IF(T12=Dienste!$A$19,Dienste!$C$19,IF(T12=Dienste!$A$20,Dienste!$C$20,IF(T12=Dienste!$A$21,Dienste!$C$21,IF(T12=Dienste!$A$22,Dienste!$C$22,IF(T12=Dienste!$A$23,Dienste!$C$23,IF(T12=Dienste!$A$24,Dienste!$C$24,IF(T12=Dienste!$A$25,Dienste!$C$25,IF(T12=Dienste!$A$26,Dienste!$C$26,IF(T12=Dienste!$A$27,Dienste!$C$27,IF(T12=Dienste!$A$28,Dienste!$C$28,IF(T12=Dienste!#REF!,Dienste!#REF!,IF(T12=Dienste!#REF!,Dienste!#REF!,IF(T12=Dienste!#REF!,Dienste!#REF!,IF(T12=Dienste!#REF!,Dienste!#REF!,IF(T12=Dienste!$A$33,Dienste!$C$33,IF(T12=Dienste!$A$34,Dienste!$C$34,IF(T12=Dienste!$A$35,Dienste!$C$35,IF(T12=Dienste!$A$36,Dienste!$C$36,)))))))))))))))))))))))))))))))))))</f>
        <v>8</v>
      </c>
      <c r="BO12" s="27">
        <f>IF(U12=Dienste!$A$2,Dienste!$C$2,IF(U12=Dienste!$A$3,Dienste!$C$3,IF(U12=Dienste!$A$4,Dienste!$C$4,IF(U12=Dienste!$A$5,Dienste!$C$5,IF(U12=Dienste!$A$6,Dienste!$C$6,IF(U12=Dienste!$A$7,Dienste!$C$7,IF(U12=Dienste!$A$8,Dienste!$C$8,IF(U12=Dienste!$A$9,Dienste!$C$9,IF(U12=Dienste!$A$10,Dienste!$C$10,IF(U12=Dienste!$A$11,Dienste!$C$11,IF(U12=Dienste!$A$12,Dienste!$C$12,IF(U12=Dienste!$A$13,Dienste!$C$13,IF(U12=Dienste!$A$14,Dienste!$C$14,IF(U12=Dienste!$A$15,Dienste!$C$15,IF(U12=Dienste!$A$16,Dienste!$C$16,IF(U12=Dienste!$A$17,Dienste!$C$17,IF(U12=Dienste!$A$18,Dienste!$C$18,IF(U12=Dienste!$A$19,Dienste!$C$19,IF(U12=Dienste!$A$20,Dienste!$C$20,IF(U12=Dienste!$A$21,Dienste!$C$21,IF(U12=Dienste!$A$22,Dienste!$C$22,IF(U12=Dienste!$A$23,Dienste!$C$23,IF(U12=Dienste!$A$24,Dienste!$C$24,IF(U12=Dienste!$A$25,Dienste!$C$25,IF(U12=Dienste!$A$26,Dienste!$C$26,IF(U12=Dienste!$A$27,Dienste!$C$27,IF(U12=Dienste!$A$28,Dienste!$C$28,IF(U12=Dienste!#REF!,Dienste!#REF!,IF(U12=Dienste!#REF!,Dienste!#REF!,IF(U12=Dienste!#REF!,Dienste!#REF!,IF(U12=Dienste!#REF!,Dienste!#REF!,IF(U12=Dienste!$A$33,Dienste!$C$33,IF(U12=Dienste!$A$34,Dienste!$C$34,IF(U12=Dienste!$A$35,Dienste!$C$35,IF(U12=Dienste!$A$36,Dienste!$C$36,)))))))))))))))))))))))))))))))))))</f>
        <v>0</v>
      </c>
      <c r="BP12" s="27">
        <f>IF(V12=Dienste!$A$2,Dienste!$C$2,IF(V12=Dienste!$A$3,Dienste!$C$3,IF(V12=Dienste!$A$4,Dienste!$C$4,IF(V12=Dienste!$A$5,Dienste!$C$5,IF(V12=Dienste!$A$6,Dienste!$C$6,IF(V12=Dienste!$A$7,Dienste!$C$7,IF(V12=Dienste!$A$8,Dienste!$C$8,IF(V12=Dienste!$A$9,Dienste!$C$9,IF(V12=Dienste!$A$10,Dienste!$C$10,IF(V12=Dienste!$A$11,Dienste!$C$11,IF(V12=Dienste!$A$12,Dienste!$C$12,IF(V12=Dienste!$A$13,Dienste!$C$13,IF(V12=Dienste!$A$14,Dienste!$C$14,IF(V12=Dienste!$A$15,Dienste!$C$15,IF(V12=Dienste!$A$16,Dienste!$C$16,IF(V12=Dienste!$A$17,Dienste!$C$17,IF(V12=Dienste!$A$18,Dienste!$C$18,IF(V12=Dienste!$A$19,Dienste!$C$19,IF(V12=Dienste!$A$20,Dienste!$C$20,IF(V12=Dienste!$A$21,Dienste!$C$21,IF(V12=Dienste!$A$22,Dienste!$C$22,IF(V12=Dienste!$A$23,Dienste!$C$23,IF(V12=Dienste!$A$24,Dienste!$C$24,IF(V12=Dienste!$A$25,Dienste!$C$25,IF(V12=Dienste!$A$26,Dienste!$C$26,IF(V12=Dienste!$A$27,Dienste!$C$27,IF(V12=Dienste!$A$28,Dienste!$C$28,IF(V12=Dienste!#REF!,Dienste!#REF!,IF(V12=Dienste!#REF!,Dienste!#REF!,IF(V12=Dienste!#REF!,Dienste!#REF!,IF(V12=Dienste!#REF!,Dienste!#REF!,IF(V12=Dienste!$A$33,Dienste!$C$33,IF(V12=Dienste!$A$34,Dienste!$C$34,IF(V12=Dienste!$A$35,Dienste!$C$35,IF(V12=Dienste!$A$36,Dienste!$C$36,)))))))))))))))))))))))))))))))))))</f>
        <v>0</v>
      </c>
      <c r="BQ12" s="27">
        <f>IF(W12=Dienste!$A$2,Dienste!$C$2,IF(W12=Dienste!$A$3,Dienste!$C$3,IF(W12=Dienste!$A$4,Dienste!$C$4,IF(W12=Dienste!$A$5,Dienste!$C$5,IF(W12=Dienste!$A$6,Dienste!$C$6,IF(W12=Dienste!$A$7,Dienste!$C$7,IF(W12=Dienste!$A$8,Dienste!$C$8,IF(W12=Dienste!$A$9,Dienste!$C$9,IF(W12=Dienste!$A$10,Dienste!$C$10,IF(W12=Dienste!$A$11,Dienste!$C$11,IF(W12=Dienste!$A$12,Dienste!$C$12,IF(W12=Dienste!$A$13,Dienste!$C$13,IF(W12=Dienste!$A$14,Dienste!$C$14,IF(W12=Dienste!$A$15,Dienste!$C$15,IF(W12=Dienste!$A$16,Dienste!$C$16,IF(W12=Dienste!$A$17,Dienste!$C$17,IF(W12=Dienste!$A$18,Dienste!$C$18,IF(W12=Dienste!$A$19,Dienste!$C$19,IF(W12=Dienste!$A$20,Dienste!$C$20,IF(W12=Dienste!$A$21,Dienste!$C$21,IF(W12=Dienste!$A$22,Dienste!$C$22,IF(W12=Dienste!$A$23,Dienste!$C$23,IF(W12=Dienste!$A$24,Dienste!$C$24,IF(W12=Dienste!$A$25,Dienste!$C$25,IF(W12=Dienste!$A$26,Dienste!$C$26,IF(W12=Dienste!$A$27,Dienste!$C$27,IF(W12=Dienste!$A$28,Dienste!$C$28,IF(W12=Dienste!#REF!,Dienste!#REF!,IF(W12=Dienste!#REF!,Dienste!#REF!,IF(W12=Dienste!#REF!,Dienste!#REF!,IF(W12=Dienste!#REF!,Dienste!#REF!,IF(W12=Dienste!$A$33,Dienste!$C$33,IF(W12=Dienste!$A$34,Dienste!$C$34,IF(W12=Dienste!$A$35,Dienste!$C$35,IF(W12=Dienste!$A$36,Dienste!$C$36,)))))))))))))))))))))))))))))))))))</f>
        <v>8</v>
      </c>
      <c r="BR12" s="27">
        <f>IF(X12=Dienste!$A$2,Dienste!$C$2,IF(X12=Dienste!$A$3,Dienste!$C$3,IF(X12=Dienste!$A$4,Dienste!$C$4,IF(X12=Dienste!$A$5,Dienste!$C$5,IF(X12=Dienste!$A$6,Dienste!$C$6,IF(X12=Dienste!$A$7,Dienste!$C$7,IF(X12=Dienste!$A$8,Dienste!$C$8,IF(X12=Dienste!$A$9,Dienste!$C$9,IF(X12=Dienste!$A$10,Dienste!$C$10,IF(X12=Dienste!$A$11,Dienste!$C$11,IF(X12=Dienste!$A$12,Dienste!$C$12,IF(X12=Dienste!$A$13,Dienste!$C$13,IF(X12=Dienste!$A$14,Dienste!$C$14,IF(X12=Dienste!$A$15,Dienste!$C$15,IF(X12=Dienste!$A$16,Dienste!$C$16,IF(X12=Dienste!$A$17,Dienste!$C$17,IF(X12=Dienste!$A$18,Dienste!$C$18,IF(X12=Dienste!$A$19,Dienste!$C$19,IF(X12=Dienste!$A$20,Dienste!$C$20,IF(X12=Dienste!$A$21,Dienste!$C$21,IF(X12=Dienste!$A$22,Dienste!$C$22,IF(X12=Dienste!$A$23,Dienste!$C$23,IF(X12=Dienste!$A$24,Dienste!$C$24,IF(X12=Dienste!$A$25,Dienste!$C$25,IF(X12=Dienste!$A$26,Dienste!$C$26,IF(X12=Dienste!$A$27,Dienste!$C$27,IF(X12=Dienste!$A$28,Dienste!$C$28,IF(X12=Dienste!#REF!,Dienste!#REF!,IF(X12=Dienste!#REF!,Dienste!#REF!,IF(X12=Dienste!#REF!,Dienste!#REF!,IF(X12=Dienste!#REF!,Dienste!#REF!,IF(X12=Dienste!$A$33,Dienste!$C$33,IF(X12=Dienste!$A$34,Dienste!$C$34,IF(X12=Dienste!$A$35,Dienste!$C$35,IF(X12=Dienste!$A$36,Dienste!$C$36,)))))))))))))))))))))))))))))))))))</f>
        <v>8</v>
      </c>
      <c r="BS12" s="27">
        <f>IF(Y12=Dienste!$A$2,Dienste!$C$2,IF(Y12=Dienste!$A$3,Dienste!$C$3,IF(Y12=Dienste!$A$4,Dienste!$C$4,IF(Y12=Dienste!$A$5,Dienste!$C$5,IF(Y12=Dienste!$A$6,Dienste!$C$6,IF(Y12=Dienste!$A$7,Dienste!$C$7,IF(Y12=Dienste!$A$8,Dienste!$C$8,IF(Y12=Dienste!$A$9,Dienste!$C$9,IF(Y12=Dienste!$A$10,Dienste!$C$10,IF(Y12=Dienste!$A$11,Dienste!$C$11,IF(Y12=Dienste!$A$12,Dienste!$C$12,IF(Y12=Dienste!$A$13,Dienste!$C$13,IF(Y12=Dienste!$A$14,Dienste!$C$14,IF(Y12=Dienste!$A$15,Dienste!$C$15,IF(Y12=Dienste!$A$16,Dienste!$C$16,IF(Y12=Dienste!$A$17,Dienste!$C$17,IF(Y12=Dienste!$A$18,Dienste!$C$18,IF(Y12=Dienste!$A$19,Dienste!$C$19,IF(Y12=Dienste!$A$20,Dienste!$C$20,IF(Y12=Dienste!$A$21,Dienste!$C$21,IF(Y12=Dienste!$A$22,Dienste!$C$22,IF(Y12=Dienste!$A$23,Dienste!$C$23,IF(Y12=Dienste!$A$24,Dienste!$C$24,IF(Y12=Dienste!$A$25,Dienste!$C$25,IF(Y12=Dienste!$A$26,Dienste!$C$26,IF(Y12=Dienste!$A$27,Dienste!$C$27,IF(Y12=Dienste!$A$28,Dienste!$C$28,IF(Y12=Dienste!#REF!,Dienste!#REF!,IF(Y12=Dienste!#REF!,Dienste!#REF!,IF(Y12=Dienste!#REF!,Dienste!#REF!,IF(Y12=Dienste!#REF!,Dienste!#REF!,IF(Y12=Dienste!$A$33,Dienste!$C$33,IF(Y12=Dienste!$A$34,Dienste!$C$34,IF(Y12=Dienste!$A$35,Dienste!$C$35,IF(Y12=Dienste!$A$36,Dienste!$C$36,)))))))))))))))))))))))))))))))))))</f>
        <v>0</v>
      </c>
      <c r="BT12" s="27">
        <f>IF(Z12=Dienste!$A$2,Dienste!$C$2,IF(Z12=Dienste!$A$3,Dienste!$C$3,IF(Z12=Dienste!$A$4,Dienste!$C$4,IF(Z12=Dienste!$A$5,Dienste!$C$5,IF(Z12=Dienste!$A$6,Dienste!$C$6,IF(Z12=Dienste!$A$7,Dienste!$C$7,IF(Z12=Dienste!$A$8,Dienste!$C$8,IF(Z12=Dienste!$A$9,Dienste!$C$9,IF(Z12=Dienste!$A$10,Dienste!$C$10,IF(Z12=Dienste!$A$11,Dienste!$C$11,IF(Z12=Dienste!$A$12,Dienste!$C$12,IF(Z12=Dienste!$A$13,Dienste!$C$13,IF(Z12=Dienste!$A$14,Dienste!$C$14,IF(Z12=Dienste!$A$15,Dienste!$C$15,IF(Z12=Dienste!$A$16,Dienste!$C$16,IF(Z12=Dienste!$A$17,Dienste!$C$17,IF(Z12=Dienste!$A$18,Dienste!$C$18,IF(Z12=Dienste!$A$19,Dienste!$C$19,IF(Z12=Dienste!$A$20,Dienste!$C$20,IF(Z12=Dienste!$A$21,Dienste!$C$21,IF(Z12=Dienste!$A$22,Dienste!$C$22,IF(Z12=Dienste!$A$23,Dienste!$C$23,IF(Z12=Dienste!$A$24,Dienste!$C$24,IF(Z12=Dienste!$A$25,Dienste!$C$25,IF(Z12=Dienste!$A$26,Dienste!$C$26,IF(Z12=Dienste!$A$27,Dienste!$C$27,IF(Z12=Dienste!$A$28,Dienste!$C$28,IF(Z12=Dienste!#REF!,Dienste!#REF!,IF(Z12=Dienste!#REF!,Dienste!#REF!,IF(Z12=Dienste!#REF!,Dienste!#REF!,IF(Z12=Dienste!#REF!,Dienste!#REF!,IF(Z12=Dienste!$A$33,Dienste!$C$33,IF(Z12=Dienste!$A$34,Dienste!$C$34,IF(Z12=Dienste!$A$35,Dienste!$C$35,IF(Z12=Dienste!$A$36,Dienste!$C$36,)))))))))))))))))))))))))))))))))))</f>
        <v>0</v>
      </c>
      <c r="BU12" s="27">
        <f>IF(AA12=Dienste!$A$2,Dienste!$C$2,IF(AA12=Dienste!$A$3,Dienste!$C$3,IF(AA12=Dienste!$A$4,Dienste!$C$4,IF(AA12=Dienste!$A$5,Dienste!$C$5,IF(AA12=Dienste!$A$6,Dienste!$C$6,IF(AA12=Dienste!$A$7,Dienste!$C$7,IF(AA12=Dienste!$A$8,Dienste!$C$8,IF(AA12=Dienste!$A$9,Dienste!$C$9,IF(AA12=Dienste!$A$10,Dienste!$C$10,IF(AA12=Dienste!$A$11,Dienste!$C$11,IF(AA12=Dienste!$A$12,Dienste!$C$12,IF(AA12=Dienste!$A$13,Dienste!$C$13,IF(AA12=Dienste!$A$14,Dienste!$C$14,IF(AA12=Dienste!$A$15,Dienste!$C$15,IF(AA12=Dienste!$A$16,Dienste!$C$16,IF(AA12=Dienste!$A$17,Dienste!$C$17,IF(AA12=Dienste!$A$18,Dienste!$C$18,IF(AA12=Dienste!$A$19,Dienste!$C$19,IF(AA12=Dienste!$A$20,Dienste!$C$20,IF(AA12=Dienste!$A$21,Dienste!$C$21,IF(AA12=Dienste!$A$22,Dienste!$C$22,IF(AA12=Dienste!$A$23,Dienste!$C$23,IF(AA12=Dienste!$A$24,Dienste!$C$24,IF(AA12=Dienste!$A$25,Dienste!$C$25,IF(AA12=Dienste!$A$26,Dienste!$C$26,IF(AA12=Dienste!$A$27,Dienste!$C$27,IF(AA12=Dienste!$A$28,Dienste!$C$28,IF(AA12=Dienste!#REF!,Dienste!#REF!,IF(AA12=Dienste!#REF!,Dienste!#REF!,IF(AA12=Dienste!#REF!,Dienste!#REF!,IF(AA12=Dienste!#REF!,Dienste!#REF!,IF(AA12=Dienste!$A$33,Dienste!$C$33,IF(AA12=Dienste!$A$34,Dienste!$C$34,IF(AA12=Dienste!$A$35,Dienste!$C$35,IF(AA12=Dienste!$A$36,Dienste!$C$36,)))))))))))))))))))))))))))))))))))</f>
        <v>8</v>
      </c>
      <c r="BV12" s="27">
        <f>IF(AB12=Dienste!$A$2,Dienste!$C$2,IF(AB12=Dienste!$A$3,Dienste!$C$3,IF(AB12=Dienste!$A$4,Dienste!$C$4,IF(AB12=Dienste!$A$5,Dienste!$C$5,IF(AB12=Dienste!$A$6,Dienste!$C$6,IF(AB12=Dienste!$A$7,Dienste!$C$7,IF(AB12=Dienste!$A$8,Dienste!$C$8,IF(AB12=Dienste!$A$9,Dienste!$C$9,IF(AB12=Dienste!$A$10,Dienste!$C$10,IF(AB12=Dienste!$A$11,Dienste!$C$11,IF(AB12=Dienste!$A$12,Dienste!$C$12,IF(AB12=Dienste!$A$13,Dienste!$C$13,IF(AB12=Dienste!$A$14,Dienste!$C$14,IF(AB12=Dienste!$A$15,Dienste!$C$15,IF(AB12=Dienste!$A$16,Dienste!$C$16,IF(AB12=Dienste!$A$17,Dienste!$C$17,IF(AB12=Dienste!$A$18,Dienste!$C$18,IF(AB12=Dienste!$A$19,Dienste!$C$19,IF(AB12=Dienste!$A$20,Dienste!$C$20,IF(AB12=Dienste!$A$21,Dienste!$C$21,IF(AB12=Dienste!$A$22,Dienste!$C$22,IF(AB12=Dienste!$A$23,Dienste!$C$23,IF(AB12=Dienste!$A$24,Dienste!$C$24,IF(AB12=Dienste!$A$25,Dienste!$C$25,IF(AB12=Dienste!$A$26,Dienste!$C$26,IF(AB12=Dienste!$A$27,Dienste!$C$27,IF(AB12=Dienste!$A$28,Dienste!$C$28,IF(AB12=Dienste!#REF!,Dienste!#REF!,IF(AB12=Dienste!#REF!,Dienste!#REF!,IF(AB12=Dienste!#REF!,Dienste!#REF!,IF(AB12=Dienste!#REF!,Dienste!#REF!,IF(AB12=Dienste!$A$33,Dienste!$C$33,IF(AB12=Dienste!$A$34,Dienste!$C$34,IF(AB12=Dienste!$A$35,Dienste!$C$35,IF(AB12=Dienste!$A$36,Dienste!$C$36,)))))))))))))))))))))))))))))))))))</f>
        <v>0</v>
      </c>
      <c r="BW12" s="27">
        <f>IF(AC12=Dienste!$A$2,Dienste!$C$2,IF(AC12=Dienste!$A$3,Dienste!$C$3,IF(AC12=Dienste!$A$4,Dienste!$C$4,IF(AC12=Dienste!$A$5,Dienste!$C$5,IF(AC12=Dienste!$A$6,Dienste!$C$6,IF(AC12=Dienste!$A$7,Dienste!$C$7,IF(AC12=Dienste!$A$8,Dienste!$C$8,IF(AC12=Dienste!$A$9,Dienste!$C$9,IF(AC12=Dienste!$A$10,Dienste!$C$10,IF(AC12=Dienste!$A$11,Dienste!$C$11,IF(AC12=Dienste!$A$12,Dienste!$C$12,IF(AC12=Dienste!$A$13,Dienste!$C$13,IF(AC12=Dienste!$A$14,Dienste!$C$14,IF(AC12=Dienste!$A$15,Dienste!$C$15,IF(AC12=Dienste!$A$16,Dienste!$C$16,IF(AC12=Dienste!$A$17,Dienste!$C$17,IF(AC12=Dienste!$A$18,Dienste!$C$18,IF(AC12=Dienste!$A$19,Dienste!$C$19,IF(AC12=Dienste!$A$20,Dienste!$C$20,IF(AC12=Dienste!$A$21,Dienste!$C$21,IF(AC12=Dienste!$A$22,Dienste!$C$22,IF(AC12=Dienste!$A$23,Dienste!$C$23,IF(AC12=Dienste!$A$24,Dienste!$C$24,IF(AC12=Dienste!$A$25,Dienste!$C$25,IF(AC12=Dienste!$A$26,Dienste!$C$26,IF(AC12=Dienste!$A$27,Dienste!$C$27,IF(AC12=Dienste!$A$28,Dienste!$C$28,IF(AC12=Dienste!#REF!,Dienste!#REF!,IF(AC12=Dienste!#REF!,Dienste!#REF!,IF(AC12=Dienste!#REF!,Dienste!#REF!,IF(AC12=Dienste!#REF!,Dienste!#REF!,IF(AC12=Dienste!$A$33,Dienste!$C$33,IF(AC12=Dienste!$A$34,Dienste!$C$34,IF(AC12=Dienste!$A$35,Dienste!$C$35,IF(AC12=Dienste!$A$36,Dienste!$C$36,)))))))))))))))))))))))))))))))))))</f>
        <v>8</v>
      </c>
      <c r="BX12" s="27">
        <f>IF(AD12=Dienste!$A$2,Dienste!$C$2,IF(AD12=Dienste!$A$3,Dienste!$C$3,IF(AD12=Dienste!$A$4,Dienste!$C$4,IF(AD12=Dienste!$A$5,Dienste!$C$5,IF(AD12=Dienste!$A$6,Dienste!$C$6,IF(AD12=Dienste!$A$7,Dienste!$C$7,IF(AD12=Dienste!$A$8,Dienste!$C$8,IF(AD12=Dienste!$A$9,Dienste!$C$9,IF(AD12=Dienste!$A$10,Dienste!$C$10,IF(AD12=Dienste!$A$11,Dienste!$C$11,IF(AD12=Dienste!$A$12,Dienste!$C$12,IF(AD12=Dienste!$A$13,Dienste!$C$13,IF(AD12=Dienste!$A$14,Dienste!$C$14,IF(AD12=Dienste!$A$15,Dienste!$C$15,IF(AD12=Dienste!$A$16,Dienste!$C$16,IF(AD12=Dienste!$A$17,Dienste!$C$17,IF(AD12=Dienste!$A$18,Dienste!$C$18,IF(AD12=Dienste!$A$19,Dienste!$C$19,IF(AD12=Dienste!$A$20,Dienste!$C$20,IF(AD12=Dienste!$A$21,Dienste!$C$21,IF(AD12=Dienste!$A$22,Dienste!$C$22,IF(AD12=Dienste!$A$23,Dienste!$C$23,IF(AD12=Dienste!$A$24,Dienste!$C$24,IF(AD12=Dienste!$A$25,Dienste!$C$25,IF(AD12=Dienste!$A$26,Dienste!$C$26,IF(AD12=Dienste!$A$27,Dienste!$C$27,IF(AD12=Dienste!$A$28,Dienste!$C$28,IF(AD12=Dienste!#REF!,Dienste!#REF!,IF(AD12=Dienste!#REF!,Dienste!#REF!,IF(AD12=Dienste!#REF!,Dienste!#REF!,IF(AD12=Dienste!#REF!,Dienste!#REF!,IF(AD12=Dienste!$A$33,Dienste!$C$33,IF(AD12=Dienste!$A$34,Dienste!$C$34,IF(AD12=Dienste!$A$35,Dienste!$C$35,IF(AD12=Dienste!$A$36,Dienste!$C$36,)))))))))))))))))))))))))))))))))))</f>
        <v>8</v>
      </c>
      <c r="BY12" s="27">
        <f>IF(AE12=Dienste!$A$2,Dienste!$C$2,IF(AE12=Dienste!$A$3,Dienste!$C$3,IF(AE12=Dienste!$A$4,Dienste!$C$4,IF(AE12=Dienste!$A$5,Dienste!$C$5,IF(AE12=Dienste!$A$6,Dienste!$C$6,IF(AE12=Dienste!$A$7,Dienste!$C$7,IF(AE12=Dienste!$A$8,Dienste!$C$8,IF(AE12=Dienste!$A$9,Dienste!$C$9,IF(AE12=Dienste!$A$10,Dienste!$C$10,IF(AE12=Dienste!$A$11,Dienste!$C$11,IF(AE12=Dienste!$A$12,Dienste!$C$12,IF(AE12=Dienste!$A$13,Dienste!$C$13,IF(AE12=Dienste!$A$14,Dienste!$C$14,IF(AE12=Dienste!$A$15,Dienste!$C$15,IF(AE12=Dienste!$A$16,Dienste!$C$16,IF(AE12=Dienste!$A$17,Dienste!$C$17,IF(AE12=Dienste!$A$18,Dienste!$C$18,IF(AE12=Dienste!$A$19,Dienste!$C$19,IF(AE12=Dienste!$A$20,Dienste!$C$20,IF(AE12=Dienste!$A$21,Dienste!$C$21,IF(AE12=Dienste!$A$22,Dienste!$C$22,IF(AE12=Dienste!$A$23,Dienste!$C$23,IF(AE12=Dienste!$A$24,Dienste!$C$24,IF(AE12=Dienste!$A$25,Dienste!$C$25,IF(AE12=Dienste!$A$26,Dienste!$C$26,IF(AE12=Dienste!$A$27,Dienste!$C$27,IF(AE12=Dienste!$A$28,Dienste!$C$28,IF(AE12=Dienste!#REF!,Dienste!#REF!,IF(AE12=Dienste!#REF!,Dienste!#REF!,IF(AE12=Dienste!#REF!,Dienste!#REF!,IF(AE12=Dienste!#REF!,Dienste!#REF!,IF(AE12=Dienste!$A$33,Dienste!$C$33,IF(AE12=Dienste!$A$34,Dienste!$C$34,IF(AE12=Dienste!$A$35,Dienste!$C$35,IF(AE12=Dienste!$A$36,Dienste!$C$36,)))))))))))))))))))))))))))))))))))</f>
        <v>8</v>
      </c>
      <c r="BZ12" s="27">
        <f>IF(AF12=Dienste!$A$2,Dienste!$C$2,IF(AF12=Dienste!$A$3,Dienste!$C$3,IF(AF12=Dienste!$A$4,Dienste!$C$4,IF(AF12=Dienste!$A$5,Dienste!$C$5,IF(AF12=Dienste!$A$6,Dienste!$C$6,IF(AF12=Dienste!$A$7,Dienste!$C$7,IF(AF12=Dienste!$A$8,Dienste!$C$8,IF(AF12=Dienste!$A$9,Dienste!$C$9,IF(AF12=Dienste!$A$10,Dienste!$C$10,IF(AF12=Dienste!$A$11,Dienste!$C$11,IF(AF12=Dienste!$A$12,Dienste!$C$12,IF(AF12=Dienste!$A$13,Dienste!$C$13,IF(AF12=Dienste!$A$14,Dienste!$C$14,IF(AF12=Dienste!$A$15,Dienste!$C$15,IF(AF12=Dienste!$A$16,Dienste!$C$16,IF(AF12=Dienste!$A$17,Dienste!$C$17,IF(AF12=Dienste!$A$18,Dienste!$C$18,IF(AF12=Dienste!$A$19,Dienste!$C$19,IF(AF12=Dienste!$A$20,Dienste!$C$20,IF(AF12=Dienste!$A$21,Dienste!$C$21,IF(AF12=Dienste!$A$22,Dienste!$C$22,IF(AF12=Dienste!$A$23,Dienste!$C$23,IF(AF12=Dienste!$A$24,Dienste!$C$24,IF(AF12=Dienste!$A$25,Dienste!$C$25,IF(AF12=Dienste!$A$26,Dienste!$C$26,IF(AF12=Dienste!$A$27,Dienste!$C$27,IF(AF12=Dienste!$A$28,Dienste!$C$28,IF(AF12=Dienste!#REF!,Dienste!#REF!,IF(AF12=Dienste!#REF!,Dienste!#REF!,IF(AF12=Dienste!#REF!,Dienste!#REF!,IF(AF12=Dienste!#REF!,Dienste!#REF!,IF(AF12=Dienste!$A$33,Dienste!$C$33,IF(AF12=Dienste!$A$34,Dienste!$C$34,IF(AF12=Dienste!$A$35,Dienste!$C$35,IF(AF12=Dienste!$A$36,Dienste!$C$36,)))))))))))))))))))))))))))))))))))</f>
        <v>8</v>
      </c>
      <c r="CA12" s="27">
        <f>IF(AG12=Dienste!$A$2,Dienste!$C$2,IF(AG12=Dienste!$A$3,Dienste!$C$3,IF(AG12=Dienste!$A$4,Dienste!$C$4,IF(AG12=Dienste!$A$5,Dienste!$C$5,IF(AG12=Dienste!$A$6,Dienste!$C$6,IF(AG12=Dienste!$A$7,Dienste!$C$7,IF(AG12=Dienste!$A$8,Dienste!$C$8,IF(AG12=Dienste!$A$9,Dienste!$C$9,IF(AG12=Dienste!$A$10,Dienste!$C$10,IF(AG12=Dienste!$A$11,Dienste!$C$11,IF(AG12=Dienste!$A$12,Dienste!$C$12,IF(AG12=Dienste!$A$13,Dienste!$C$13,IF(AG12=Dienste!$A$14,Dienste!$C$14,IF(AG12=Dienste!$A$15,Dienste!$C$15,IF(AG12=Dienste!$A$16,Dienste!$C$16,IF(AG12=Dienste!$A$17,Dienste!$C$17,IF(AG12=Dienste!$A$18,Dienste!$C$18,IF(AG12=Dienste!$A$19,Dienste!$C$19,IF(AG12=Dienste!$A$20,Dienste!$C$20,IF(AG12=Dienste!$A$21,Dienste!$C$21,IF(AG12=Dienste!$A$22,Dienste!$C$22,IF(AG12=Dienste!$A$23,Dienste!$C$23,IF(AG12=Dienste!$A$24,Dienste!$C$24,IF(AG12=Dienste!$A$25,Dienste!$C$25,IF(AG12=Dienste!$A$26,Dienste!$C$26,IF(AG12=Dienste!$A$27,Dienste!$C$27,IF(AG12=Dienste!$A$28,Dienste!$C$28,IF(AG12=Dienste!#REF!,Dienste!#REF!,IF(AG12=Dienste!#REF!,Dienste!#REF!,IF(AG12=Dienste!#REF!,Dienste!#REF!,IF(AG12=Dienste!#REF!,Dienste!#REF!,IF(AG12=Dienste!$A$33,Dienste!$C$33,IF(AG12=Dienste!$A$34,Dienste!$C$34,IF(AG12=Dienste!$A$35,Dienste!$C$35,IF(AG12=Dienste!$A$36,Dienste!$C$36,)))))))))))))))))))))))))))))))))))</f>
        <v>8</v>
      </c>
      <c r="CB12" s="27">
        <f>IF(AH12=Dienste!$A$2,Dienste!$C$2,IF(AH12=Dienste!$A$3,Dienste!$C$3,IF(AH12=Dienste!$A$4,Dienste!$C$4,IF(AH12=Dienste!$A$5,Dienste!$C$5,IF(AH12=Dienste!$A$6,Dienste!$C$6,IF(AH12=Dienste!$A$7,Dienste!$C$7,IF(AH12=Dienste!$A$8,Dienste!$C$8,IF(AH12=Dienste!$A$9,Dienste!$C$9,IF(AH12=Dienste!$A$10,Dienste!$C$10,IF(AH12=Dienste!$A$11,Dienste!$C$11,IF(AH12=Dienste!$A$12,Dienste!$C$12,IF(AH12=Dienste!$A$13,Dienste!$C$13,IF(AH12=Dienste!$A$14,Dienste!$C$14,IF(AH12=Dienste!$A$15,Dienste!$C$15,IF(AH12=Dienste!$A$16,Dienste!$C$16,IF(AH12=Dienste!$A$17,Dienste!$C$17,IF(AH12=Dienste!$A$18,Dienste!$C$18,IF(AH12=Dienste!$A$19,Dienste!$C$19,IF(AH12=Dienste!$A$20,Dienste!$C$20,IF(AH12=Dienste!$A$21,Dienste!$C$21,IF(AH12=Dienste!$A$22,Dienste!$C$22,IF(AH12=Dienste!$A$23,Dienste!$C$23,IF(AH12=Dienste!$A$24,Dienste!$C$24,IF(AH12=Dienste!$A$25,Dienste!$C$25,IF(AH12=Dienste!$A$26,Dienste!$C$26,IF(AH12=Dienste!$A$27,Dienste!$C$27,IF(AH12=Dienste!$A$28,Dienste!$C$28,IF(AH12=Dienste!#REF!,Dienste!#REF!,IF(AH12=Dienste!#REF!,Dienste!#REF!,IF(AH12=Dienste!#REF!,Dienste!#REF!,IF(AH12=Dienste!#REF!,Dienste!#REF!,IF(AH12=Dienste!$A$33,Dienste!$C$33,IF(AH12=Dienste!$A$34,Dienste!$C$34,IF(AH12=Dienste!$A$35,Dienste!$C$35,IF(AH12=Dienste!$A$36,Dienste!$C$36,)))))))))))))))))))))))))))))))))))</f>
        <v>8</v>
      </c>
      <c r="CC12" s="27" t="e">
        <f>IF(AI12=Dienste!$A$2,Dienste!$C$2,IF(AI12=Dienste!$A$3,Dienste!$C$3,IF(AI12=Dienste!$A$4,Dienste!$C$4,IF(AI12=Dienste!$A$5,Dienste!$C$5,IF(AI12=Dienste!$A$6,Dienste!$C$6,IF(AI12=Dienste!$A$7,Dienste!$C$7,IF(AI12=Dienste!$A$8,Dienste!$C$8,IF(AI12=Dienste!$A$9,Dienste!$C$9,IF(AI12=Dienste!$A$10,Dienste!$C$10,IF(AI12=Dienste!$A$11,Dienste!$C$11,IF(AI12=Dienste!$A$12,Dienste!$C$12,IF(AI12=Dienste!$A$13,Dienste!$C$13,IF(AI12=Dienste!$A$14,Dienste!$C$14,IF(AI12=Dienste!$A$15,Dienste!$C$15,IF(AI12=Dienste!$A$16,Dienste!$C$16,IF(AI12=Dienste!$A$17,Dienste!$C$17,IF(AI12=Dienste!$A$18,Dienste!$C$18,IF(AI12=Dienste!$A$19,Dienste!$C$19,IF(AI12=Dienste!$A$20,Dienste!$C$20,IF(AI12=Dienste!$A$21,Dienste!$C$21,IF(AI12=Dienste!$A$22,Dienste!$C$22,IF(AI12=Dienste!$A$23,Dienste!$C$23,IF(AI12=Dienste!$A$24,Dienste!$C$24,IF(AI12=Dienste!$A$25,Dienste!$C$25,IF(AI12=Dienste!$A$26,Dienste!$C$26,IF(AI12=Dienste!$A$27,Dienste!$C$27,IF(AI12=Dienste!$A$28,Dienste!$C$28,IF(AI12=Dienste!#REF!,Dienste!#REF!,IF(AI12=Dienste!#REF!,Dienste!#REF!,IF(AI12=Dienste!#REF!,Dienste!#REF!,IF(AI12=Dienste!#REF!,Dienste!#REF!,IF(AI12=Dienste!$A$33,Dienste!$C$33,IF(AI12=Dienste!$A$34,Dienste!$C$34,IF(AI12=Dienste!$A$35,Dienste!$C$35,IF(AI12=Dienste!$A$36,Dienste!$C$36,)))))))))))))))))))))))))))))))))))</f>
        <v>#REF!</v>
      </c>
    </row>
    <row r="13" spans="1:81" x14ac:dyDescent="0.25">
      <c r="A13" s="109" t="s">
        <v>341</v>
      </c>
      <c r="B13" s="15" t="s">
        <v>230</v>
      </c>
      <c r="C13" s="15">
        <v>40</v>
      </c>
      <c r="D13" s="98">
        <v>0</v>
      </c>
      <c r="E13" s="104" t="s">
        <v>83</v>
      </c>
      <c r="F13" s="9" t="s">
        <v>31</v>
      </c>
      <c r="G13" s="9" t="s">
        <v>31</v>
      </c>
      <c r="H13" s="9" t="s">
        <v>32</v>
      </c>
      <c r="I13" s="9" t="s">
        <v>31</v>
      </c>
      <c r="J13" s="9" t="s">
        <v>31</v>
      </c>
      <c r="K13" s="9" t="s">
        <v>83</v>
      </c>
      <c r="L13" s="9" t="s">
        <v>83</v>
      </c>
      <c r="M13" s="9" t="s">
        <v>43</v>
      </c>
      <c r="N13" s="9" t="s">
        <v>43</v>
      </c>
      <c r="O13" s="9" t="s">
        <v>31</v>
      </c>
      <c r="P13" s="9" t="s">
        <v>43</v>
      </c>
      <c r="Q13" s="9" t="s">
        <v>31</v>
      </c>
      <c r="R13" s="9" t="s">
        <v>83</v>
      </c>
      <c r="S13" s="9" t="s">
        <v>83</v>
      </c>
      <c r="T13" s="9" t="s">
        <v>31</v>
      </c>
      <c r="U13" s="9" t="s">
        <v>31</v>
      </c>
      <c r="V13" s="9" t="s">
        <v>6</v>
      </c>
      <c r="W13" s="9" t="s">
        <v>31</v>
      </c>
      <c r="X13" s="9" t="s">
        <v>31</v>
      </c>
      <c r="Y13" s="9" t="s">
        <v>83</v>
      </c>
      <c r="Z13" s="9" t="s">
        <v>83</v>
      </c>
      <c r="AA13" s="9" t="s">
        <v>31</v>
      </c>
      <c r="AB13" s="9" t="s">
        <v>31</v>
      </c>
      <c r="AC13" s="9" t="s">
        <v>43</v>
      </c>
      <c r="AD13" s="9" t="s">
        <v>31</v>
      </c>
      <c r="AE13" s="9" t="s">
        <v>31</v>
      </c>
      <c r="AF13" s="9" t="s">
        <v>83</v>
      </c>
      <c r="AG13" s="9" t="s">
        <v>83</v>
      </c>
      <c r="AH13" s="9" t="s">
        <v>43</v>
      </c>
      <c r="AI13" s="15"/>
      <c r="AJ13" s="109">
        <v>0</v>
      </c>
      <c r="AK13" s="15">
        <v>168</v>
      </c>
      <c r="AL13" s="109">
        <v>168</v>
      </c>
      <c r="AM13" s="15">
        <v>0</v>
      </c>
      <c r="AN13" s="170">
        <v>0</v>
      </c>
      <c r="AO13" s="109">
        <v>0</v>
      </c>
      <c r="AP13" s="15">
        <v>0</v>
      </c>
      <c r="AQ13" s="98">
        <v>5</v>
      </c>
      <c r="AR13" s="109">
        <v>48</v>
      </c>
      <c r="AS13" s="15">
        <v>41.305555555555557</v>
      </c>
      <c r="AT13" s="98">
        <v>9</v>
      </c>
      <c r="AU13" s="96" t="e">
        <f t="shared" si="2"/>
        <v>#REF!</v>
      </c>
      <c r="AV13" s="27" t="e">
        <f t="shared" si="0"/>
        <v>#REF!</v>
      </c>
      <c r="AW13" s="58" t="e">
        <f t="shared" si="1"/>
        <v>#REF!</v>
      </c>
      <c r="AY13" s="27">
        <f>IF(E13=Dienste!$A$2,Dienste!$C$2,IF(E13=Dienste!$A$3,Dienste!$C$3,IF(E13=Dienste!$A$4,Dienste!$C$4,IF(E13=Dienste!$A$5,Dienste!$C$5,IF(E13=Dienste!$A$6,Dienste!$C$6,IF(E13=Dienste!$A$7,Dienste!$C$7,IF(E13=Dienste!$A$8,Dienste!$C$8,IF(E13=Dienste!$A$9,Dienste!$C$9,IF(E13=Dienste!$A$10,Dienste!$C$10,IF(E13=Dienste!$A$11,Dienste!$C$11,IF(E13=Dienste!$A$12,Dienste!$C$12,IF(E13=Dienste!$A$13,Dienste!$C$13,IF(E13=Dienste!$A$14,Dienste!$C$14,IF(E13=Dienste!$A$15,Dienste!$C$15,IF(E13=Dienste!$A$16,Dienste!$C$16,IF(E13=Dienste!$A$17,Dienste!$C$17,IF(E13=Dienste!$A$18,Dienste!$C$18,IF(E13=Dienste!$A$19,Dienste!$C$19,IF(E13=Dienste!$A$20,Dienste!$C$20,IF(E13=Dienste!$A$21,Dienste!$C$21,IF(E13=Dienste!$A$22,Dienste!$C$22,IF(E13=Dienste!$A$23,Dienste!$C$23,IF(E13=Dienste!$A$24,Dienste!$C$24,IF(E13=Dienste!$A$25,Dienste!$C$25,IF(E13=Dienste!$A$26,Dienste!$C$26,IF(E13=Dienste!$A$27,Dienste!$C$27,IF(E13=Dienste!$A$28,Dienste!$C$28,IF(E13=Dienste!#REF!,Dienste!#REF!,IF(E13=Dienste!#REF!,Dienste!#REF!,IF(E13=Dienste!#REF!,Dienste!#REF!,IF(E13=Dienste!#REF!,Dienste!#REF!,IF(E13=Dienste!$A$33,Dienste!$C$33,IF(E13=Dienste!$A$34,Dienste!$C$34,IF(E13=Dienste!$A$35,Dienste!$C$35,IF(E13=Dienste!$A$36,Dienste!$C$36,)))))))))))))))))))))))))))))))))))</f>
        <v>0</v>
      </c>
      <c r="AZ13" s="27">
        <f>IF(F13=Dienste!$A$2,Dienste!$C$2,IF(F13=Dienste!$A$3,Dienste!$C$3,IF(F13=Dienste!$A$4,Dienste!$C$4,IF(F13=Dienste!$A$5,Dienste!$C$5,IF(F13=Dienste!$A$6,Dienste!$C$6,IF(F13=Dienste!$A$7,Dienste!$C$7,IF(F13=Dienste!$A$8,Dienste!$C$8,IF(F13=Dienste!$A$9,Dienste!$C$9,IF(F13=Dienste!$A$10,Dienste!$C$10,IF(F13=Dienste!$A$11,Dienste!$C$11,IF(F13=Dienste!$A$12,Dienste!$C$12,IF(F13=Dienste!$A$13,Dienste!$C$13,IF(F13=Dienste!$A$14,Dienste!$C$14,IF(F13=Dienste!$A$15,Dienste!$C$15,IF(F13=Dienste!$A$16,Dienste!$C$16,IF(F13=Dienste!$A$17,Dienste!$C$17,IF(F13=Dienste!$A$18,Dienste!$C$18,IF(F13=Dienste!$A$19,Dienste!$C$19,IF(F13=Dienste!$A$20,Dienste!$C$20,IF(F13=Dienste!$A$21,Dienste!$C$21,IF(F13=Dienste!$A$22,Dienste!$C$22,IF(F13=Dienste!$A$23,Dienste!$C$23,IF(F13=Dienste!$A$24,Dienste!$C$24,IF(F13=Dienste!$A$25,Dienste!$C$25,IF(F13=Dienste!$A$26,Dienste!$C$26,IF(F13=Dienste!$A$27,Dienste!$C$27,IF(F13=Dienste!$A$28,Dienste!$C$28,IF(F13=Dienste!#REF!,Dienste!#REF!,IF(F13=Dienste!#REF!,Dienste!#REF!,IF(F13=Dienste!#REF!,Dienste!#REF!,IF(F13=Dienste!#REF!,Dienste!#REF!,IF(F13=Dienste!$A$33,Dienste!$C$33,IF(F13=Dienste!$A$34,Dienste!$C$34,IF(F13=Dienste!$A$35,Dienste!$C$35,IF(F13=Dienste!$A$36,Dienste!$C$36,)))))))))))))))))))))))))))))))))))</f>
        <v>8</v>
      </c>
      <c r="BA13" s="27">
        <f>IF(G13=Dienste!$A$2,Dienste!$C$2,IF(G13=Dienste!$A$3,Dienste!$C$3,IF(G13=Dienste!$A$4,Dienste!$C$4,IF(G13=Dienste!$A$5,Dienste!$C$5,IF(G13=Dienste!$A$6,Dienste!$C$6,IF(G13=Dienste!$A$7,Dienste!$C$7,IF(G13=Dienste!$A$8,Dienste!$C$8,IF(G13=Dienste!$A$9,Dienste!$C$9,IF(G13=Dienste!$A$10,Dienste!$C$10,IF(G13=Dienste!$A$11,Dienste!$C$11,IF(G13=Dienste!$A$12,Dienste!$C$12,IF(G13=Dienste!$A$13,Dienste!$C$13,IF(G13=Dienste!$A$14,Dienste!$C$14,IF(G13=Dienste!$A$15,Dienste!$C$15,IF(G13=Dienste!$A$16,Dienste!$C$16,IF(G13=Dienste!$A$17,Dienste!$C$17,IF(G13=Dienste!$A$18,Dienste!$C$18,IF(G13=Dienste!$A$19,Dienste!$C$19,IF(G13=Dienste!$A$20,Dienste!$C$20,IF(G13=Dienste!$A$21,Dienste!$C$21,IF(G13=Dienste!$A$22,Dienste!$C$22,IF(G13=Dienste!$A$23,Dienste!$C$23,IF(G13=Dienste!$A$24,Dienste!$C$24,IF(G13=Dienste!$A$25,Dienste!$C$25,IF(G13=Dienste!$A$26,Dienste!$C$26,IF(G13=Dienste!$A$27,Dienste!$C$27,IF(G13=Dienste!$A$28,Dienste!$C$28,IF(G13=Dienste!#REF!,Dienste!#REF!,IF(G13=Dienste!#REF!,Dienste!#REF!,IF(G13=Dienste!#REF!,Dienste!#REF!,IF(G13=Dienste!#REF!,Dienste!#REF!,IF(G13=Dienste!$A$33,Dienste!$C$33,IF(G13=Dienste!$A$34,Dienste!$C$34,IF(G13=Dienste!$A$35,Dienste!$C$35,IF(G13=Dienste!$A$36,Dienste!$C$36,)))))))))))))))))))))))))))))))))))</f>
        <v>8</v>
      </c>
      <c r="BB13" s="27">
        <f>IF(H13=Dienste!$A$2,Dienste!$C$2,IF(H13=Dienste!$A$3,Dienste!$C$3,IF(H13=Dienste!$A$4,Dienste!$C$4,IF(H13=Dienste!$A$5,Dienste!$C$5,IF(H13=Dienste!$A$6,Dienste!$C$6,IF(H13=Dienste!$A$7,Dienste!$C$7,IF(H13=Dienste!$A$8,Dienste!$C$8,IF(H13=Dienste!$A$9,Dienste!$C$9,IF(H13=Dienste!$A$10,Dienste!$C$10,IF(H13=Dienste!$A$11,Dienste!$C$11,IF(H13=Dienste!$A$12,Dienste!$C$12,IF(H13=Dienste!$A$13,Dienste!$C$13,IF(H13=Dienste!$A$14,Dienste!$C$14,IF(H13=Dienste!$A$15,Dienste!$C$15,IF(H13=Dienste!$A$16,Dienste!$C$16,IF(H13=Dienste!$A$17,Dienste!$C$17,IF(H13=Dienste!$A$18,Dienste!$C$18,IF(H13=Dienste!$A$19,Dienste!$C$19,IF(H13=Dienste!$A$20,Dienste!$C$20,IF(H13=Dienste!$A$21,Dienste!$C$21,IF(H13=Dienste!$A$22,Dienste!$C$22,IF(H13=Dienste!$A$23,Dienste!$C$23,IF(H13=Dienste!$A$24,Dienste!$C$24,IF(H13=Dienste!$A$25,Dienste!$C$25,IF(H13=Dienste!$A$26,Dienste!$C$26,IF(H13=Dienste!$A$27,Dienste!$C$27,IF(H13=Dienste!$A$28,Dienste!$C$28,IF(H13=Dienste!#REF!,Dienste!#REF!,IF(H13=Dienste!#REF!,Dienste!#REF!,IF(H13=Dienste!#REF!,Dienste!#REF!,IF(H13=Dienste!#REF!,Dienste!#REF!,IF(H13=Dienste!$A$33,Dienste!$C$33,IF(H13=Dienste!$A$34,Dienste!$C$34,IF(H13=Dienste!$A$35,Dienste!$C$35,IF(H13=Dienste!$A$36,Dienste!$C$36,)))))))))))))))))))))))))))))))))))</f>
        <v>8</v>
      </c>
      <c r="BC13" s="27">
        <f>IF(I13=Dienste!$A$2,Dienste!$C$2,IF(I13=Dienste!$A$3,Dienste!$C$3,IF(I13=Dienste!$A$4,Dienste!$C$4,IF(I13=Dienste!$A$5,Dienste!$C$5,IF(I13=Dienste!$A$6,Dienste!$C$6,IF(I13=Dienste!$A$7,Dienste!$C$7,IF(I13=Dienste!$A$8,Dienste!$C$8,IF(I13=Dienste!$A$9,Dienste!$C$9,IF(I13=Dienste!$A$10,Dienste!$C$10,IF(I13=Dienste!$A$11,Dienste!$C$11,IF(I13=Dienste!$A$12,Dienste!$C$12,IF(I13=Dienste!$A$13,Dienste!$C$13,IF(I13=Dienste!$A$14,Dienste!$C$14,IF(I13=Dienste!$A$15,Dienste!$C$15,IF(I13=Dienste!$A$16,Dienste!$C$16,IF(I13=Dienste!$A$17,Dienste!$C$17,IF(I13=Dienste!$A$18,Dienste!$C$18,IF(I13=Dienste!$A$19,Dienste!$C$19,IF(I13=Dienste!$A$20,Dienste!$C$20,IF(I13=Dienste!$A$21,Dienste!$C$21,IF(I13=Dienste!$A$22,Dienste!$C$22,IF(I13=Dienste!$A$23,Dienste!$C$23,IF(I13=Dienste!$A$24,Dienste!$C$24,IF(I13=Dienste!$A$25,Dienste!$C$25,IF(I13=Dienste!$A$26,Dienste!$C$26,IF(I13=Dienste!$A$27,Dienste!$C$27,IF(I13=Dienste!$A$28,Dienste!$C$28,IF(I13=Dienste!#REF!,Dienste!#REF!,IF(I13=Dienste!#REF!,Dienste!#REF!,IF(I13=Dienste!#REF!,Dienste!#REF!,IF(I13=Dienste!#REF!,Dienste!#REF!,IF(I13=Dienste!$A$33,Dienste!$C$33,IF(I13=Dienste!$A$34,Dienste!$C$34,IF(I13=Dienste!$A$35,Dienste!$C$35,IF(I13=Dienste!$A$36,Dienste!$C$36,)))))))))))))))))))))))))))))))))))</f>
        <v>8</v>
      </c>
      <c r="BD13" s="27">
        <f>IF(J13=Dienste!$A$2,Dienste!$C$2,IF(J13=Dienste!$A$3,Dienste!$C$3,IF(J13=Dienste!$A$4,Dienste!$C$4,IF(J13=Dienste!$A$5,Dienste!$C$5,IF(J13=Dienste!$A$6,Dienste!$C$6,IF(J13=Dienste!$A$7,Dienste!$C$7,IF(J13=Dienste!$A$8,Dienste!$C$8,IF(J13=Dienste!$A$9,Dienste!$C$9,IF(J13=Dienste!$A$10,Dienste!$C$10,IF(J13=Dienste!$A$11,Dienste!$C$11,IF(J13=Dienste!$A$12,Dienste!$C$12,IF(J13=Dienste!$A$13,Dienste!$C$13,IF(J13=Dienste!$A$14,Dienste!$C$14,IF(J13=Dienste!$A$15,Dienste!$C$15,IF(J13=Dienste!$A$16,Dienste!$C$16,IF(J13=Dienste!$A$17,Dienste!$C$17,IF(J13=Dienste!$A$18,Dienste!$C$18,IF(J13=Dienste!$A$19,Dienste!$C$19,IF(J13=Dienste!$A$20,Dienste!$C$20,IF(J13=Dienste!$A$21,Dienste!$C$21,IF(J13=Dienste!$A$22,Dienste!$C$22,IF(J13=Dienste!$A$23,Dienste!$C$23,IF(J13=Dienste!$A$24,Dienste!$C$24,IF(J13=Dienste!$A$25,Dienste!$C$25,IF(J13=Dienste!$A$26,Dienste!$C$26,IF(J13=Dienste!$A$27,Dienste!$C$27,IF(J13=Dienste!$A$28,Dienste!$C$28,IF(J13=Dienste!#REF!,Dienste!#REF!,IF(J13=Dienste!#REF!,Dienste!#REF!,IF(J13=Dienste!#REF!,Dienste!#REF!,IF(J13=Dienste!#REF!,Dienste!#REF!,IF(J13=Dienste!$A$33,Dienste!$C$33,IF(J13=Dienste!$A$34,Dienste!$C$34,IF(J13=Dienste!$A$35,Dienste!$C$35,IF(J13=Dienste!$A$36,Dienste!$C$36,)))))))))))))))))))))))))))))))))))</f>
        <v>8</v>
      </c>
      <c r="BE13" s="27">
        <f>IF(K13=Dienste!$A$2,Dienste!$C$2,IF(K13=Dienste!$A$3,Dienste!$C$3,IF(K13=Dienste!$A$4,Dienste!$C$4,IF(K13=Dienste!$A$5,Dienste!$C$5,IF(K13=Dienste!$A$6,Dienste!$C$6,IF(K13=Dienste!$A$7,Dienste!$C$7,IF(K13=Dienste!$A$8,Dienste!$C$8,IF(K13=Dienste!$A$9,Dienste!$C$9,IF(K13=Dienste!$A$10,Dienste!$C$10,IF(K13=Dienste!$A$11,Dienste!$C$11,IF(K13=Dienste!$A$12,Dienste!$C$12,IF(K13=Dienste!$A$13,Dienste!$C$13,IF(K13=Dienste!$A$14,Dienste!$C$14,IF(K13=Dienste!$A$15,Dienste!$C$15,IF(K13=Dienste!$A$16,Dienste!$C$16,IF(K13=Dienste!$A$17,Dienste!$C$17,IF(K13=Dienste!$A$18,Dienste!$C$18,IF(K13=Dienste!$A$19,Dienste!$C$19,IF(K13=Dienste!$A$20,Dienste!$C$20,IF(K13=Dienste!$A$21,Dienste!$C$21,IF(K13=Dienste!$A$22,Dienste!$C$22,IF(K13=Dienste!$A$23,Dienste!$C$23,IF(K13=Dienste!$A$24,Dienste!$C$24,IF(K13=Dienste!$A$25,Dienste!$C$25,IF(K13=Dienste!$A$26,Dienste!$C$26,IF(K13=Dienste!$A$27,Dienste!$C$27,IF(K13=Dienste!$A$28,Dienste!$C$28,IF(K13=Dienste!#REF!,Dienste!#REF!,IF(K13=Dienste!#REF!,Dienste!#REF!,IF(K13=Dienste!#REF!,Dienste!#REF!,IF(K13=Dienste!#REF!,Dienste!#REF!,IF(K13=Dienste!$A$33,Dienste!$C$33,IF(K13=Dienste!$A$34,Dienste!$C$34,IF(K13=Dienste!$A$35,Dienste!$C$35,IF(K13=Dienste!$A$36,Dienste!$C$36,)))))))))))))))))))))))))))))))))))</f>
        <v>0</v>
      </c>
      <c r="BF13" s="27">
        <f>IF(L13=Dienste!$A$2,Dienste!$C$2,IF(L13=Dienste!$A$3,Dienste!$C$3,IF(L13=Dienste!$A$4,Dienste!$C$4,IF(L13=Dienste!$A$5,Dienste!$C$5,IF(L13=Dienste!$A$6,Dienste!$C$6,IF(L13=Dienste!$A$7,Dienste!$C$7,IF(L13=Dienste!$A$8,Dienste!$C$8,IF(L13=Dienste!$A$9,Dienste!$C$9,IF(L13=Dienste!$A$10,Dienste!$C$10,IF(L13=Dienste!$A$11,Dienste!$C$11,IF(L13=Dienste!$A$12,Dienste!$C$12,IF(L13=Dienste!$A$13,Dienste!$C$13,IF(L13=Dienste!$A$14,Dienste!$C$14,IF(L13=Dienste!$A$15,Dienste!$C$15,IF(L13=Dienste!$A$16,Dienste!$C$16,IF(L13=Dienste!$A$17,Dienste!$C$17,IF(L13=Dienste!$A$18,Dienste!$C$18,IF(L13=Dienste!$A$19,Dienste!$C$19,IF(L13=Dienste!$A$20,Dienste!$C$20,IF(L13=Dienste!$A$21,Dienste!$C$21,IF(L13=Dienste!$A$22,Dienste!$C$22,IF(L13=Dienste!$A$23,Dienste!$C$23,IF(L13=Dienste!$A$24,Dienste!$C$24,IF(L13=Dienste!$A$25,Dienste!$C$25,IF(L13=Dienste!$A$26,Dienste!$C$26,IF(L13=Dienste!$A$27,Dienste!$C$27,IF(L13=Dienste!$A$28,Dienste!$C$28,IF(L13=Dienste!#REF!,Dienste!#REF!,IF(L13=Dienste!#REF!,Dienste!#REF!,IF(L13=Dienste!#REF!,Dienste!#REF!,IF(L13=Dienste!#REF!,Dienste!#REF!,IF(L13=Dienste!$A$33,Dienste!$C$33,IF(L13=Dienste!$A$34,Dienste!$C$34,IF(L13=Dienste!$A$35,Dienste!$C$35,IF(L13=Dienste!$A$36,Dienste!$C$36,)))))))))))))))))))))))))))))))))))</f>
        <v>0</v>
      </c>
      <c r="BG13" s="27">
        <f>IF(M13=Dienste!$A$2,Dienste!$C$2,IF(M13=Dienste!$A$3,Dienste!$C$3,IF(M13=Dienste!$A$4,Dienste!$C$4,IF(M13=Dienste!$A$5,Dienste!$C$5,IF(M13=Dienste!$A$6,Dienste!$C$6,IF(M13=Dienste!$A$7,Dienste!$C$7,IF(M13=Dienste!$A$8,Dienste!$C$8,IF(M13=Dienste!$A$9,Dienste!$C$9,IF(M13=Dienste!$A$10,Dienste!$C$10,IF(M13=Dienste!$A$11,Dienste!$C$11,IF(M13=Dienste!$A$12,Dienste!$C$12,IF(M13=Dienste!$A$13,Dienste!$C$13,IF(M13=Dienste!$A$14,Dienste!$C$14,IF(M13=Dienste!$A$15,Dienste!$C$15,IF(M13=Dienste!$A$16,Dienste!$C$16,IF(M13=Dienste!$A$17,Dienste!$C$17,IF(M13=Dienste!$A$18,Dienste!$C$18,IF(M13=Dienste!$A$19,Dienste!$C$19,IF(M13=Dienste!$A$20,Dienste!$C$20,IF(M13=Dienste!$A$21,Dienste!$C$21,IF(M13=Dienste!$A$22,Dienste!$C$22,IF(M13=Dienste!$A$23,Dienste!$C$23,IF(M13=Dienste!$A$24,Dienste!$C$24,IF(M13=Dienste!$A$25,Dienste!$C$25,IF(M13=Dienste!$A$26,Dienste!$C$26,IF(M13=Dienste!$A$27,Dienste!$C$27,IF(M13=Dienste!$A$28,Dienste!$C$28,IF(M13=Dienste!#REF!,Dienste!#REF!,IF(M13=Dienste!#REF!,Dienste!#REF!,IF(M13=Dienste!#REF!,Dienste!#REF!,IF(M13=Dienste!#REF!,Dienste!#REF!,IF(M13=Dienste!$A$33,Dienste!$C$33,IF(M13=Dienste!$A$34,Dienste!$C$34,IF(M13=Dienste!$A$35,Dienste!$C$35,IF(M13=Dienste!$A$36,Dienste!$C$36,)))))))))))))))))))))))))))))))))))</f>
        <v>8</v>
      </c>
      <c r="BH13" s="27">
        <f>IF(N13=Dienste!$A$2,Dienste!$C$2,IF(N13=Dienste!$A$3,Dienste!$C$3,IF(N13=Dienste!$A$4,Dienste!$C$4,IF(N13=Dienste!$A$5,Dienste!$C$5,IF(N13=Dienste!$A$6,Dienste!$C$6,IF(N13=Dienste!$A$7,Dienste!$C$7,IF(N13=Dienste!$A$8,Dienste!$C$8,IF(N13=Dienste!$A$9,Dienste!$C$9,IF(N13=Dienste!$A$10,Dienste!$C$10,IF(N13=Dienste!$A$11,Dienste!$C$11,IF(N13=Dienste!$A$12,Dienste!$C$12,IF(N13=Dienste!$A$13,Dienste!$C$13,IF(N13=Dienste!$A$14,Dienste!$C$14,IF(N13=Dienste!$A$15,Dienste!$C$15,IF(N13=Dienste!$A$16,Dienste!$C$16,IF(N13=Dienste!$A$17,Dienste!$C$17,IF(N13=Dienste!$A$18,Dienste!$C$18,IF(N13=Dienste!$A$19,Dienste!$C$19,IF(N13=Dienste!$A$20,Dienste!$C$20,IF(N13=Dienste!$A$21,Dienste!$C$21,IF(N13=Dienste!$A$22,Dienste!$C$22,IF(N13=Dienste!$A$23,Dienste!$C$23,IF(N13=Dienste!$A$24,Dienste!$C$24,IF(N13=Dienste!$A$25,Dienste!$C$25,IF(N13=Dienste!$A$26,Dienste!$C$26,IF(N13=Dienste!$A$27,Dienste!$C$27,IF(N13=Dienste!$A$28,Dienste!$C$28,IF(N13=Dienste!#REF!,Dienste!#REF!,IF(N13=Dienste!#REF!,Dienste!#REF!,IF(N13=Dienste!#REF!,Dienste!#REF!,IF(N13=Dienste!#REF!,Dienste!#REF!,IF(N13=Dienste!$A$33,Dienste!$C$33,IF(N13=Dienste!$A$34,Dienste!$C$34,IF(N13=Dienste!$A$35,Dienste!$C$35,IF(N13=Dienste!$A$36,Dienste!$C$36,)))))))))))))))))))))))))))))))))))</f>
        <v>8</v>
      </c>
      <c r="BI13" s="27">
        <f>IF(O13=Dienste!$A$2,Dienste!$C$2,IF(O13=Dienste!$A$3,Dienste!$C$3,IF(O13=Dienste!$A$4,Dienste!$C$4,IF(O13=Dienste!$A$5,Dienste!$C$5,IF(O13=Dienste!$A$6,Dienste!$C$6,IF(O13=Dienste!$A$7,Dienste!$C$7,IF(O13=Dienste!$A$8,Dienste!$C$8,IF(O13=Dienste!$A$9,Dienste!$C$9,IF(O13=Dienste!$A$10,Dienste!$C$10,IF(O13=Dienste!$A$11,Dienste!$C$11,IF(O13=Dienste!$A$12,Dienste!$C$12,IF(O13=Dienste!$A$13,Dienste!$C$13,IF(O13=Dienste!$A$14,Dienste!$C$14,IF(O13=Dienste!$A$15,Dienste!$C$15,IF(O13=Dienste!$A$16,Dienste!$C$16,IF(O13=Dienste!$A$17,Dienste!$C$17,IF(O13=Dienste!$A$18,Dienste!$C$18,IF(O13=Dienste!$A$19,Dienste!$C$19,IF(O13=Dienste!$A$20,Dienste!$C$20,IF(O13=Dienste!$A$21,Dienste!$C$21,IF(O13=Dienste!$A$22,Dienste!$C$22,IF(O13=Dienste!$A$23,Dienste!$C$23,IF(O13=Dienste!$A$24,Dienste!$C$24,IF(O13=Dienste!$A$25,Dienste!$C$25,IF(O13=Dienste!$A$26,Dienste!$C$26,IF(O13=Dienste!$A$27,Dienste!$C$27,IF(O13=Dienste!$A$28,Dienste!$C$28,IF(O13=Dienste!#REF!,Dienste!#REF!,IF(O13=Dienste!#REF!,Dienste!#REF!,IF(O13=Dienste!#REF!,Dienste!#REF!,IF(O13=Dienste!#REF!,Dienste!#REF!,IF(O13=Dienste!$A$33,Dienste!$C$33,IF(O13=Dienste!$A$34,Dienste!$C$34,IF(O13=Dienste!$A$35,Dienste!$C$35,IF(O13=Dienste!$A$36,Dienste!$C$36,)))))))))))))))))))))))))))))))))))</f>
        <v>8</v>
      </c>
      <c r="BJ13" s="27">
        <f>IF(P13=Dienste!$A$2,Dienste!$C$2,IF(P13=Dienste!$A$3,Dienste!$C$3,IF(P13=Dienste!$A$4,Dienste!$C$4,IF(P13=Dienste!$A$5,Dienste!$C$5,IF(P13=Dienste!$A$6,Dienste!$C$6,IF(P13=Dienste!$A$7,Dienste!$C$7,IF(P13=Dienste!$A$8,Dienste!$C$8,IF(P13=Dienste!$A$9,Dienste!$C$9,IF(P13=Dienste!$A$10,Dienste!$C$10,IF(P13=Dienste!$A$11,Dienste!$C$11,IF(P13=Dienste!$A$12,Dienste!$C$12,IF(P13=Dienste!$A$13,Dienste!$C$13,IF(P13=Dienste!$A$14,Dienste!$C$14,IF(P13=Dienste!$A$15,Dienste!$C$15,IF(P13=Dienste!$A$16,Dienste!$C$16,IF(P13=Dienste!$A$17,Dienste!$C$17,IF(P13=Dienste!$A$18,Dienste!$C$18,IF(P13=Dienste!$A$19,Dienste!$C$19,IF(P13=Dienste!$A$20,Dienste!$C$20,IF(P13=Dienste!$A$21,Dienste!$C$21,IF(P13=Dienste!$A$22,Dienste!$C$22,IF(P13=Dienste!$A$23,Dienste!$C$23,IF(P13=Dienste!$A$24,Dienste!$C$24,IF(P13=Dienste!$A$25,Dienste!$C$25,IF(P13=Dienste!$A$26,Dienste!$C$26,IF(P13=Dienste!$A$27,Dienste!$C$27,IF(P13=Dienste!$A$28,Dienste!$C$28,IF(P13=Dienste!#REF!,Dienste!#REF!,IF(P13=Dienste!#REF!,Dienste!#REF!,IF(P13=Dienste!#REF!,Dienste!#REF!,IF(P13=Dienste!#REF!,Dienste!#REF!,IF(P13=Dienste!$A$33,Dienste!$C$33,IF(P13=Dienste!$A$34,Dienste!$C$34,IF(P13=Dienste!$A$35,Dienste!$C$35,IF(P13=Dienste!$A$36,Dienste!$C$36,)))))))))))))))))))))))))))))))))))</f>
        <v>8</v>
      </c>
      <c r="BK13" s="27">
        <f>IF(Q13=Dienste!$A$2,Dienste!$C$2,IF(Q13=Dienste!$A$3,Dienste!$C$3,IF(Q13=Dienste!$A$4,Dienste!$C$4,IF(Q13=Dienste!$A$5,Dienste!$C$5,IF(Q13=Dienste!$A$6,Dienste!$C$6,IF(Q13=Dienste!$A$7,Dienste!$C$7,IF(Q13=Dienste!$A$8,Dienste!$C$8,IF(Q13=Dienste!$A$9,Dienste!$C$9,IF(Q13=Dienste!$A$10,Dienste!$C$10,IF(Q13=Dienste!$A$11,Dienste!$C$11,IF(Q13=Dienste!$A$12,Dienste!$C$12,IF(Q13=Dienste!$A$13,Dienste!$C$13,IF(Q13=Dienste!$A$14,Dienste!$C$14,IF(Q13=Dienste!$A$15,Dienste!$C$15,IF(Q13=Dienste!$A$16,Dienste!$C$16,IF(Q13=Dienste!$A$17,Dienste!$C$17,IF(Q13=Dienste!$A$18,Dienste!$C$18,IF(Q13=Dienste!$A$19,Dienste!$C$19,IF(Q13=Dienste!$A$20,Dienste!$C$20,IF(Q13=Dienste!$A$21,Dienste!$C$21,IF(Q13=Dienste!$A$22,Dienste!$C$22,IF(Q13=Dienste!$A$23,Dienste!$C$23,IF(Q13=Dienste!$A$24,Dienste!$C$24,IF(Q13=Dienste!$A$25,Dienste!$C$25,IF(Q13=Dienste!$A$26,Dienste!$C$26,IF(Q13=Dienste!$A$27,Dienste!$C$27,IF(Q13=Dienste!$A$28,Dienste!$C$28,IF(Q13=Dienste!#REF!,Dienste!#REF!,IF(Q13=Dienste!#REF!,Dienste!#REF!,IF(Q13=Dienste!#REF!,Dienste!#REF!,IF(Q13=Dienste!#REF!,Dienste!#REF!,IF(Q13=Dienste!$A$33,Dienste!$C$33,IF(Q13=Dienste!$A$34,Dienste!$C$34,IF(Q13=Dienste!$A$35,Dienste!$C$35,IF(Q13=Dienste!$A$36,Dienste!$C$36,)))))))))))))))))))))))))))))))))))</f>
        <v>8</v>
      </c>
      <c r="BL13" s="27">
        <f>IF(R13=Dienste!$A$2,Dienste!$C$2,IF(R13=Dienste!$A$3,Dienste!$C$3,IF(R13=Dienste!$A$4,Dienste!$C$4,IF(R13=Dienste!$A$5,Dienste!$C$5,IF(R13=Dienste!$A$6,Dienste!$C$6,IF(R13=Dienste!$A$7,Dienste!$C$7,IF(R13=Dienste!$A$8,Dienste!$C$8,IF(R13=Dienste!$A$9,Dienste!$C$9,IF(R13=Dienste!$A$10,Dienste!$C$10,IF(R13=Dienste!$A$11,Dienste!$C$11,IF(R13=Dienste!$A$12,Dienste!$C$12,IF(R13=Dienste!$A$13,Dienste!$C$13,IF(R13=Dienste!$A$14,Dienste!$C$14,IF(R13=Dienste!$A$15,Dienste!$C$15,IF(R13=Dienste!$A$16,Dienste!$C$16,IF(R13=Dienste!$A$17,Dienste!$C$17,IF(R13=Dienste!$A$18,Dienste!$C$18,IF(R13=Dienste!$A$19,Dienste!$C$19,IF(R13=Dienste!$A$20,Dienste!$C$20,IF(R13=Dienste!$A$21,Dienste!$C$21,IF(R13=Dienste!$A$22,Dienste!$C$22,IF(R13=Dienste!$A$23,Dienste!$C$23,IF(R13=Dienste!$A$24,Dienste!$C$24,IF(R13=Dienste!$A$25,Dienste!$C$25,IF(R13=Dienste!$A$26,Dienste!$C$26,IF(R13=Dienste!$A$27,Dienste!$C$27,IF(R13=Dienste!$A$28,Dienste!$C$28,IF(R13=Dienste!#REF!,Dienste!#REF!,IF(R13=Dienste!#REF!,Dienste!#REF!,IF(R13=Dienste!#REF!,Dienste!#REF!,IF(R13=Dienste!#REF!,Dienste!#REF!,IF(R13=Dienste!$A$33,Dienste!$C$33,IF(R13=Dienste!$A$34,Dienste!$C$34,IF(R13=Dienste!$A$35,Dienste!$C$35,IF(R13=Dienste!$A$36,Dienste!$C$36,)))))))))))))))))))))))))))))))))))</f>
        <v>0</v>
      </c>
      <c r="BM13" s="27">
        <f>IF(S13=Dienste!$A$2,Dienste!$C$2,IF(S13=Dienste!$A$3,Dienste!$C$3,IF(S13=Dienste!$A$4,Dienste!$C$4,IF(S13=Dienste!$A$5,Dienste!$C$5,IF(S13=Dienste!$A$6,Dienste!$C$6,IF(S13=Dienste!$A$7,Dienste!$C$7,IF(S13=Dienste!$A$8,Dienste!$C$8,IF(S13=Dienste!$A$9,Dienste!$C$9,IF(S13=Dienste!$A$10,Dienste!$C$10,IF(S13=Dienste!$A$11,Dienste!$C$11,IF(S13=Dienste!$A$12,Dienste!$C$12,IF(S13=Dienste!$A$13,Dienste!$C$13,IF(S13=Dienste!$A$14,Dienste!$C$14,IF(S13=Dienste!$A$15,Dienste!$C$15,IF(S13=Dienste!$A$16,Dienste!$C$16,IF(S13=Dienste!$A$17,Dienste!$C$17,IF(S13=Dienste!$A$18,Dienste!$C$18,IF(S13=Dienste!$A$19,Dienste!$C$19,IF(S13=Dienste!$A$20,Dienste!$C$20,IF(S13=Dienste!$A$21,Dienste!$C$21,IF(S13=Dienste!$A$22,Dienste!$C$22,IF(S13=Dienste!$A$23,Dienste!$C$23,IF(S13=Dienste!$A$24,Dienste!$C$24,IF(S13=Dienste!$A$25,Dienste!$C$25,IF(S13=Dienste!$A$26,Dienste!$C$26,IF(S13=Dienste!$A$27,Dienste!$C$27,IF(S13=Dienste!$A$28,Dienste!$C$28,IF(S13=Dienste!#REF!,Dienste!#REF!,IF(S13=Dienste!#REF!,Dienste!#REF!,IF(S13=Dienste!#REF!,Dienste!#REF!,IF(S13=Dienste!#REF!,Dienste!#REF!,IF(S13=Dienste!$A$33,Dienste!$C$33,IF(S13=Dienste!$A$34,Dienste!$C$34,IF(S13=Dienste!$A$35,Dienste!$C$35,IF(S13=Dienste!$A$36,Dienste!$C$36,)))))))))))))))))))))))))))))))))))</f>
        <v>0</v>
      </c>
      <c r="BN13" s="27">
        <f>IF(T13=Dienste!$A$2,Dienste!$C$2,IF(T13=Dienste!$A$3,Dienste!$C$3,IF(T13=Dienste!$A$4,Dienste!$C$4,IF(T13=Dienste!$A$5,Dienste!$C$5,IF(T13=Dienste!$A$6,Dienste!$C$6,IF(T13=Dienste!$A$7,Dienste!$C$7,IF(T13=Dienste!$A$8,Dienste!$C$8,IF(T13=Dienste!$A$9,Dienste!$C$9,IF(T13=Dienste!$A$10,Dienste!$C$10,IF(T13=Dienste!$A$11,Dienste!$C$11,IF(T13=Dienste!$A$12,Dienste!$C$12,IF(T13=Dienste!$A$13,Dienste!$C$13,IF(T13=Dienste!$A$14,Dienste!$C$14,IF(T13=Dienste!$A$15,Dienste!$C$15,IF(T13=Dienste!$A$16,Dienste!$C$16,IF(T13=Dienste!$A$17,Dienste!$C$17,IF(T13=Dienste!$A$18,Dienste!$C$18,IF(T13=Dienste!$A$19,Dienste!$C$19,IF(T13=Dienste!$A$20,Dienste!$C$20,IF(T13=Dienste!$A$21,Dienste!$C$21,IF(T13=Dienste!$A$22,Dienste!$C$22,IF(T13=Dienste!$A$23,Dienste!$C$23,IF(T13=Dienste!$A$24,Dienste!$C$24,IF(T13=Dienste!$A$25,Dienste!$C$25,IF(T13=Dienste!$A$26,Dienste!$C$26,IF(T13=Dienste!$A$27,Dienste!$C$27,IF(T13=Dienste!$A$28,Dienste!$C$28,IF(T13=Dienste!#REF!,Dienste!#REF!,IF(T13=Dienste!#REF!,Dienste!#REF!,IF(T13=Dienste!#REF!,Dienste!#REF!,IF(T13=Dienste!#REF!,Dienste!#REF!,IF(T13=Dienste!$A$33,Dienste!$C$33,IF(T13=Dienste!$A$34,Dienste!$C$34,IF(T13=Dienste!$A$35,Dienste!$C$35,IF(T13=Dienste!$A$36,Dienste!$C$36,)))))))))))))))))))))))))))))))))))</f>
        <v>8</v>
      </c>
      <c r="BO13" s="27">
        <f>IF(U13=Dienste!$A$2,Dienste!$C$2,IF(U13=Dienste!$A$3,Dienste!$C$3,IF(U13=Dienste!$A$4,Dienste!$C$4,IF(U13=Dienste!$A$5,Dienste!$C$5,IF(U13=Dienste!$A$6,Dienste!$C$6,IF(U13=Dienste!$A$7,Dienste!$C$7,IF(U13=Dienste!$A$8,Dienste!$C$8,IF(U13=Dienste!$A$9,Dienste!$C$9,IF(U13=Dienste!$A$10,Dienste!$C$10,IF(U13=Dienste!$A$11,Dienste!$C$11,IF(U13=Dienste!$A$12,Dienste!$C$12,IF(U13=Dienste!$A$13,Dienste!$C$13,IF(U13=Dienste!$A$14,Dienste!$C$14,IF(U13=Dienste!$A$15,Dienste!$C$15,IF(U13=Dienste!$A$16,Dienste!$C$16,IF(U13=Dienste!$A$17,Dienste!$C$17,IF(U13=Dienste!$A$18,Dienste!$C$18,IF(U13=Dienste!$A$19,Dienste!$C$19,IF(U13=Dienste!$A$20,Dienste!$C$20,IF(U13=Dienste!$A$21,Dienste!$C$21,IF(U13=Dienste!$A$22,Dienste!$C$22,IF(U13=Dienste!$A$23,Dienste!$C$23,IF(U13=Dienste!$A$24,Dienste!$C$24,IF(U13=Dienste!$A$25,Dienste!$C$25,IF(U13=Dienste!$A$26,Dienste!$C$26,IF(U13=Dienste!$A$27,Dienste!$C$27,IF(U13=Dienste!$A$28,Dienste!$C$28,IF(U13=Dienste!#REF!,Dienste!#REF!,IF(U13=Dienste!#REF!,Dienste!#REF!,IF(U13=Dienste!#REF!,Dienste!#REF!,IF(U13=Dienste!#REF!,Dienste!#REF!,IF(U13=Dienste!$A$33,Dienste!$C$33,IF(U13=Dienste!$A$34,Dienste!$C$34,IF(U13=Dienste!$A$35,Dienste!$C$35,IF(U13=Dienste!$A$36,Dienste!$C$36,)))))))))))))))))))))))))))))))))))</f>
        <v>8</v>
      </c>
      <c r="BP13" s="27">
        <f>IF(V13=Dienste!$A$2,Dienste!$C$2,IF(V13=Dienste!$A$3,Dienste!$C$3,IF(V13=Dienste!$A$4,Dienste!$C$4,IF(V13=Dienste!$A$5,Dienste!$C$5,IF(V13=Dienste!$A$6,Dienste!$C$6,IF(V13=Dienste!$A$7,Dienste!$C$7,IF(V13=Dienste!$A$8,Dienste!$C$8,IF(V13=Dienste!$A$9,Dienste!$C$9,IF(V13=Dienste!$A$10,Dienste!$C$10,IF(V13=Dienste!$A$11,Dienste!$C$11,IF(V13=Dienste!$A$12,Dienste!$C$12,IF(V13=Dienste!$A$13,Dienste!$C$13,IF(V13=Dienste!$A$14,Dienste!$C$14,IF(V13=Dienste!$A$15,Dienste!$C$15,IF(V13=Dienste!$A$16,Dienste!$C$16,IF(V13=Dienste!$A$17,Dienste!$C$17,IF(V13=Dienste!$A$18,Dienste!$C$18,IF(V13=Dienste!$A$19,Dienste!$C$19,IF(V13=Dienste!$A$20,Dienste!$C$20,IF(V13=Dienste!$A$21,Dienste!$C$21,IF(V13=Dienste!$A$22,Dienste!$C$22,IF(V13=Dienste!$A$23,Dienste!$C$23,IF(V13=Dienste!$A$24,Dienste!$C$24,IF(V13=Dienste!$A$25,Dienste!$C$25,IF(V13=Dienste!$A$26,Dienste!$C$26,IF(V13=Dienste!$A$27,Dienste!$C$27,IF(V13=Dienste!$A$28,Dienste!$C$28,IF(V13=Dienste!#REF!,Dienste!#REF!,IF(V13=Dienste!#REF!,Dienste!#REF!,IF(V13=Dienste!#REF!,Dienste!#REF!,IF(V13=Dienste!#REF!,Dienste!#REF!,IF(V13=Dienste!$A$33,Dienste!$C$33,IF(V13=Dienste!$A$34,Dienste!$C$34,IF(V13=Dienste!$A$35,Dienste!$C$35,IF(V13=Dienste!$A$36,Dienste!$C$36,)))))))))))))))))))))))))))))))))))</f>
        <v>8</v>
      </c>
      <c r="BQ13" s="27">
        <f>IF(W13=Dienste!$A$2,Dienste!$C$2,IF(W13=Dienste!$A$3,Dienste!$C$3,IF(W13=Dienste!$A$4,Dienste!$C$4,IF(W13=Dienste!$A$5,Dienste!$C$5,IF(W13=Dienste!$A$6,Dienste!$C$6,IF(W13=Dienste!$A$7,Dienste!$C$7,IF(W13=Dienste!$A$8,Dienste!$C$8,IF(W13=Dienste!$A$9,Dienste!$C$9,IF(W13=Dienste!$A$10,Dienste!$C$10,IF(W13=Dienste!$A$11,Dienste!$C$11,IF(W13=Dienste!$A$12,Dienste!$C$12,IF(W13=Dienste!$A$13,Dienste!$C$13,IF(W13=Dienste!$A$14,Dienste!$C$14,IF(W13=Dienste!$A$15,Dienste!$C$15,IF(W13=Dienste!$A$16,Dienste!$C$16,IF(W13=Dienste!$A$17,Dienste!$C$17,IF(W13=Dienste!$A$18,Dienste!$C$18,IF(W13=Dienste!$A$19,Dienste!$C$19,IF(W13=Dienste!$A$20,Dienste!$C$20,IF(W13=Dienste!$A$21,Dienste!$C$21,IF(W13=Dienste!$A$22,Dienste!$C$22,IF(W13=Dienste!$A$23,Dienste!$C$23,IF(W13=Dienste!$A$24,Dienste!$C$24,IF(W13=Dienste!$A$25,Dienste!$C$25,IF(W13=Dienste!$A$26,Dienste!$C$26,IF(W13=Dienste!$A$27,Dienste!$C$27,IF(W13=Dienste!$A$28,Dienste!$C$28,IF(W13=Dienste!#REF!,Dienste!#REF!,IF(W13=Dienste!#REF!,Dienste!#REF!,IF(W13=Dienste!#REF!,Dienste!#REF!,IF(W13=Dienste!#REF!,Dienste!#REF!,IF(W13=Dienste!$A$33,Dienste!$C$33,IF(W13=Dienste!$A$34,Dienste!$C$34,IF(W13=Dienste!$A$35,Dienste!$C$35,IF(W13=Dienste!$A$36,Dienste!$C$36,)))))))))))))))))))))))))))))))))))</f>
        <v>8</v>
      </c>
      <c r="BR13" s="27">
        <f>IF(X13=Dienste!$A$2,Dienste!$C$2,IF(X13=Dienste!$A$3,Dienste!$C$3,IF(X13=Dienste!$A$4,Dienste!$C$4,IF(X13=Dienste!$A$5,Dienste!$C$5,IF(X13=Dienste!$A$6,Dienste!$C$6,IF(X13=Dienste!$A$7,Dienste!$C$7,IF(X13=Dienste!$A$8,Dienste!$C$8,IF(X13=Dienste!$A$9,Dienste!$C$9,IF(X13=Dienste!$A$10,Dienste!$C$10,IF(X13=Dienste!$A$11,Dienste!$C$11,IF(X13=Dienste!$A$12,Dienste!$C$12,IF(X13=Dienste!$A$13,Dienste!$C$13,IF(X13=Dienste!$A$14,Dienste!$C$14,IF(X13=Dienste!$A$15,Dienste!$C$15,IF(X13=Dienste!$A$16,Dienste!$C$16,IF(X13=Dienste!$A$17,Dienste!$C$17,IF(X13=Dienste!$A$18,Dienste!$C$18,IF(X13=Dienste!$A$19,Dienste!$C$19,IF(X13=Dienste!$A$20,Dienste!$C$20,IF(X13=Dienste!$A$21,Dienste!$C$21,IF(X13=Dienste!$A$22,Dienste!$C$22,IF(X13=Dienste!$A$23,Dienste!$C$23,IF(X13=Dienste!$A$24,Dienste!$C$24,IF(X13=Dienste!$A$25,Dienste!$C$25,IF(X13=Dienste!$A$26,Dienste!$C$26,IF(X13=Dienste!$A$27,Dienste!$C$27,IF(X13=Dienste!$A$28,Dienste!$C$28,IF(X13=Dienste!#REF!,Dienste!#REF!,IF(X13=Dienste!#REF!,Dienste!#REF!,IF(X13=Dienste!#REF!,Dienste!#REF!,IF(X13=Dienste!#REF!,Dienste!#REF!,IF(X13=Dienste!$A$33,Dienste!$C$33,IF(X13=Dienste!$A$34,Dienste!$C$34,IF(X13=Dienste!$A$35,Dienste!$C$35,IF(X13=Dienste!$A$36,Dienste!$C$36,)))))))))))))))))))))))))))))))))))</f>
        <v>8</v>
      </c>
      <c r="BS13" s="27">
        <f>IF(Y13=Dienste!$A$2,Dienste!$C$2,IF(Y13=Dienste!$A$3,Dienste!$C$3,IF(Y13=Dienste!$A$4,Dienste!$C$4,IF(Y13=Dienste!$A$5,Dienste!$C$5,IF(Y13=Dienste!$A$6,Dienste!$C$6,IF(Y13=Dienste!$A$7,Dienste!$C$7,IF(Y13=Dienste!$A$8,Dienste!$C$8,IF(Y13=Dienste!$A$9,Dienste!$C$9,IF(Y13=Dienste!$A$10,Dienste!$C$10,IF(Y13=Dienste!$A$11,Dienste!$C$11,IF(Y13=Dienste!$A$12,Dienste!$C$12,IF(Y13=Dienste!$A$13,Dienste!$C$13,IF(Y13=Dienste!$A$14,Dienste!$C$14,IF(Y13=Dienste!$A$15,Dienste!$C$15,IF(Y13=Dienste!$A$16,Dienste!$C$16,IF(Y13=Dienste!$A$17,Dienste!$C$17,IF(Y13=Dienste!$A$18,Dienste!$C$18,IF(Y13=Dienste!$A$19,Dienste!$C$19,IF(Y13=Dienste!$A$20,Dienste!$C$20,IF(Y13=Dienste!$A$21,Dienste!$C$21,IF(Y13=Dienste!$A$22,Dienste!$C$22,IF(Y13=Dienste!$A$23,Dienste!$C$23,IF(Y13=Dienste!$A$24,Dienste!$C$24,IF(Y13=Dienste!$A$25,Dienste!$C$25,IF(Y13=Dienste!$A$26,Dienste!$C$26,IF(Y13=Dienste!$A$27,Dienste!$C$27,IF(Y13=Dienste!$A$28,Dienste!$C$28,IF(Y13=Dienste!#REF!,Dienste!#REF!,IF(Y13=Dienste!#REF!,Dienste!#REF!,IF(Y13=Dienste!#REF!,Dienste!#REF!,IF(Y13=Dienste!#REF!,Dienste!#REF!,IF(Y13=Dienste!$A$33,Dienste!$C$33,IF(Y13=Dienste!$A$34,Dienste!$C$34,IF(Y13=Dienste!$A$35,Dienste!$C$35,IF(Y13=Dienste!$A$36,Dienste!$C$36,)))))))))))))))))))))))))))))))))))</f>
        <v>0</v>
      </c>
      <c r="BT13" s="27">
        <f>IF(Z13=Dienste!$A$2,Dienste!$C$2,IF(Z13=Dienste!$A$3,Dienste!$C$3,IF(Z13=Dienste!$A$4,Dienste!$C$4,IF(Z13=Dienste!$A$5,Dienste!$C$5,IF(Z13=Dienste!$A$6,Dienste!$C$6,IF(Z13=Dienste!$A$7,Dienste!$C$7,IF(Z13=Dienste!$A$8,Dienste!$C$8,IF(Z13=Dienste!$A$9,Dienste!$C$9,IF(Z13=Dienste!$A$10,Dienste!$C$10,IF(Z13=Dienste!$A$11,Dienste!$C$11,IF(Z13=Dienste!$A$12,Dienste!$C$12,IF(Z13=Dienste!$A$13,Dienste!$C$13,IF(Z13=Dienste!$A$14,Dienste!$C$14,IF(Z13=Dienste!$A$15,Dienste!$C$15,IF(Z13=Dienste!$A$16,Dienste!$C$16,IF(Z13=Dienste!$A$17,Dienste!$C$17,IF(Z13=Dienste!$A$18,Dienste!$C$18,IF(Z13=Dienste!$A$19,Dienste!$C$19,IF(Z13=Dienste!$A$20,Dienste!$C$20,IF(Z13=Dienste!$A$21,Dienste!$C$21,IF(Z13=Dienste!$A$22,Dienste!$C$22,IF(Z13=Dienste!$A$23,Dienste!$C$23,IF(Z13=Dienste!$A$24,Dienste!$C$24,IF(Z13=Dienste!$A$25,Dienste!$C$25,IF(Z13=Dienste!$A$26,Dienste!$C$26,IF(Z13=Dienste!$A$27,Dienste!$C$27,IF(Z13=Dienste!$A$28,Dienste!$C$28,IF(Z13=Dienste!#REF!,Dienste!#REF!,IF(Z13=Dienste!#REF!,Dienste!#REF!,IF(Z13=Dienste!#REF!,Dienste!#REF!,IF(Z13=Dienste!#REF!,Dienste!#REF!,IF(Z13=Dienste!$A$33,Dienste!$C$33,IF(Z13=Dienste!$A$34,Dienste!$C$34,IF(Z13=Dienste!$A$35,Dienste!$C$35,IF(Z13=Dienste!$A$36,Dienste!$C$36,)))))))))))))))))))))))))))))))))))</f>
        <v>0</v>
      </c>
      <c r="BU13" s="27">
        <f>IF(AA13=Dienste!$A$2,Dienste!$C$2,IF(AA13=Dienste!$A$3,Dienste!$C$3,IF(AA13=Dienste!$A$4,Dienste!$C$4,IF(AA13=Dienste!$A$5,Dienste!$C$5,IF(AA13=Dienste!$A$6,Dienste!$C$6,IF(AA13=Dienste!$A$7,Dienste!$C$7,IF(AA13=Dienste!$A$8,Dienste!$C$8,IF(AA13=Dienste!$A$9,Dienste!$C$9,IF(AA13=Dienste!$A$10,Dienste!$C$10,IF(AA13=Dienste!$A$11,Dienste!$C$11,IF(AA13=Dienste!$A$12,Dienste!$C$12,IF(AA13=Dienste!$A$13,Dienste!$C$13,IF(AA13=Dienste!$A$14,Dienste!$C$14,IF(AA13=Dienste!$A$15,Dienste!$C$15,IF(AA13=Dienste!$A$16,Dienste!$C$16,IF(AA13=Dienste!$A$17,Dienste!$C$17,IF(AA13=Dienste!$A$18,Dienste!$C$18,IF(AA13=Dienste!$A$19,Dienste!$C$19,IF(AA13=Dienste!$A$20,Dienste!$C$20,IF(AA13=Dienste!$A$21,Dienste!$C$21,IF(AA13=Dienste!$A$22,Dienste!$C$22,IF(AA13=Dienste!$A$23,Dienste!$C$23,IF(AA13=Dienste!$A$24,Dienste!$C$24,IF(AA13=Dienste!$A$25,Dienste!$C$25,IF(AA13=Dienste!$A$26,Dienste!$C$26,IF(AA13=Dienste!$A$27,Dienste!$C$27,IF(AA13=Dienste!$A$28,Dienste!$C$28,IF(AA13=Dienste!#REF!,Dienste!#REF!,IF(AA13=Dienste!#REF!,Dienste!#REF!,IF(AA13=Dienste!#REF!,Dienste!#REF!,IF(AA13=Dienste!#REF!,Dienste!#REF!,IF(AA13=Dienste!$A$33,Dienste!$C$33,IF(AA13=Dienste!$A$34,Dienste!$C$34,IF(AA13=Dienste!$A$35,Dienste!$C$35,IF(AA13=Dienste!$A$36,Dienste!$C$36,)))))))))))))))))))))))))))))))))))</f>
        <v>8</v>
      </c>
      <c r="BV13" s="27">
        <f>IF(AB13=Dienste!$A$2,Dienste!$C$2,IF(AB13=Dienste!$A$3,Dienste!$C$3,IF(AB13=Dienste!$A$4,Dienste!$C$4,IF(AB13=Dienste!$A$5,Dienste!$C$5,IF(AB13=Dienste!$A$6,Dienste!$C$6,IF(AB13=Dienste!$A$7,Dienste!$C$7,IF(AB13=Dienste!$A$8,Dienste!$C$8,IF(AB13=Dienste!$A$9,Dienste!$C$9,IF(AB13=Dienste!$A$10,Dienste!$C$10,IF(AB13=Dienste!$A$11,Dienste!$C$11,IF(AB13=Dienste!$A$12,Dienste!$C$12,IF(AB13=Dienste!$A$13,Dienste!$C$13,IF(AB13=Dienste!$A$14,Dienste!$C$14,IF(AB13=Dienste!$A$15,Dienste!$C$15,IF(AB13=Dienste!$A$16,Dienste!$C$16,IF(AB13=Dienste!$A$17,Dienste!$C$17,IF(AB13=Dienste!$A$18,Dienste!$C$18,IF(AB13=Dienste!$A$19,Dienste!$C$19,IF(AB13=Dienste!$A$20,Dienste!$C$20,IF(AB13=Dienste!$A$21,Dienste!$C$21,IF(AB13=Dienste!$A$22,Dienste!$C$22,IF(AB13=Dienste!$A$23,Dienste!$C$23,IF(AB13=Dienste!$A$24,Dienste!$C$24,IF(AB13=Dienste!$A$25,Dienste!$C$25,IF(AB13=Dienste!$A$26,Dienste!$C$26,IF(AB13=Dienste!$A$27,Dienste!$C$27,IF(AB13=Dienste!$A$28,Dienste!$C$28,IF(AB13=Dienste!#REF!,Dienste!#REF!,IF(AB13=Dienste!#REF!,Dienste!#REF!,IF(AB13=Dienste!#REF!,Dienste!#REF!,IF(AB13=Dienste!#REF!,Dienste!#REF!,IF(AB13=Dienste!$A$33,Dienste!$C$33,IF(AB13=Dienste!$A$34,Dienste!$C$34,IF(AB13=Dienste!$A$35,Dienste!$C$35,IF(AB13=Dienste!$A$36,Dienste!$C$36,)))))))))))))))))))))))))))))))))))</f>
        <v>8</v>
      </c>
      <c r="BW13" s="27">
        <f>IF(AC13=Dienste!$A$2,Dienste!$C$2,IF(AC13=Dienste!$A$3,Dienste!$C$3,IF(AC13=Dienste!$A$4,Dienste!$C$4,IF(AC13=Dienste!$A$5,Dienste!$C$5,IF(AC13=Dienste!$A$6,Dienste!$C$6,IF(AC13=Dienste!$A$7,Dienste!$C$7,IF(AC13=Dienste!$A$8,Dienste!$C$8,IF(AC13=Dienste!$A$9,Dienste!$C$9,IF(AC13=Dienste!$A$10,Dienste!$C$10,IF(AC13=Dienste!$A$11,Dienste!$C$11,IF(AC13=Dienste!$A$12,Dienste!$C$12,IF(AC13=Dienste!$A$13,Dienste!$C$13,IF(AC13=Dienste!$A$14,Dienste!$C$14,IF(AC13=Dienste!$A$15,Dienste!$C$15,IF(AC13=Dienste!$A$16,Dienste!$C$16,IF(AC13=Dienste!$A$17,Dienste!$C$17,IF(AC13=Dienste!$A$18,Dienste!$C$18,IF(AC13=Dienste!$A$19,Dienste!$C$19,IF(AC13=Dienste!$A$20,Dienste!$C$20,IF(AC13=Dienste!$A$21,Dienste!$C$21,IF(AC13=Dienste!$A$22,Dienste!$C$22,IF(AC13=Dienste!$A$23,Dienste!$C$23,IF(AC13=Dienste!$A$24,Dienste!$C$24,IF(AC13=Dienste!$A$25,Dienste!$C$25,IF(AC13=Dienste!$A$26,Dienste!$C$26,IF(AC13=Dienste!$A$27,Dienste!$C$27,IF(AC13=Dienste!$A$28,Dienste!$C$28,IF(AC13=Dienste!#REF!,Dienste!#REF!,IF(AC13=Dienste!#REF!,Dienste!#REF!,IF(AC13=Dienste!#REF!,Dienste!#REF!,IF(AC13=Dienste!#REF!,Dienste!#REF!,IF(AC13=Dienste!$A$33,Dienste!$C$33,IF(AC13=Dienste!$A$34,Dienste!$C$34,IF(AC13=Dienste!$A$35,Dienste!$C$35,IF(AC13=Dienste!$A$36,Dienste!$C$36,)))))))))))))))))))))))))))))))))))</f>
        <v>8</v>
      </c>
      <c r="BX13" s="27">
        <f>IF(AD13=Dienste!$A$2,Dienste!$C$2,IF(AD13=Dienste!$A$3,Dienste!$C$3,IF(AD13=Dienste!$A$4,Dienste!$C$4,IF(AD13=Dienste!$A$5,Dienste!$C$5,IF(AD13=Dienste!$A$6,Dienste!$C$6,IF(AD13=Dienste!$A$7,Dienste!$C$7,IF(AD13=Dienste!$A$8,Dienste!$C$8,IF(AD13=Dienste!$A$9,Dienste!$C$9,IF(AD13=Dienste!$A$10,Dienste!$C$10,IF(AD13=Dienste!$A$11,Dienste!$C$11,IF(AD13=Dienste!$A$12,Dienste!$C$12,IF(AD13=Dienste!$A$13,Dienste!$C$13,IF(AD13=Dienste!$A$14,Dienste!$C$14,IF(AD13=Dienste!$A$15,Dienste!$C$15,IF(AD13=Dienste!$A$16,Dienste!$C$16,IF(AD13=Dienste!$A$17,Dienste!$C$17,IF(AD13=Dienste!$A$18,Dienste!$C$18,IF(AD13=Dienste!$A$19,Dienste!$C$19,IF(AD13=Dienste!$A$20,Dienste!$C$20,IF(AD13=Dienste!$A$21,Dienste!$C$21,IF(AD13=Dienste!$A$22,Dienste!$C$22,IF(AD13=Dienste!$A$23,Dienste!$C$23,IF(AD13=Dienste!$A$24,Dienste!$C$24,IF(AD13=Dienste!$A$25,Dienste!$C$25,IF(AD13=Dienste!$A$26,Dienste!$C$26,IF(AD13=Dienste!$A$27,Dienste!$C$27,IF(AD13=Dienste!$A$28,Dienste!$C$28,IF(AD13=Dienste!#REF!,Dienste!#REF!,IF(AD13=Dienste!#REF!,Dienste!#REF!,IF(AD13=Dienste!#REF!,Dienste!#REF!,IF(AD13=Dienste!#REF!,Dienste!#REF!,IF(AD13=Dienste!$A$33,Dienste!$C$33,IF(AD13=Dienste!$A$34,Dienste!$C$34,IF(AD13=Dienste!$A$35,Dienste!$C$35,IF(AD13=Dienste!$A$36,Dienste!$C$36,)))))))))))))))))))))))))))))))))))</f>
        <v>8</v>
      </c>
      <c r="BY13" s="27">
        <f>IF(AE13=Dienste!$A$2,Dienste!$C$2,IF(AE13=Dienste!$A$3,Dienste!$C$3,IF(AE13=Dienste!$A$4,Dienste!$C$4,IF(AE13=Dienste!$A$5,Dienste!$C$5,IF(AE13=Dienste!$A$6,Dienste!$C$6,IF(AE13=Dienste!$A$7,Dienste!$C$7,IF(AE13=Dienste!$A$8,Dienste!$C$8,IF(AE13=Dienste!$A$9,Dienste!$C$9,IF(AE13=Dienste!$A$10,Dienste!$C$10,IF(AE13=Dienste!$A$11,Dienste!$C$11,IF(AE13=Dienste!$A$12,Dienste!$C$12,IF(AE13=Dienste!$A$13,Dienste!$C$13,IF(AE13=Dienste!$A$14,Dienste!$C$14,IF(AE13=Dienste!$A$15,Dienste!$C$15,IF(AE13=Dienste!$A$16,Dienste!$C$16,IF(AE13=Dienste!$A$17,Dienste!$C$17,IF(AE13=Dienste!$A$18,Dienste!$C$18,IF(AE13=Dienste!$A$19,Dienste!$C$19,IF(AE13=Dienste!$A$20,Dienste!$C$20,IF(AE13=Dienste!$A$21,Dienste!$C$21,IF(AE13=Dienste!$A$22,Dienste!$C$22,IF(AE13=Dienste!$A$23,Dienste!$C$23,IF(AE13=Dienste!$A$24,Dienste!$C$24,IF(AE13=Dienste!$A$25,Dienste!$C$25,IF(AE13=Dienste!$A$26,Dienste!$C$26,IF(AE13=Dienste!$A$27,Dienste!$C$27,IF(AE13=Dienste!$A$28,Dienste!$C$28,IF(AE13=Dienste!#REF!,Dienste!#REF!,IF(AE13=Dienste!#REF!,Dienste!#REF!,IF(AE13=Dienste!#REF!,Dienste!#REF!,IF(AE13=Dienste!#REF!,Dienste!#REF!,IF(AE13=Dienste!$A$33,Dienste!$C$33,IF(AE13=Dienste!$A$34,Dienste!$C$34,IF(AE13=Dienste!$A$35,Dienste!$C$35,IF(AE13=Dienste!$A$36,Dienste!$C$36,)))))))))))))))))))))))))))))))))))</f>
        <v>8</v>
      </c>
      <c r="BZ13" s="27">
        <f>IF(AF13=Dienste!$A$2,Dienste!$C$2,IF(AF13=Dienste!$A$3,Dienste!$C$3,IF(AF13=Dienste!$A$4,Dienste!$C$4,IF(AF13=Dienste!$A$5,Dienste!$C$5,IF(AF13=Dienste!$A$6,Dienste!$C$6,IF(AF13=Dienste!$A$7,Dienste!$C$7,IF(AF13=Dienste!$A$8,Dienste!$C$8,IF(AF13=Dienste!$A$9,Dienste!$C$9,IF(AF13=Dienste!$A$10,Dienste!$C$10,IF(AF13=Dienste!$A$11,Dienste!$C$11,IF(AF13=Dienste!$A$12,Dienste!$C$12,IF(AF13=Dienste!$A$13,Dienste!$C$13,IF(AF13=Dienste!$A$14,Dienste!$C$14,IF(AF13=Dienste!$A$15,Dienste!$C$15,IF(AF13=Dienste!$A$16,Dienste!$C$16,IF(AF13=Dienste!$A$17,Dienste!$C$17,IF(AF13=Dienste!$A$18,Dienste!$C$18,IF(AF13=Dienste!$A$19,Dienste!$C$19,IF(AF13=Dienste!$A$20,Dienste!$C$20,IF(AF13=Dienste!$A$21,Dienste!$C$21,IF(AF13=Dienste!$A$22,Dienste!$C$22,IF(AF13=Dienste!$A$23,Dienste!$C$23,IF(AF13=Dienste!$A$24,Dienste!$C$24,IF(AF13=Dienste!$A$25,Dienste!$C$25,IF(AF13=Dienste!$A$26,Dienste!$C$26,IF(AF13=Dienste!$A$27,Dienste!$C$27,IF(AF13=Dienste!$A$28,Dienste!$C$28,IF(AF13=Dienste!#REF!,Dienste!#REF!,IF(AF13=Dienste!#REF!,Dienste!#REF!,IF(AF13=Dienste!#REF!,Dienste!#REF!,IF(AF13=Dienste!#REF!,Dienste!#REF!,IF(AF13=Dienste!$A$33,Dienste!$C$33,IF(AF13=Dienste!$A$34,Dienste!$C$34,IF(AF13=Dienste!$A$35,Dienste!$C$35,IF(AF13=Dienste!$A$36,Dienste!$C$36,)))))))))))))))))))))))))))))))))))</f>
        <v>0</v>
      </c>
      <c r="CA13" s="27">
        <f>IF(AG13=Dienste!$A$2,Dienste!$C$2,IF(AG13=Dienste!$A$3,Dienste!$C$3,IF(AG13=Dienste!$A$4,Dienste!$C$4,IF(AG13=Dienste!$A$5,Dienste!$C$5,IF(AG13=Dienste!$A$6,Dienste!$C$6,IF(AG13=Dienste!$A$7,Dienste!$C$7,IF(AG13=Dienste!$A$8,Dienste!$C$8,IF(AG13=Dienste!$A$9,Dienste!$C$9,IF(AG13=Dienste!$A$10,Dienste!$C$10,IF(AG13=Dienste!$A$11,Dienste!$C$11,IF(AG13=Dienste!$A$12,Dienste!$C$12,IF(AG13=Dienste!$A$13,Dienste!$C$13,IF(AG13=Dienste!$A$14,Dienste!$C$14,IF(AG13=Dienste!$A$15,Dienste!$C$15,IF(AG13=Dienste!$A$16,Dienste!$C$16,IF(AG13=Dienste!$A$17,Dienste!$C$17,IF(AG13=Dienste!$A$18,Dienste!$C$18,IF(AG13=Dienste!$A$19,Dienste!$C$19,IF(AG13=Dienste!$A$20,Dienste!$C$20,IF(AG13=Dienste!$A$21,Dienste!$C$21,IF(AG13=Dienste!$A$22,Dienste!$C$22,IF(AG13=Dienste!$A$23,Dienste!$C$23,IF(AG13=Dienste!$A$24,Dienste!$C$24,IF(AG13=Dienste!$A$25,Dienste!$C$25,IF(AG13=Dienste!$A$26,Dienste!$C$26,IF(AG13=Dienste!$A$27,Dienste!$C$27,IF(AG13=Dienste!$A$28,Dienste!$C$28,IF(AG13=Dienste!#REF!,Dienste!#REF!,IF(AG13=Dienste!#REF!,Dienste!#REF!,IF(AG13=Dienste!#REF!,Dienste!#REF!,IF(AG13=Dienste!#REF!,Dienste!#REF!,IF(AG13=Dienste!$A$33,Dienste!$C$33,IF(AG13=Dienste!$A$34,Dienste!$C$34,IF(AG13=Dienste!$A$35,Dienste!$C$35,IF(AG13=Dienste!$A$36,Dienste!$C$36,)))))))))))))))))))))))))))))))))))</f>
        <v>0</v>
      </c>
      <c r="CB13" s="27">
        <f>IF(AH13=Dienste!$A$2,Dienste!$C$2,IF(AH13=Dienste!$A$3,Dienste!$C$3,IF(AH13=Dienste!$A$4,Dienste!$C$4,IF(AH13=Dienste!$A$5,Dienste!$C$5,IF(AH13=Dienste!$A$6,Dienste!$C$6,IF(AH13=Dienste!$A$7,Dienste!$C$7,IF(AH13=Dienste!$A$8,Dienste!$C$8,IF(AH13=Dienste!$A$9,Dienste!$C$9,IF(AH13=Dienste!$A$10,Dienste!$C$10,IF(AH13=Dienste!$A$11,Dienste!$C$11,IF(AH13=Dienste!$A$12,Dienste!$C$12,IF(AH13=Dienste!$A$13,Dienste!$C$13,IF(AH13=Dienste!$A$14,Dienste!$C$14,IF(AH13=Dienste!$A$15,Dienste!$C$15,IF(AH13=Dienste!$A$16,Dienste!$C$16,IF(AH13=Dienste!$A$17,Dienste!$C$17,IF(AH13=Dienste!$A$18,Dienste!$C$18,IF(AH13=Dienste!$A$19,Dienste!$C$19,IF(AH13=Dienste!$A$20,Dienste!$C$20,IF(AH13=Dienste!$A$21,Dienste!$C$21,IF(AH13=Dienste!$A$22,Dienste!$C$22,IF(AH13=Dienste!$A$23,Dienste!$C$23,IF(AH13=Dienste!$A$24,Dienste!$C$24,IF(AH13=Dienste!$A$25,Dienste!$C$25,IF(AH13=Dienste!$A$26,Dienste!$C$26,IF(AH13=Dienste!$A$27,Dienste!$C$27,IF(AH13=Dienste!$A$28,Dienste!$C$28,IF(AH13=Dienste!#REF!,Dienste!#REF!,IF(AH13=Dienste!#REF!,Dienste!#REF!,IF(AH13=Dienste!#REF!,Dienste!#REF!,IF(AH13=Dienste!#REF!,Dienste!#REF!,IF(AH13=Dienste!$A$33,Dienste!$C$33,IF(AH13=Dienste!$A$34,Dienste!$C$34,IF(AH13=Dienste!$A$35,Dienste!$C$35,IF(AH13=Dienste!$A$36,Dienste!$C$36,)))))))))))))))))))))))))))))))))))</f>
        <v>8</v>
      </c>
      <c r="CC13" s="27" t="e">
        <f>IF(AI13=Dienste!$A$2,Dienste!$C$2,IF(AI13=Dienste!$A$3,Dienste!$C$3,IF(AI13=Dienste!$A$4,Dienste!$C$4,IF(AI13=Dienste!$A$5,Dienste!$C$5,IF(AI13=Dienste!$A$6,Dienste!$C$6,IF(AI13=Dienste!$A$7,Dienste!$C$7,IF(AI13=Dienste!$A$8,Dienste!$C$8,IF(AI13=Dienste!$A$9,Dienste!$C$9,IF(AI13=Dienste!$A$10,Dienste!$C$10,IF(AI13=Dienste!$A$11,Dienste!$C$11,IF(AI13=Dienste!$A$12,Dienste!$C$12,IF(AI13=Dienste!$A$13,Dienste!$C$13,IF(AI13=Dienste!$A$14,Dienste!$C$14,IF(AI13=Dienste!$A$15,Dienste!$C$15,IF(AI13=Dienste!$A$16,Dienste!$C$16,IF(AI13=Dienste!$A$17,Dienste!$C$17,IF(AI13=Dienste!$A$18,Dienste!$C$18,IF(AI13=Dienste!$A$19,Dienste!$C$19,IF(AI13=Dienste!$A$20,Dienste!$C$20,IF(AI13=Dienste!$A$21,Dienste!$C$21,IF(AI13=Dienste!$A$22,Dienste!$C$22,IF(AI13=Dienste!$A$23,Dienste!$C$23,IF(AI13=Dienste!$A$24,Dienste!$C$24,IF(AI13=Dienste!$A$25,Dienste!$C$25,IF(AI13=Dienste!$A$26,Dienste!$C$26,IF(AI13=Dienste!$A$27,Dienste!$C$27,IF(AI13=Dienste!$A$28,Dienste!$C$28,IF(AI13=Dienste!#REF!,Dienste!#REF!,IF(AI13=Dienste!#REF!,Dienste!#REF!,IF(AI13=Dienste!#REF!,Dienste!#REF!,IF(AI13=Dienste!#REF!,Dienste!#REF!,IF(AI13=Dienste!$A$33,Dienste!$C$33,IF(AI13=Dienste!$A$34,Dienste!$C$34,IF(AI13=Dienste!$A$35,Dienste!$C$35,IF(AI13=Dienste!$A$36,Dienste!$C$36,)))))))))))))))))))))))))))))))))))</f>
        <v>#REF!</v>
      </c>
    </row>
    <row r="14" spans="1:81" x14ac:dyDescent="0.25">
      <c r="A14" s="109" t="s">
        <v>131</v>
      </c>
      <c r="B14" s="15" t="s">
        <v>231</v>
      </c>
      <c r="C14" s="15">
        <v>40</v>
      </c>
      <c r="D14" s="98">
        <v>0</v>
      </c>
      <c r="E14" s="104" t="s">
        <v>83</v>
      </c>
      <c r="F14" s="9" t="s">
        <v>32</v>
      </c>
      <c r="G14" s="9" t="s">
        <v>26</v>
      </c>
      <c r="H14" s="9" t="s">
        <v>31</v>
      </c>
      <c r="I14" s="9" t="s">
        <v>53</v>
      </c>
      <c r="J14" s="9" t="s">
        <v>65</v>
      </c>
      <c r="K14" s="9" t="s">
        <v>83</v>
      </c>
      <c r="L14" s="9" t="s">
        <v>83</v>
      </c>
      <c r="M14" s="9" t="s">
        <v>365</v>
      </c>
      <c r="N14" s="9" t="s">
        <v>31</v>
      </c>
      <c r="O14" s="9" t="s">
        <v>31</v>
      </c>
      <c r="P14" s="9" t="s">
        <v>26</v>
      </c>
      <c r="Q14" s="9" t="s">
        <v>53</v>
      </c>
      <c r="R14" s="9" t="s">
        <v>83</v>
      </c>
      <c r="S14" s="9" t="s">
        <v>83</v>
      </c>
      <c r="T14" s="9" t="s">
        <v>32</v>
      </c>
      <c r="U14" s="9" t="s">
        <v>26</v>
      </c>
      <c r="V14" s="9" t="s">
        <v>32</v>
      </c>
      <c r="W14" s="9" t="s">
        <v>31</v>
      </c>
      <c r="X14" s="9" t="s">
        <v>31</v>
      </c>
      <c r="Y14" s="9" t="s">
        <v>83</v>
      </c>
      <c r="Z14" s="9" t="s">
        <v>83</v>
      </c>
      <c r="AA14" s="9" t="s">
        <v>365</v>
      </c>
      <c r="AB14" s="9" t="s">
        <v>43</v>
      </c>
      <c r="AC14" s="9" t="s">
        <v>6</v>
      </c>
      <c r="AD14" s="9" t="s">
        <v>31</v>
      </c>
      <c r="AE14" s="9" t="s">
        <v>17</v>
      </c>
      <c r="AF14" s="9" t="s">
        <v>83</v>
      </c>
      <c r="AG14" s="9" t="s">
        <v>38</v>
      </c>
      <c r="AH14" s="9" t="s">
        <v>32</v>
      </c>
      <c r="AI14" s="15"/>
      <c r="AJ14" s="109">
        <v>7.7</v>
      </c>
      <c r="AK14" s="15">
        <v>168</v>
      </c>
      <c r="AL14" s="109">
        <v>170</v>
      </c>
      <c r="AM14" s="15">
        <v>9.6999999999999993</v>
      </c>
      <c r="AN14" s="170">
        <v>2</v>
      </c>
      <c r="AO14" s="109">
        <v>29.35</v>
      </c>
      <c r="AP14" s="15">
        <v>5</v>
      </c>
      <c r="AQ14" s="98">
        <v>2</v>
      </c>
      <c r="AR14" s="109">
        <v>48</v>
      </c>
      <c r="AS14" s="15">
        <v>43.273076923076921</v>
      </c>
      <c r="AT14" s="98">
        <v>26</v>
      </c>
      <c r="AU14" s="96" t="e">
        <f t="shared" si="2"/>
        <v>#REF!</v>
      </c>
      <c r="AV14" s="27" t="e">
        <f t="shared" si="0"/>
        <v>#REF!</v>
      </c>
      <c r="AW14" s="58" t="e">
        <f t="shared" si="1"/>
        <v>#REF!</v>
      </c>
      <c r="AY14" s="27">
        <f>IF(E14=Dienste!$A$2,Dienste!$C$2,IF(E14=Dienste!$A$3,Dienste!$C$3,IF(E14=Dienste!$A$4,Dienste!$C$4,IF(E14=Dienste!$A$5,Dienste!$C$5,IF(E14=Dienste!$A$6,Dienste!$C$6,IF(E14=Dienste!$A$7,Dienste!$C$7,IF(E14=Dienste!$A$8,Dienste!$C$8,IF(E14=Dienste!$A$9,Dienste!$C$9,IF(E14=Dienste!$A$10,Dienste!$C$10,IF(E14=Dienste!$A$11,Dienste!$C$11,IF(E14=Dienste!$A$12,Dienste!$C$12,IF(E14=Dienste!$A$13,Dienste!$C$13,IF(E14=Dienste!$A$14,Dienste!$C$14,IF(E14=Dienste!$A$15,Dienste!$C$15,IF(E14=Dienste!$A$16,Dienste!$C$16,IF(E14=Dienste!$A$17,Dienste!$C$17,IF(E14=Dienste!$A$18,Dienste!$C$18,IF(E14=Dienste!$A$19,Dienste!$C$19,IF(E14=Dienste!$A$20,Dienste!$C$20,IF(E14=Dienste!$A$21,Dienste!$C$21,IF(E14=Dienste!$A$22,Dienste!$C$22,IF(E14=Dienste!$A$23,Dienste!$C$23,IF(E14=Dienste!$A$24,Dienste!$C$24,IF(E14=Dienste!$A$25,Dienste!$C$25,IF(E14=Dienste!$A$26,Dienste!$C$26,IF(E14=Dienste!$A$27,Dienste!$C$27,IF(E14=Dienste!$A$28,Dienste!$C$28,IF(E14=Dienste!#REF!,Dienste!#REF!,IF(E14=Dienste!#REF!,Dienste!#REF!,IF(E14=Dienste!#REF!,Dienste!#REF!,IF(E14=Dienste!#REF!,Dienste!#REF!,IF(E14=Dienste!$A$33,Dienste!$C$33,IF(E14=Dienste!$A$34,Dienste!$C$34,IF(E14=Dienste!$A$35,Dienste!$C$35,IF(E14=Dienste!$A$36,Dienste!$C$36,)))))))))))))))))))))))))))))))))))</f>
        <v>0</v>
      </c>
      <c r="AZ14" s="27">
        <f>IF(F14=Dienste!$A$2,Dienste!$C$2,IF(F14=Dienste!$A$3,Dienste!$C$3,IF(F14=Dienste!$A$4,Dienste!$C$4,IF(F14=Dienste!$A$5,Dienste!$C$5,IF(F14=Dienste!$A$6,Dienste!$C$6,IF(F14=Dienste!$A$7,Dienste!$C$7,IF(F14=Dienste!$A$8,Dienste!$C$8,IF(F14=Dienste!$A$9,Dienste!$C$9,IF(F14=Dienste!$A$10,Dienste!$C$10,IF(F14=Dienste!$A$11,Dienste!$C$11,IF(F14=Dienste!$A$12,Dienste!$C$12,IF(F14=Dienste!$A$13,Dienste!$C$13,IF(F14=Dienste!$A$14,Dienste!$C$14,IF(F14=Dienste!$A$15,Dienste!$C$15,IF(F14=Dienste!$A$16,Dienste!$C$16,IF(F14=Dienste!$A$17,Dienste!$C$17,IF(F14=Dienste!$A$18,Dienste!$C$18,IF(F14=Dienste!$A$19,Dienste!$C$19,IF(F14=Dienste!$A$20,Dienste!$C$20,IF(F14=Dienste!$A$21,Dienste!$C$21,IF(F14=Dienste!$A$22,Dienste!$C$22,IF(F14=Dienste!$A$23,Dienste!$C$23,IF(F14=Dienste!$A$24,Dienste!$C$24,IF(F14=Dienste!$A$25,Dienste!$C$25,IF(F14=Dienste!$A$26,Dienste!$C$26,IF(F14=Dienste!$A$27,Dienste!$C$27,IF(F14=Dienste!$A$28,Dienste!$C$28,IF(F14=Dienste!#REF!,Dienste!#REF!,IF(F14=Dienste!#REF!,Dienste!#REF!,IF(F14=Dienste!#REF!,Dienste!#REF!,IF(F14=Dienste!#REF!,Dienste!#REF!,IF(F14=Dienste!$A$33,Dienste!$C$33,IF(F14=Dienste!$A$34,Dienste!$C$34,IF(F14=Dienste!$A$35,Dienste!$C$35,IF(F14=Dienste!$A$36,Dienste!$C$36,)))))))))))))))))))))))))))))))))))</f>
        <v>8</v>
      </c>
      <c r="BA14" s="27">
        <f>IF(G14=Dienste!$A$2,Dienste!$C$2,IF(G14=Dienste!$A$3,Dienste!$C$3,IF(G14=Dienste!$A$4,Dienste!$C$4,IF(G14=Dienste!$A$5,Dienste!$C$5,IF(G14=Dienste!$A$6,Dienste!$C$6,IF(G14=Dienste!$A$7,Dienste!$C$7,IF(G14=Dienste!$A$8,Dienste!$C$8,IF(G14=Dienste!$A$9,Dienste!$C$9,IF(G14=Dienste!$A$10,Dienste!$C$10,IF(G14=Dienste!$A$11,Dienste!$C$11,IF(G14=Dienste!$A$12,Dienste!$C$12,IF(G14=Dienste!$A$13,Dienste!$C$13,IF(G14=Dienste!$A$14,Dienste!$C$14,IF(G14=Dienste!$A$15,Dienste!$C$15,IF(G14=Dienste!$A$16,Dienste!$C$16,IF(G14=Dienste!$A$17,Dienste!$C$17,IF(G14=Dienste!$A$18,Dienste!$C$18,IF(G14=Dienste!$A$19,Dienste!$C$19,IF(G14=Dienste!$A$20,Dienste!$C$20,IF(G14=Dienste!$A$21,Dienste!$C$21,IF(G14=Dienste!$A$22,Dienste!$C$22,IF(G14=Dienste!$A$23,Dienste!$C$23,IF(G14=Dienste!$A$24,Dienste!$C$24,IF(G14=Dienste!$A$25,Dienste!$C$25,IF(G14=Dienste!$A$26,Dienste!$C$26,IF(G14=Dienste!$A$27,Dienste!$C$27,IF(G14=Dienste!$A$28,Dienste!$C$28,IF(G14=Dienste!#REF!,Dienste!#REF!,IF(G14=Dienste!#REF!,Dienste!#REF!,IF(G14=Dienste!#REF!,Dienste!#REF!,IF(G14=Dienste!#REF!,Dienste!#REF!,IF(G14=Dienste!$A$33,Dienste!$C$33,IF(G14=Dienste!$A$34,Dienste!$C$34,IF(G14=Dienste!$A$35,Dienste!$C$35,IF(G14=Dienste!$A$36,Dienste!$C$36,)))))))))))))))))))))))))))))))))))</f>
        <v>8</v>
      </c>
      <c r="BB14" s="27">
        <f>IF(H14=Dienste!$A$2,Dienste!$C$2,IF(H14=Dienste!$A$3,Dienste!$C$3,IF(H14=Dienste!$A$4,Dienste!$C$4,IF(H14=Dienste!$A$5,Dienste!$C$5,IF(H14=Dienste!$A$6,Dienste!$C$6,IF(H14=Dienste!$A$7,Dienste!$C$7,IF(H14=Dienste!$A$8,Dienste!$C$8,IF(H14=Dienste!$A$9,Dienste!$C$9,IF(H14=Dienste!$A$10,Dienste!$C$10,IF(H14=Dienste!$A$11,Dienste!$C$11,IF(H14=Dienste!$A$12,Dienste!$C$12,IF(H14=Dienste!$A$13,Dienste!$C$13,IF(H14=Dienste!$A$14,Dienste!$C$14,IF(H14=Dienste!$A$15,Dienste!$C$15,IF(H14=Dienste!$A$16,Dienste!$C$16,IF(H14=Dienste!$A$17,Dienste!$C$17,IF(H14=Dienste!$A$18,Dienste!$C$18,IF(H14=Dienste!$A$19,Dienste!$C$19,IF(H14=Dienste!$A$20,Dienste!$C$20,IF(H14=Dienste!$A$21,Dienste!$C$21,IF(H14=Dienste!$A$22,Dienste!$C$22,IF(H14=Dienste!$A$23,Dienste!$C$23,IF(H14=Dienste!$A$24,Dienste!$C$24,IF(H14=Dienste!$A$25,Dienste!$C$25,IF(H14=Dienste!$A$26,Dienste!$C$26,IF(H14=Dienste!$A$27,Dienste!$C$27,IF(H14=Dienste!$A$28,Dienste!$C$28,IF(H14=Dienste!#REF!,Dienste!#REF!,IF(H14=Dienste!#REF!,Dienste!#REF!,IF(H14=Dienste!#REF!,Dienste!#REF!,IF(H14=Dienste!#REF!,Dienste!#REF!,IF(H14=Dienste!$A$33,Dienste!$C$33,IF(H14=Dienste!$A$34,Dienste!$C$34,IF(H14=Dienste!$A$35,Dienste!$C$35,IF(H14=Dienste!$A$36,Dienste!$C$36,)))))))))))))))))))))))))))))))))))</f>
        <v>8</v>
      </c>
      <c r="BC14" s="27">
        <f>IF(I14=Dienste!$A$2,Dienste!$C$2,IF(I14=Dienste!$A$3,Dienste!$C$3,IF(I14=Dienste!$A$4,Dienste!$C$4,IF(I14=Dienste!$A$5,Dienste!$C$5,IF(I14=Dienste!$A$6,Dienste!$C$6,IF(I14=Dienste!$A$7,Dienste!$C$7,IF(I14=Dienste!$A$8,Dienste!$C$8,IF(I14=Dienste!$A$9,Dienste!$C$9,IF(I14=Dienste!$A$10,Dienste!$C$10,IF(I14=Dienste!$A$11,Dienste!$C$11,IF(I14=Dienste!$A$12,Dienste!$C$12,IF(I14=Dienste!$A$13,Dienste!$C$13,IF(I14=Dienste!$A$14,Dienste!$C$14,IF(I14=Dienste!$A$15,Dienste!$C$15,IF(I14=Dienste!$A$16,Dienste!$C$16,IF(I14=Dienste!$A$17,Dienste!$C$17,IF(I14=Dienste!$A$18,Dienste!$C$18,IF(I14=Dienste!$A$19,Dienste!$C$19,IF(I14=Dienste!$A$20,Dienste!$C$20,IF(I14=Dienste!$A$21,Dienste!$C$21,IF(I14=Dienste!$A$22,Dienste!$C$22,IF(I14=Dienste!$A$23,Dienste!$C$23,IF(I14=Dienste!$A$24,Dienste!$C$24,IF(I14=Dienste!$A$25,Dienste!$C$25,IF(I14=Dienste!$A$26,Dienste!$C$26,IF(I14=Dienste!$A$27,Dienste!$C$27,IF(I14=Dienste!$A$28,Dienste!$C$28,IF(I14=Dienste!#REF!,Dienste!#REF!,IF(I14=Dienste!#REF!,Dienste!#REF!,IF(I14=Dienste!#REF!,Dienste!#REF!,IF(I14=Dienste!#REF!,Dienste!#REF!,IF(I14=Dienste!$A$33,Dienste!$C$33,IF(I14=Dienste!$A$34,Dienste!$C$34,IF(I14=Dienste!$A$35,Dienste!$C$35,IF(I14=Dienste!$A$36,Dienste!$C$36,)))))))))))))))))))))))))))))))))))</f>
        <v>9</v>
      </c>
      <c r="BD14" s="27">
        <f>IF(J14=Dienste!$A$2,Dienste!$C$2,IF(J14=Dienste!$A$3,Dienste!$C$3,IF(J14=Dienste!$A$4,Dienste!$C$4,IF(J14=Dienste!$A$5,Dienste!$C$5,IF(J14=Dienste!$A$6,Dienste!$C$6,IF(J14=Dienste!$A$7,Dienste!$C$7,IF(J14=Dienste!$A$8,Dienste!$C$8,IF(J14=Dienste!$A$9,Dienste!$C$9,IF(J14=Dienste!$A$10,Dienste!$C$10,IF(J14=Dienste!$A$11,Dienste!$C$11,IF(J14=Dienste!$A$12,Dienste!$C$12,IF(J14=Dienste!$A$13,Dienste!$C$13,IF(J14=Dienste!$A$14,Dienste!$C$14,IF(J14=Dienste!$A$15,Dienste!$C$15,IF(J14=Dienste!$A$16,Dienste!$C$16,IF(J14=Dienste!$A$17,Dienste!$C$17,IF(J14=Dienste!$A$18,Dienste!$C$18,IF(J14=Dienste!$A$19,Dienste!$C$19,IF(J14=Dienste!$A$20,Dienste!$C$20,IF(J14=Dienste!$A$21,Dienste!$C$21,IF(J14=Dienste!$A$22,Dienste!$C$22,IF(J14=Dienste!$A$23,Dienste!$C$23,IF(J14=Dienste!$A$24,Dienste!$C$24,IF(J14=Dienste!$A$25,Dienste!$C$25,IF(J14=Dienste!$A$26,Dienste!$C$26,IF(J14=Dienste!$A$27,Dienste!$C$27,IF(J14=Dienste!$A$28,Dienste!$C$28,IF(J14=Dienste!#REF!,Dienste!#REF!,IF(J14=Dienste!#REF!,Dienste!#REF!,IF(J14=Dienste!#REF!,Dienste!#REF!,IF(J14=Dienste!#REF!,Dienste!#REF!,IF(J14=Dienste!$A$33,Dienste!$C$33,IF(J14=Dienste!$A$34,Dienste!$C$34,IF(J14=Dienste!$A$35,Dienste!$C$35,IF(J14=Dienste!$A$36,Dienste!$C$36,)))))))))))))))))))))))))))))))))))</f>
        <v>8</v>
      </c>
      <c r="BE14" s="27">
        <f>IF(K14=Dienste!$A$2,Dienste!$C$2,IF(K14=Dienste!$A$3,Dienste!$C$3,IF(K14=Dienste!$A$4,Dienste!$C$4,IF(K14=Dienste!$A$5,Dienste!$C$5,IF(K14=Dienste!$A$6,Dienste!$C$6,IF(K14=Dienste!$A$7,Dienste!$C$7,IF(K14=Dienste!$A$8,Dienste!$C$8,IF(K14=Dienste!$A$9,Dienste!$C$9,IF(K14=Dienste!$A$10,Dienste!$C$10,IF(K14=Dienste!$A$11,Dienste!$C$11,IF(K14=Dienste!$A$12,Dienste!$C$12,IF(K14=Dienste!$A$13,Dienste!$C$13,IF(K14=Dienste!$A$14,Dienste!$C$14,IF(K14=Dienste!$A$15,Dienste!$C$15,IF(K14=Dienste!$A$16,Dienste!$C$16,IF(K14=Dienste!$A$17,Dienste!$C$17,IF(K14=Dienste!$A$18,Dienste!$C$18,IF(K14=Dienste!$A$19,Dienste!$C$19,IF(K14=Dienste!$A$20,Dienste!$C$20,IF(K14=Dienste!$A$21,Dienste!$C$21,IF(K14=Dienste!$A$22,Dienste!$C$22,IF(K14=Dienste!$A$23,Dienste!$C$23,IF(K14=Dienste!$A$24,Dienste!$C$24,IF(K14=Dienste!$A$25,Dienste!$C$25,IF(K14=Dienste!$A$26,Dienste!$C$26,IF(K14=Dienste!$A$27,Dienste!$C$27,IF(K14=Dienste!$A$28,Dienste!$C$28,IF(K14=Dienste!#REF!,Dienste!#REF!,IF(K14=Dienste!#REF!,Dienste!#REF!,IF(K14=Dienste!#REF!,Dienste!#REF!,IF(K14=Dienste!#REF!,Dienste!#REF!,IF(K14=Dienste!$A$33,Dienste!$C$33,IF(K14=Dienste!$A$34,Dienste!$C$34,IF(K14=Dienste!$A$35,Dienste!$C$35,IF(K14=Dienste!$A$36,Dienste!$C$36,)))))))))))))))))))))))))))))))))))</f>
        <v>0</v>
      </c>
      <c r="BF14" s="27">
        <f>IF(L14=Dienste!$A$2,Dienste!$C$2,IF(L14=Dienste!$A$3,Dienste!$C$3,IF(L14=Dienste!$A$4,Dienste!$C$4,IF(L14=Dienste!$A$5,Dienste!$C$5,IF(L14=Dienste!$A$6,Dienste!$C$6,IF(L14=Dienste!$A$7,Dienste!$C$7,IF(L14=Dienste!$A$8,Dienste!$C$8,IF(L14=Dienste!$A$9,Dienste!$C$9,IF(L14=Dienste!$A$10,Dienste!$C$10,IF(L14=Dienste!$A$11,Dienste!$C$11,IF(L14=Dienste!$A$12,Dienste!$C$12,IF(L14=Dienste!$A$13,Dienste!$C$13,IF(L14=Dienste!$A$14,Dienste!$C$14,IF(L14=Dienste!$A$15,Dienste!$C$15,IF(L14=Dienste!$A$16,Dienste!$C$16,IF(L14=Dienste!$A$17,Dienste!$C$17,IF(L14=Dienste!$A$18,Dienste!$C$18,IF(L14=Dienste!$A$19,Dienste!$C$19,IF(L14=Dienste!$A$20,Dienste!$C$20,IF(L14=Dienste!$A$21,Dienste!$C$21,IF(L14=Dienste!$A$22,Dienste!$C$22,IF(L14=Dienste!$A$23,Dienste!$C$23,IF(L14=Dienste!$A$24,Dienste!$C$24,IF(L14=Dienste!$A$25,Dienste!$C$25,IF(L14=Dienste!$A$26,Dienste!$C$26,IF(L14=Dienste!$A$27,Dienste!$C$27,IF(L14=Dienste!$A$28,Dienste!$C$28,IF(L14=Dienste!#REF!,Dienste!#REF!,IF(L14=Dienste!#REF!,Dienste!#REF!,IF(L14=Dienste!#REF!,Dienste!#REF!,IF(L14=Dienste!#REF!,Dienste!#REF!,IF(L14=Dienste!$A$33,Dienste!$C$33,IF(L14=Dienste!$A$34,Dienste!$C$34,IF(L14=Dienste!$A$35,Dienste!$C$35,IF(L14=Dienste!$A$36,Dienste!$C$36,)))))))))))))))))))))))))))))))))))</f>
        <v>0</v>
      </c>
      <c r="BG14" s="27" t="e">
        <f>IF(M14=Dienste!$A$2,Dienste!$C$2,IF(M14=Dienste!$A$3,Dienste!$C$3,IF(M14=Dienste!$A$4,Dienste!$C$4,IF(M14=Dienste!$A$5,Dienste!$C$5,IF(M14=Dienste!$A$6,Dienste!$C$6,IF(M14=Dienste!$A$7,Dienste!$C$7,IF(M14=Dienste!$A$8,Dienste!$C$8,IF(M14=Dienste!$A$9,Dienste!$C$9,IF(M14=Dienste!$A$10,Dienste!$C$10,IF(M14=Dienste!$A$11,Dienste!$C$11,IF(M14=Dienste!$A$12,Dienste!$C$12,IF(M14=Dienste!$A$13,Dienste!$C$13,IF(M14=Dienste!$A$14,Dienste!$C$14,IF(M14=Dienste!$A$15,Dienste!$C$15,IF(M14=Dienste!$A$16,Dienste!$C$16,IF(M14=Dienste!$A$17,Dienste!$C$17,IF(M14=Dienste!$A$18,Dienste!$C$18,IF(M14=Dienste!$A$19,Dienste!$C$19,IF(M14=Dienste!$A$20,Dienste!$C$20,IF(M14=Dienste!$A$21,Dienste!$C$21,IF(M14=Dienste!$A$22,Dienste!$C$22,IF(M14=Dienste!$A$23,Dienste!$C$23,IF(M14=Dienste!$A$24,Dienste!$C$24,IF(M14=Dienste!$A$25,Dienste!$C$25,IF(M14=Dienste!$A$26,Dienste!$C$26,IF(M14=Dienste!$A$27,Dienste!$C$27,IF(M14=Dienste!$A$28,Dienste!$C$28,IF(M14=Dienste!#REF!,Dienste!#REF!,IF(M14=Dienste!#REF!,Dienste!#REF!,IF(M14=Dienste!#REF!,Dienste!#REF!,IF(M14=Dienste!#REF!,Dienste!#REF!,IF(M14=Dienste!$A$33,Dienste!$C$33,IF(M14=Dienste!$A$34,Dienste!$C$34,IF(M14=Dienste!$A$35,Dienste!$C$35,IF(M14=Dienste!$A$36,Dienste!$C$36,)))))))))))))))))))))))))))))))))))</f>
        <v>#REF!</v>
      </c>
      <c r="BH14" s="27">
        <f>IF(N14=Dienste!$A$2,Dienste!$C$2,IF(N14=Dienste!$A$3,Dienste!$C$3,IF(N14=Dienste!$A$4,Dienste!$C$4,IF(N14=Dienste!$A$5,Dienste!$C$5,IF(N14=Dienste!$A$6,Dienste!$C$6,IF(N14=Dienste!$A$7,Dienste!$C$7,IF(N14=Dienste!$A$8,Dienste!$C$8,IF(N14=Dienste!$A$9,Dienste!$C$9,IF(N14=Dienste!$A$10,Dienste!$C$10,IF(N14=Dienste!$A$11,Dienste!$C$11,IF(N14=Dienste!$A$12,Dienste!$C$12,IF(N14=Dienste!$A$13,Dienste!$C$13,IF(N14=Dienste!$A$14,Dienste!$C$14,IF(N14=Dienste!$A$15,Dienste!$C$15,IF(N14=Dienste!$A$16,Dienste!$C$16,IF(N14=Dienste!$A$17,Dienste!$C$17,IF(N14=Dienste!$A$18,Dienste!$C$18,IF(N14=Dienste!$A$19,Dienste!$C$19,IF(N14=Dienste!$A$20,Dienste!$C$20,IF(N14=Dienste!$A$21,Dienste!$C$21,IF(N14=Dienste!$A$22,Dienste!$C$22,IF(N14=Dienste!$A$23,Dienste!$C$23,IF(N14=Dienste!$A$24,Dienste!$C$24,IF(N14=Dienste!$A$25,Dienste!$C$25,IF(N14=Dienste!$A$26,Dienste!$C$26,IF(N14=Dienste!$A$27,Dienste!$C$27,IF(N14=Dienste!$A$28,Dienste!$C$28,IF(N14=Dienste!#REF!,Dienste!#REF!,IF(N14=Dienste!#REF!,Dienste!#REF!,IF(N14=Dienste!#REF!,Dienste!#REF!,IF(N14=Dienste!#REF!,Dienste!#REF!,IF(N14=Dienste!$A$33,Dienste!$C$33,IF(N14=Dienste!$A$34,Dienste!$C$34,IF(N14=Dienste!$A$35,Dienste!$C$35,IF(N14=Dienste!$A$36,Dienste!$C$36,)))))))))))))))))))))))))))))))))))</f>
        <v>8</v>
      </c>
      <c r="BI14" s="27">
        <f>IF(O14=Dienste!$A$2,Dienste!$C$2,IF(O14=Dienste!$A$3,Dienste!$C$3,IF(O14=Dienste!$A$4,Dienste!$C$4,IF(O14=Dienste!$A$5,Dienste!$C$5,IF(O14=Dienste!$A$6,Dienste!$C$6,IF(O14=Dienste!$A$7,Dienste!$C$7,IF(O14=Dienste!$A$8,Dienste!$C$8,IF(O14=Dienste!$A$9,Dienste!$C$9,IF(O14=Dienste!$A$10,Dienste!$C$10,IF(O14=Dienste!$A$11,Dienste!$C$11,IF(O14=Dienste!$A$12,Dienste!$C$12,IF(O14=Dienste!$A$13,Dienste!$C$13,IF(O14=Dienste!$A$14,Dienste!$C$14,IF(O14=Dienste!$A$15,Dienste!$C$15,IF(O14=Dienste!$A$16,Dienste!$C$16,IF(O14=Dienste!$A$17,Dienste!$C$17,IF(O14=Dienste!$A$18,Dienste!$C$18,IF(O14=Dienste!$A$19,Dienste!$C$19,IF(O14=Dienste!$A$20,Dienste!$C$20,IF(O14=Dienste!$A$21,Dienste!$C$21,IF(O14=Dienste!$A$22,Dienste!$C$22,IF(O14=Dienste!$A$23,Dienste!$C$23,IF(O14=Dienste!$A$24,Dienste!$C$24,IF(O14=Dienste!$A$25,Dienste!$C$25,IF(O14=Dienste!$A$26,Dienste!$C$26,IF(O14=Dienste!$A$27,Dienste!$C$27,IF(O14=Dienste!$A$28,Dienste!$C$28,IF(O14=Dienste!#REF!,Dienste!#REF!,IF(O14=Dienste!#REF!,Dienste!#REF!,IF(O14=Dienste!#REF!,Dienste!#REF!,IF(O14=Dienste!#REF!,Dienste!#REF!,IF(O14=Dienste!$A$33,Dienste!$C$33,IF(O14=Dienste!$A$34,Dienste!$C$34,IF(O14=Dienste!$A$35,Dienste!$C$35,IF(O14=Dienste!$A$36,Dienste!$C$36,)))))))))))))))))))))))))))))))))))</f>
        <v>8</v>
      </c>
      <c r="BJ14" s="27">
        <f>IF(P14=Dienste!$A$2,Dienste!$C$2,IF(P14=Dienste!$A$3,Dienste!$C$3,IF(P14=Dienste!$A$4,Dienste!$C$4,IF(P14=Dienste!$A$5,Dienste!$C$5,IF(P14=Dienste!$A$6,Dienste!$C$6,IF(P14=Dienste!$A$7,Dienste!$C$7,IF(P14=Dienste!$A$8,Dienste!$C$8,IF(P14=Dienste!$A$9,Dienste!$C$9,IF(P14=Dienste!$A$10,Dienste!$C$10,IF(P14=Dienste!$A$11,Dienste!$C$11,IF(P14=Dienste!$A$12,Dienste!$C$12,IF(P14=Dienste!$A$13,Dienste!$C$13,IF(P14=Dienste!$A$14,Dienste!$C$14,IF(P14=Dienste!$A$15,Dienste!$C$15,IF(P14=Dienste!$A$16,Dienste!$C$16,IF(P14=Dienste!$A$17,Dienste!$C$17,IF(P14=Dienste!$A$18,Dienste!$C$18,IF(P14=Dienste!$A$19,Dienste!$C$19,IF(P14=Dienste!$A$20,Dienste!$C$20,IF(P14=Dienste!$A$21,Dienste!$C$21,IF(P14=Dienste!$A$22,Dienste!$C$22,IF(P14=Dienste!$A$23,Dienste!$C$23,IF(P14=Dienste!$A$24,Dienste!$C$24,IF(P14=Dienste!$A$25,Dienste!$C$25,IF(P14=Dienste!$A$26,Dienste!$C$26,IF(P14=Dienste!$A$27,Dienste!$C$27,IF(P14=Dienste!$A$28,Dienste!$C$28,IF(P14=Dienste!#REF!,Dienste!#REF!,IF(P14=Dienste!#REF!,Dienste!#REF!,IF(P14=Dienste!#REF!,Dienste!#REF!,IF(P14=Dienste!#REF!,Dienste!#REF!,IF(P14=Dienste!$A$33,Dienste!$C$33,IF(P14=Dienste!$A$34,Dienste!$C$34,IF(P14=Dienste!$A$35,Dienste!$C$35,IF(P14=Dienste!$A$36,Dienste!$C$36,)))))))))))))))))))))))))))))))))))</f>
        <v>8</v>
      </c>
      <c r="BK14" s="27">
        <f>IF(Q14=Dienste!$A$2,Dienste!$C$2,IF(Q14=Dienste!$A$3,Dienste!$C$3,IF(Q14=Dienste!$A$4,Dienste!$C$4,IF(Q14=Dienste!$A$5,Dienste!$C$5,IF(Q14=Dienste!$A$6,Dienste!$C$6,IF(Q14=Dienste!$A$7,Dienste!$C$7,IF(Q14=Dienste!$A$8,Dienste!$C$8,IF(Q14=Dienste!$A$9,Dienste!$C$9,IF(Q14=Dienste!$A$10,Dienste!$C$10,IF(Q14=Dienste!$A$11,Dienste!$C$11,IF(Q14=Dienste!$A$12,Dienste!$C$12,IF(Q14=Dienste!$A$13,Dienste!$C$13,IF(Q14=Dienste!$A$14,Dienste!$C$14,IF(Q14=Dienste!$A$15,Dienste!$C$15,IF(Q14=Dienste!$A$16,Dienste!$C$16,IF(Q14=Dienste!$A$17,Dienste!$C$17,IF(Q14=Dienste!$A$18,Dienste!$C$18,IF(Q14=Dienste!$A$19,Dienste!$C$19,IF(Q14=Dienste!$A$20,Dienste!$C$20,IF(Q14=Dienste!$A$21,Dienste!$C$21,IF(Q14=Dienste!$A$22,Dienste!$C$22,IF(Q14=Dienste!$A$23,Dienste!$C$23,IF(Q14=Dienste!$A$24,Dienste!$C$24,IF(Q14=Dienste!$A$25,Dienste!$C$25,IF(Q14=Dienste!$A$26,Dienste!$C$26,IF(Q14=Dienste!$A$27,Dienste!$C$27,IF(Q14=Dienste!$A$28,Dienste!$C$28,IF(Q14=Dienste!#REF!,Dienste!#REF!,IF(Q14=Dienste!#REF!,Dienste!#REF!,IF(Q14=Dienste!#REF!,Dienste!#REF!,IF(Q14=Dienste!#REF!,Dienste!#REF!,IF(Q14=Dienste!$A$33,Dienste!$C$33,IF(Q14=Dienste!$A$34,Dienste!$C$34,IF(Q14=Dienste!$A$35,Dienste!$C$35,IF(Q14=Dienste!$A$36,Dienste!$C$36,)))))))))))))))))))))))))))))))))))</f>
        <v>9</v>
      </c>
      <c r="BL14" s="27">
        <f>IF(R14=Dienste!$A$2,Dienste!$C$2,IF(R14=Dienste!$A$3,Dienste!$C$3,IF(R14=Dienste!$A$4,Dienste!$C$4,IF(R14=Dienste!$A$5,Dienste!$C$5,IF(R14=Dienste!$A$6,Dienste!$C$6,IF(R14=Dienste!$A$7,Dienste!$C$7,IF(R14=Dienste!$A$8,Dienste!$C$8,IF(R14=Dienste!$A$9,Dienste!$C$9,IF(R14=Dienste!$A$10,Dienste!$C$10,IF(R14=Dienste!$A$11,Dienste!$C$11,IF(R14=Dienste!$A$12,Dienste!$C$12,IF(R14=Dienste!$A$13,Dienste!$C$13,IF(R14=Dienste!$A$14,Dienste!$C$14,IF(R14=Dienste!$A$15,Dienste!$C$15,IF(R14=Dienste!$A$16,Dienste!$C$16,IF(R14=Dienste!$A$17,Dienste!$C$17,IF(R14=Dienste!$A$18,Dienste!$C$18,IF(R14=Dienste!$A$19,Dienste!$C$19,IF(R14=Dienste!$A$20,Dienste!$C$20,IF(R14=Dienste!$A$21,Dienste!$C$21,IF(R14=Dienste!$A$22,Dienste!$C$22,IF(R14=Dienste!$A$23,Dienste!$C$23,IF(R14=Dienste!$A$24,Dienste!$C$24,IF(R14=Dienste!$A$25,Dienste!$C$25,IF(R14=Dienste!$A$26,Dienste!$C$26,IF(R14=Dienste!$A$27,Dienste!$C$27,IF(R14=Dienste!$A$28,Dienste!$C$28,IF(R14=Dienste!#REF!,Dienste!#REF!,IF(R14=Dienste!#REF!,Dienste!#REF!,IF(R14=Dienste!#REF!,Dienste!#REF!,IF(R14=Dienste!#REF!,Dienste!#REF!,IF(R14=Dienste!$A$33,Dienste!$C$33,IF(R14=Dienste!$A$34,Dienste!$C$34,IF(R14=Dienste!$A$35,Dienste!$C$35,IF(R14=Dienste!$A$36,Dienste!$C$36,)))))))))))))))))))))))))))))))))))</f>
        <v>0</v>
      </c>
      <c r="BM14" s="27">
        <f>IF(S14=Dienste!$A$2,Dienste!$C$2,IF(S14=Dienste!$A$3,Dienste!$C$3,IF(S14=Dienste!$A$4,Dienste!$C$4,IF(S14=Dienste!$A$5,Dienste!$C$5,IF(S14=Dienste!$A$6,Dienste!$C$6,IF(S14=Dienste!$A$7,Dienste!$C$7,IF(S14=Dienste!$A$8,Dienste!$C$8,IF(S14=Dienste!$A$9,Dienste!$C$9,IF(S14=Dienste!$A$10,Dienste!$C$10,IF(S14=Dienste!$A$11,Dienste!$C$11,IF(S14=Dienste!$A$12,Dienste!$C$12,IF(S14=Dienste!$A$13,Dienste!$C$13,IF(S14=Dienste!$A$14,Dienste!$C$14,IF(S14=Dienste!$A$15,Dienste!$C$15,IF(S14=Dienste!$A$16,Dienste!$C$16,IF(S14=Dienste!$A$17,Dienste!$C$17,IF(S14=Dienste!$A$18,Dienste!$C$18,IF(S14=Dienste!$A$19,Dienste!$C$19,IF(S14=Dienste!$A$20,Dienste!$C$20,IF(S14=Dienste!$A$21,Dienste!$C$21,IF(S14=Dienste!$A$22,Dienste!$C$22,IF(S14=Dienste!$A$23,Dienste!$C$23,IF(S14=Dienste!$A$24,Dienste!$C$24,IF(S14=Dienste!$A$25,Dienste!$C$25,IF(S14=Dienste!$A$26,Dienste!$C$26,IF(S14=Dienste!$A$27,Dienste!$C$27,IF(S14=Dienste!$A$28,Dienste!$C$28,IF(S14=Dienste!#REF!,Dienste!#REF!,IF(S14=Dienste!#REF!,Dienste!#REF!,IF(S14=Dienste!#REF!,Dienste!#REF!,IF(S14=Dienste!#REF!,Dienste!#REF!,IF(S14=Dienste!$A$33,Dienste!$C$33,IF(S14=Dienste!$A$34,Dienste!$C$34,IF(S14=Dienste!$A$35,Dienste!$C$35,IF(S14=Dienste!$A$36,Dienste!$C$36,)))))))))))))))))))))))))))))))))))</f>
        <v>0</v>
      </c>
      <c r="BN14" s="27">
        <f>IF(T14=Dienste!$A$2,Dienste!$C$2,IF(T14=Dienste!$A$3,Dienste!$C$3,IF(T14=Dienste!$A$4,Dienste!$C$4,IF(T14=Dienste!$A$5,Dienste!$C$5,IF(T14=Dienste!$A$6,Dienste!$C$6,IF(T14=Dienste!$A$7,Dienste!$C$7,IF(T14=Dienste!$A$8,Dienste!$C$8,IF(T14=Dienste!$A$9,Dienste!$C$9,IF(T14=Dienste!$A$10,Dienste!$C$10,IF(T14=Dienste!$A$11,Dienste!$C$11,IF(T14=Dienste!$A$12,Dienste!$C$12,IF(T14=Dienste!$A$13,Dienste!$C$13,IF(T14=Dienste!$A$14,Dienste!$C$14,IF(T14=Dienste!$A$15,Dienste!$C$15,IF(T14=Dienste!$A$16,Dienste!$C$16,IF(T14=Dienste!$A$17,Dienste!$C$17,IF(T14=Dienste!$A$18,Dienste!$C$18,IF(T14=Dienste!$A$19,Dienste!$C$19,IF(T14=Dienste!$A$20,Dienste!$C$20,IF(T14=Dienste!$A$21,Dienste!$C$21,IF(T14=Dienste!$A$22,Dienste!$C$22,IF(T14=Dienste!$A$23,Dienste!$C$23,IF(T14=Dienste!$A$24,Dienste!$C$24,IF(T14=Dienste!$A$25,Dienste!$C$25,IF(T14=Dienste!$A$26,Dienste!$C$26,IF(T14=Dienste!$A$27,Dienste!$C$27,IF(T14=Dienste!$A$28,Dienste!$C$28,IF(T14=Dienste!#REF!,Dienste!#REF!,IF(T14=Dienste!#REF!,Dienste!#REF!,IF(T14=Dienste!#REF!,Dienste!#REF!,IF(T14=Dienste!#REF!,Dienste!#REF!,IF(T14=Dienste!$A$33,Dienste!$C$33,IF(T14=Dienste!$A$34,Dienste!$C$34,IF(T14=Dienste!$A$35,Dienste!$C$35,IF(T14=Dienste!$A$36,Dienste!$C$36,)))))))))))))))))))))))))))))))))))</f>
        <v>8</v>
      </c>
      <c r="BO14" s="27">
        <f>IF(U14=Dienste!$A$2,Dienste!$C$2,IF(U14=Dienste!$A$3,Dienste!$C$3,IF(U14=Dienste!$A$4,Dienste!$C$4,IF(U14=Dienste!$A$5,Dienste!$C$5,IF(U14=Dienste!$A$6,Dienste!$C$6,IF(U14=Dienste!$A$7,Dienste!$C$7,IF(U14=Dienste!$A$8,Dienste!$C$8,IF(U14=Dienste!$A$9,Dienste!$C$9,IF(U14=Dienste!$A$10,Dienste!$C$10,IF(U14=Dienste!$A$11,Dienste!$C$11,IF(U14=Dienste!$A$12,Dienste!$C$12,IF(U14=Dienste!$A$13,Dienste!$C$13,IF(U14=Dienste!$A$14,Dienste!$C$14,IF(U14=Dienste!$A$15,Dienste!$C$15,IF(U14=Dienste!$A$16,Dienste!$C$16,IF(U14=Dienste!$A$17,Dienste!$C$17,IF(U14=Dienste!$A$18,Dienste!$C$18,IF(U14=Dienste!$A$19,Dienste!$C$19,IF(U14=Dienste!$A$20,Dienste!$C$20,IF(U14=Dienste!$A$21,Dienste!$C$21,IF(U14=Dienste!$A$22,Dienste!$C$22,IF(U14=Dienste!$A$23,Dienste!$C$23,IF(U14=Dienste!$A$24,Dienste!$C$24,IF(U14=Dienste!$A$25,Dienste!$C$25,IF(U14=Dienste!$A$26,Dienste!$C$26,IF(U14=Dienste!$A$27,Dienste!$C$27,IF(U14=Dienste!$A$28,Dienste!$C$28,IF(U14=Dienste!#REF!,Dienste!#REF!,IF(U14=Dienste!#REF!,Dienste!#REF!,IF(U14=Dienste!#REF!,Dienste!#REF!,IF(U14=Dienste!#REF!,Dienste!#REF!,IF(U14=Dienste!$A$33,Dienste!$C$33,IF(U14=Dienste!$A$34,Dienste!$C$34,IF(U14=Dienste!$A$35,Dienste!$C$35,IF(U14=Dienste!$A$36,Dienste!$C$36,)))))))))))))))))))))))))))))))))))</f>
        <v>8</v>
      </c>
      <c r="BP14" s="27">
        <f>IF(V14=Dienste!$A$2,Dienste!$C$2,IF(V14=Dienste!$A$3,Dienste!$C$3,IF(V14=Dienste!$A$4,Dienste!$C$4,IF(V14=Dienste!$A$5,Dienste!$C$5,IF(V14=Dienste!$A$6,Dienste!$C$6,IF(V14=Dienste!$A$7,Dienste!$C$7,IF(V14=Dienste!$A$8,Dienste!$C$8,IF(V14=Dienste!$A$9,Dienste!$C$9,IF(V14=Dienste!$A$10,Dienste!$C$10,IF(V14=Dienste!$A$11,Dienste!$C$11,IF(V14=Dienste!$A$12,Dienste!$C$12,IF(V14=Dienste!$A$13,Dienste!$C$13,IF(V14=Dienste!$A$14,Dienste!$C$14,IF(V14=Dienste!$A$15,Dienste!$C$15,IF(V14=Dienste!$A$16,Dienste!$C$16,IF(V14=Dienste!$A$17,Dienste!$C$17,IF(V14=Dienste!$A$18,Dienste!$C$18,IF(V14=Dienste!$A$19,Dienste!$C$19,IF(V14=Dienste!$A$20,Dienste!$C$20,IF(V14=Dienste!$A$21,Dienste!$C$21,IF(V14=Dienste!$A$22,Dienste!$C$22,IF(V14=Dienste!$A$23,Dienste!$C$23,IF(V14=Dienste!$A$24,Dienste!$C$24,IF(V14=Dienste!$A$25,Dienste!$C$25,IF(V14=Dienste!$A$26,Dienste!$C$26,IF(V14=Dienste!$A$27,Dienste!$C$27,IF(V14=Dienste!$A$28,Dienste!$C$28,IF(V14=Dienste!#REF!,Dienste!#REF!,IF(V14=Dienste!#REF!,Dienste!#REF!,IF(V14=Dienste!#REF!,Dienste!#REF!,IF(V14=Dienste!#REF!,Dienste!#REF!,IF(V14=Dienste!$A$33,Dienste!$C$33,IF(V14=Dienste!$A$34,Dienste!$C$34,IF(V14=Dienste!$A$35,Dienste!$C$35,IF(V14=Dienste!$A$36,Dienste!$C$36,)))))))))))))))))))))))))))))))))))</f>
        <v>8</v>
      </c>
      <c r="BQ14" s="27">
        <f>IF(W14=Dienste!$A$2,Dienste!$C$2,IF(W14=Dienste!$A$3,Dienste!$C$3,IF(W14=Dienste!$A$4,Dienste!$C$4,IF(W14=Dienste!$A$5,Dienste!$C$5,IF(W14=Dienste!$A$6,Dienste!$C$6,IF(W14=Dienste!$A$7,Dienste!$C$7,IF(W14=Dienste!$A$8,Dienste!$C$8,IF(W14=Dienste!$A$9,Dienste!$C$9,IF(W14=Dienste!$A$10,Dienste!$C$10,IF(W14=Dienste!$A$11,Dienste!$C$11,IF(W14=Dienste!$A$12,Dienste!$C$12,IF(W14=Dienste!$A$13,Dienste!$C$13,IF(W14=Dienste!$A$14,Dienste!$C$14,IF(W14=Dienste!$A$15,Dienste!$C$15,IF(W14=Dienste!$A$16,Dienste!$C$16,IF(W14=Dienste!$A$17,Dienste!$C$17,IF(W14=Dienste!$A$18,Dienste!$C$18,IF(W14=Dienste!$A$19,Dienste!$C$19,IF(W14=Dienste!$A$20,Dienste!$C$20,IF(W14=Dienste!$A$21,Dienste!$C$21,IF(W14=Dienste!$A$22,Dienste!$C$22,IF(W14=Dienste!$A$23,Dienste!$C$23,IF(W14=Dienste!$A$24,Dienste!$C$24,IF(W14=Dienste!$A$25,Dienste!$C$25,IF(W14=Dienste!$A$26,Dienste!$C$26,IF(W14=Dienste!$A$27,Dienste!$C$27,IF(W14=Dienste!$A$28,Dienste!$C$28,IF(W14=Dienste!#REF!,Dienste!#REF!,IF(W14=Dienste!#REF!,Dienste!#REF!,IF(W14=Dienste!#REF!,Dienste!#REF!,IF(W14=Dienste!#REF!,Dienste!#REF!,IF(W14=Dienste!$A$33,Dienste!$C$33,IF(W14=Dienste!$A$34,Dienste!$C$34,IF(W14=Dienste!$A$35,Dienste!$C$35,IF(W14=Dienste!$A$36,Dienste!$C$36,)))))))))))))))))))))))))))))))))))</f>
        <v>8</v>
      </c>
      <c r="BR14" s="27">
        <f>IF(X14=Dienste!$A$2,Dienste!$C$2,IF(X14=Dienste!$A$3,Dienste!$C$3,IF(X14=Dienste!$A$4,Dienste!$C$4,IF(X14=Dienste!$A$5,Dienste!$C$5,IF(X14=Dienste!$A$6,Dienste!$C$6,IF(X14=Dienste!$A$7,Dienste!$C$7,IF(X14=Dienste!$A$8,Dienste!$C$8,IF(X14=Dienste!$A$9,Dienste!$C$9,IF(X14=Dienste!$A$10,Dienste!$C$10,IF(X14=Dienste!$A$11,Dienste!$C$11,IF(X14=Dienste!$A$12,Dienste!$C$12,IF(X14=Dienste!$A$13,Dienste!$C$13,IF(X14=Dienste!$A$14,Dienste!$C$14,IF(X14=Dienste!$A$15,Dienste!$C$15,IF(X14=Dienste!$A$16,Dienste!$C$16,IF(X14=Dienste!$A$17,Dienste!$C$17,IF(X14=Dienste!$A$18,Dienste!$C$18,IF(X14=Dienste!$A$19,Dienste!$C$19,IF(X14=Dienste!$A$20,Dienste!$C$20,IF(X14=Dienste!$A$21,Dienste!$C$21,IF(X14=Dienste!$A$22,Dienste!$C$22,IF(X14=Dienste!$A$23,Dienste!$C$23,IF(X14=Dienste!$A$24,Dienste!$C$24,IF(X14=Dienste!$A$25,Dienste!$C$25,IF(X14=Dienste!$A$26,Dienste!$C$26,IF(X14=Dienste!$A$27,Dienste!$C$27,IF(X14=Dienste!$A$28,Dienste!$C$28,IF(X14=Dienste!#REF!,Dienste!#REF!,IF(X14=Dienste!#REF!,Dienste!#REF!,IF(X14=Dienste!#REF!,Dienste!#REF!,IF(X14=Dienste!#REF!,Dienste!#REF!,IF(X14=Dienste!$A$33,Dienste!$C$33,IF(X14=Dienste!$A$34,Dienste!$C$34,IF(X14=Dienste!$A$35,Dienste!$C$35,IF(X14=Dienste!$A$36,Dienste!$C$36,)))))))))))))))))))))))))))))))))))</f>
        <v>8</v>
      </c>
      <c r="BS14" s="27">
        <f>IF(Y14=Dienste!$A$2,Dienste!$C$2,IF(Y14=Dienste!$A$3,Dienste!$C$3,IF(Y14=Dienste!$A$4,Dienste!$C$4,IF(Y14=Dienste!$A$5,Dienste!$C$5,IF(Y14=Dienste!$A$6,Dienste!$C$6,IF(Y14=Dienste!$A$7,Dienste!$C$7,IF(Y14=Dienste!$A$8,Dienste!$C$8,IF(Y14=Dienste!$A$9,Dienste!$C$9,IF(Y14=Dienste!$A$10,Dienste!$C$10,IF(Y14=Dienste!$A$11,Dienste!$C$11,IF(Y14=Dienste!$A$12,Dienste!$C$12,IF(Y14=Dienste!$A$13,Dienste!$C$13,IF(Y14=Dienste!$A$14,Dienste!$C$14,IF(Y14=Dienste!$A$15,Dienste!$C$15,IF(Y14=Dienste!$A$16,Dienste!$C$16,IF(Y14=Dienste!$A$17,Dienste!$C$17,IF(Y14=Dienste!$A$18,Dienste!$C$18,IF(Y14=Dienste!$A$19,Dienste!$C$19,IF(Y14=Dienste!$A$20,Dienste!$C$20,IF(Y14=Dienste!$A$21,Dienste!$C$21,IF(Y14=Dienste!$A$22,Dienste!$C$22,IF(Y14=Dienste!$A$23,Dienste!$C$23,IF(Y14=Dienste!$A$24,Dienste!$C$24,IF(Y14=Dienste!$A$25,Dienste!$C$25,IF(Y14=Dienste!$A$26,Dienste!$C$26,IF(Y14=Dienste!$A$27,Dienste!$C$27,IF(Y14=Dienste!$A$28,Dienste!$C$28,IF(Y14=Dienste!#REF!,Dienste!#REF!,IF(Y14=Dienste!#REF!,Dienste!#REF!,IF(Y14=Dienste!#REF!,Dienste!#REF!,IF(Y14=Dienste!#REF!,Dienste!#REF!,IF(Y14=Dienste!$A$33,Dienste!$C$33,IF(Y14=Dienste!$A$34,Dienste!$C$34,IF(Y14=Dienste!$A$35,Dienste!$C$35,IF(Y14=Dienste!$A$36,Dienste!$C$36,)))))))))))))))))))))))))))))))))))</f>
        <v>0</v>
      </c>
      <c r="BT14" s="27">
        <f>IF(Z14=Dienste!$A$2,Dienste!$C$2,IF(Z14=Dienste!$A$3,Dienste!$C$3,IF(Z14=Dienste!$A$4,Dienste!$C$4,IF(Z14=Dienste!$A$5,Dienste!$C$5,IF(Z14=Dienste!$A$6,Dienste!$C$6,IF(Z14=Dienste!$A$7,Dienste!$C$7,IF(Z14=Dienste!$A$8,Dienste!$C$8,IF(Z14=Dienste!$A$9,Dienste!$C$9,IF(Z14=Dienste!$A$10,Dienste!$C$10,IF(Z14=Dienste!$A$11,Dienste!$C$11,IF(Z14=Dienste!$A$12,Dienste!$C$12,IF(Z14=Dienste!$A$13,Dienste!$C$13,IF(Z14=Dienste!$A$14,Dienste!$C$14,IF(Z14=Dienste!$A$15,Dienste!$C$15,IF(Z14=Dienste!$A$16,Dienste!$C$16,IF(Z14=Dienste!$A$17,Dienste!$C$17,IF(Z14=Dienste!$A$18,Dienste!$C$18,IF(Z14=Dienste!$A$19,Dienste!$C$19,IF(Z14=Dienste!$A$20,Dienste!$C$20,IF(Z14=Dienste!$A$21,Dienste!$C$21,IF(Z14=Dienste!$A$22,Dienste!$C$22,IF(Z14=Dienste!$A$23,Dienste!$C$23,IF(Z14=Dienste!$A$24,Dienste!$C$24,IF(Z14=Dienste!$A$25,Dienste!$C$25,IF(Z14=Dienste!$A$26,Dienste!$C$26,IF(Z14=Dienste!$A$27,Dienste!$C$27,IF(Z14=Dienste!$A$28,Dienste!$C$28,IF(Z14=Dienste!#REF!,Dienste!#REF!,IF(Z14=Dienste!#REF!,Dienste!#REF!,IF(Z14=Dienste!#REF!,Dienste!#REF!,IF(Z14=Dienste!#REF!,Dienste!#REF!,IF(Z14=Dienste!$A$33,Dienste!$C$33,IF(Z14=Dienste!$A$34,Dienste!$C$34,IF(Z14=Dienste!$A$35,Dienste!$C$35,IF(Z14=Dienste!$A$36,Dienste!$C$36,)))))))))))))))))))))))))))))))))))</f>
        <v>0</v>
      </c>
      <c r="BU14" s="27" t="e">
        <f>IF(AA14=Dienste!$A$2,Dienste!$C$2,IF(AA14=Dienste!$A$3,Dienste!$C$3,IF(AA14=Dienste!$A$4,Dienste!$C$4,IF(AA14=Dienste!$A$5,Dienste!$C$5,IF(AA14=Dienste!$A$6,Dienste!$C$6,IF(AA14=Dienste!$A$7,Dienste!$C$7,IF(AA14=Dienste!$A$8,Dienste!$C$8,IF(AA14=Dienste!$A$9,Dienste!$C$9,IF(AA14=Dienste!$A$10,Dienste!$C$10,IF(AA14=Dienste!$A$11,Dienste!$C$11,IF(AA14=Dienste!$A$12,Dienste!$C$12,IF(AA14=Dienste!$A$13,Dienste!$C$13,IF(AA14=Dienste!$A$14,Dienste!$C$14,IF(AA14=Dienste!$A$15,Dienste!$C$15,IF(AA14=Dienste!$A$16,Dienste!$C$16,IF(AA14=Dienste!$A$17,Dienste!$C$17,IF(AA14=Dienste!$A$18,Dienste!$C$18,IF(AA14=Dienste!$A$19,Dienste!$C$19,IF(AA14=Dienste!$A$20,Dienste!$C$20,IF(AA14=Dienste!$A$21,Dienste!$C$21,IF(AA14=Dienste!$A$22,Dienste!$C$22,IF(AA14=Dienste!$A$23,Dienste!$C$23,IF(AA14=Dienste!$A$24,Dienste!$C$24,IF(AA14=Dienste!$A$25,Dienste!$C$25,IF(AA14=Dienste!$A$26,Dienste!$C$26,IF(AA14=Dienste!$A$27,Dienste!$C$27,IF(AA14=Dienste!$A$28,Dienste!$C$28,IF(AA14=Dienste!#REF!,Dienste!#REF!,IF(AA14=Dienste!#REF!,Dienste!#REF!,IF(AA14=Dienste!#REF!,Dienste!#REF!,IF(AA14=Dienste!#REF!,Dienste!#REF!,IF(AA14=Dienste!$A$33,Dienste!$C$33,IF(AA14=Dienste!$A$34,Dienste!$C$34,IF(AA14=Dienste!$A$35,Dienste!$C$35,IF(AA14=Dienste!$A$36,Dienste!$C$36,)))))))))))))))))))))))))))))))))))</f>
        <v>#REF!</v>
      </c>
      <c r="BV14" s="27">
        <f>IF(AB14=Dienste!$A$2,Dienste!$C$2,IF(AB14=Dienste!$A$3,Dienste!$C$3,IF(AB14=Dienste!$A$4,Dienste!$C$4,IF(AB14=Dienste!$A$5,Dienste!$C$5,IF(AB14=Dienste!$A$6,Dienste!$C$6,IF(AB14=Dienste!$A$7,Dienste!$C$7,IF(AB14=Dienste!$A$8,Dienste!$C$8,IF(AB14=Dienste!$A$9,Dienste!$C$9,IF(AB14=Dienste!$A$10,Dienste!$C$10,IF(AB14=Dienste!$A$11,Dienste!$C$11,IF(AB14=Dienste!$A$12,Dienste!$C$12,IF(AB14=Dienste!$A$13,Dienste!$C$13,IF(AB14=Dienste!$A$14,Dienste!$C$14,IF(AB14=Dienste!$A$15,Dienste!$C$15,IF(AB14=Dienste!$A$16,Dienste!$C$16,IF(AB14=Dienste!$A$17,Dienste!$C$17,IF(AB14=Dienste!$A$18,Dienste!$C$18,IF(AB14=Dienste!$A$19,Dienste!$C$19,IF(AB14=Dienste!$A$20,Dienste!$C$20,IF(AB14=Dienste!$A$21,Dienste!$C$21,IF(AB14=Dienste!$A$22,Dienste!$C$22,IF(AB14=Dienste!$A$23,Dienste!$C$23,IF(AB14=Dienste!$A$24,Dienste!$C$24,IF(AB14=Dienste!$A$25,Dienste!$C$25,IF(AB14=Dienste!$A$26,Dienste!$C$26,IF(AB14=Dienste!$A$27,Dienste!$C$27,IF(AB14=Dienste!$A$28,Dienste!$C$28,IF(AB14=Dienste!#REF!,Dienste!#REF!,IF(AB14=Dienste!#REF!,Dienste!#REF!,IF(AB14=Dienste!#REF!,Dienste!#REF!,IF(AB14=Dienste!#REF!,Dienste!#REF!,IF(AB14=Dienste!$A$33,Dienste!$C$33,IF(AB14=Dienste!$A$34,Dienste!$C$34,IF(AB14=Dienste!$A$35,Dienste!$C$35,IF(AB14=Dienste!$A$36,Dienste!$C$36,)))))))))))))))))))))))))))))))))))</f>
        <v>8</v>
      </c>
      <c r="BW14" s="27">
        <f>IF(AC14=Dienste!$A$2,Dienste!$C$2,IF(AC14=Dienste!$A$3,Dienste!$C$3,IF(AC14=Dienste!$A$4,Dienste!$C$4,IF(AC14=Dienste!$A$5,Dienste!$C$5,IF(AC14=Dienste!$A$6,Dienste!$C$6,IF(AC14=Dienste!$A$7,Dienste!$C$7,IF(AC14=Dienste!$A$8,Dienste!$C$8,IF(AC14=Dienste!$A$9,Dienste!$C$9,IF(AC14=Dienste!$A$10,Dienste!$C$10,IF(AC14=Dienste!$A$11,Dienste!$C$11,IF(AC14=Dienste!$A$12,Dienste!$C$12,IF(AC14=Dienste!$A$13,Dienste!$C$13,IF(AC14=Dienste!$A$14,Dienste!$C$14,IF(AC14=Dienste!$A$15,Dienste!$C$15,IF(AC14=Dienste!$A$16,Dienste!$C$16,IF(AC14=Dienste!$A$17,Dienste!$C$17,IF(AC14=Dienste!$A$18,Dienste!$C$18,IF(AC14=Dienste!$A$19,Dienste!$C$19,IF(AC14=Dienste!$A$20,Dienste!$C$20,IF(AC14=Dienste!$A$21,Dienste!$C$21,IF(AC14=Dienste!$A$22,Dienste!$C$22,IF(AC14=Dienste!$A$23,Dienste!$C$23,IF(AC14=Dienste!$A$24,Dienste!$C$24,IF(AC14=Dienste!$A$25,Dienste!$C$25,IF(AC14=Dienste!$A$26,Dienste!$C$26,IF(AC14=Dienste!$A$27,Dienste!$C$27,IF(AC14=Dienste!$A$28,Dienste!$C$28,IF(AC14=Dienste!#REF!,Dienste!#REF!,IF(AC14=Dienste!#REF!,Dienste!#REF!,IF(AC14=Dienste!#REF!,Dienste!#REF!,IF(AC14=Dienste!#REF!,Dienste!#REF!,IF(AC14=Dienste!$A$33,Dienste!$C$33,IF(AC14=Dienste!$A$34,Dienste!$C$34,IF(AC14=Dienste!$A$35,Dienste!$C$35,IF(AC14=Dienste!$A$36,Dienste!$C$36,)))))))))))))))))))))))))))))))))))</f>
        <v>8</v>
      </c>
      <c r="BX14" s="27">
        <f>IF(AD14=Dienste!$A$2,Dienste!$C$2,IF(AD14=Dienste!$A$3,Dienste!$C$3,IF(AD14=Dienste!$A$4,Dienste!$C$4,IF(AD14=Dienste!$A$5,Dienste!$C$5,IF(AD14=Dienste!$A$6,Dienste!$C$6,IF(AD14=Dienste!$A$7,Dienste!$C$7,IF(AD14=Dienste!$A$8,Dienste!$C$8,IF(AD14=Dienste!$A$9,Dienste!$C$9,IF(AD14=Dienste!$A$10,Dienste!$C$10,IF(AD14=Dienste!$A$11,Dienste!$C$11,IF(AD14=Dienste!$A$12,Dienste!$C$12,IF(AD14=Dienste!$A$13,Dienste!$C$13,IF(AD14=Dienste!$A$14,Dienste!$C$14,IF(AD14=Dienste!$A$15,Dienste!$C$15,IF(AD14=Dienste!$A$16,Dienste!$C$16,IF(AD14=Dienste!$A$17,Dienste!$C$17,IF(AD14=Dienste!$A$18,Dienste!$C$18,IF(AD14=Dienste!$A$19,Dienste!$C$19,IF(AD14=Dienste!$A$20,Dienste!$C$20,IF(AD14=Dienste!$A$21,Dienste!$C$21,IF(AD14=Dienste!$A$22,Dienste!$C$22,IF(AD14=Dienste!$A$23,Dienste!$C$23,IF(AD14=Dienste!$A$24,Dienste!$C$24,IF(AD14=Dienste!$A$25,Dienste!$C$25,IF(AD14=Dienste!$A$26,Dienste!$C$26,IF(AD14=Dienste!$A$27,Dienste!$C$27,IF(AD14=Dienste!$A$28,Dienste!$C$28,IF(AD14=Dienste!#REF!,Dienste!#REF!,IF(AD14=Dienste!#REF!,Dienste!#REF!,IF(AD14=Dienste!#REF!,Dienste!#REF!,IF(AD14=Dienste!#REF!,Dienste!#REF!,IF(AD14=Dienste!$A$33,Dienste!$C$33,IF(AD14=Dienste!$A$34,Dienste!$C$34,IF(AD14=Dienste!$A$35,Dienste!$C$35,IF(AD14=Dienste!$A$36,Dienste!$C$36,)))))))))))))))))))))))))))))))))))</f>
        <v>8</v>
      </c>
      <c r="BY14" s="27">
        <f>IF(AE14=Dienste!$A$2,Dienste!$C$2,IF(AE14=Dienste!$A$3,Dienste!$C$3,IF(AE14=Dienste!$A$4,Dienste!$C$4,IF(AE14=Dienste!$A$5,Dienste!$C$5,IF(AE14=Dienste!$A$6,Dienste!$C$6,IF(AE14=Dienste!$A$7,Dienste!$C$7,IF(AE14=Dienste!$A$8,Dienste!$C$8,IF(AE14=Dienste!$A$9,Dienste!$C$9,IF(AE14=Dienste!$A$10,Dienste!$C$10,IF(AE14=Dienste!$A$11,Dienste!$C$11,IF(AE14=Dienste!$A$12,Dienste!$C$12,IF(AE14=Dienste!$A$13,Dienste!$C$13,IF(AE14=Dienste!$A$14,Dienste!$C$14,IF(AE14=Dienste!$A$15,Dienste!$C$15,IF(AE14=Dienste!$A$16,Dienste!$C$16,IF(AE14=Dienste!$A$17,Dienste!$C$17,IF(AE14=Dienste!$A$18,Dienste!$C$18,IF(AE14=Dienste!$A$19,Dienste!$C$19,IF(AE14=Dienste!$A$20,Dienste!$C$20,IF(AE14=Dienste!$A$21,Dienste!$C$21,IF(AE14=Dienste!$A$22,Dienste!$C$22,IF(AE14=Dienste!$A$23,Dienste!$C$23,IF(AE14=Dienste!$A$24,Dienste!$C$24,IF(AE14=Dienste!$A$25,Dienste!$C$25,IF(AE14=Dienste!$A$26,Dienste!$C$26,IF(AE14=Dienste!$A$27,Dienste!$C$27,IF(AE14=Dienste!$A$28,Dienste!$C$28,IF(AE14=Dienste!#REF!,Dienste!#REF!,IF(AE14=Dienste!#REF!,Dienste!#REF!,IF(AE14=Dienste!#REF!,Dienste!#REF!,IF(AE14=Dienste!#REF!,Dienste!#REF!,IF(AE14=Dienste!$A$33,Dienste!$C$33,IF(AE14=Dienste!$A$34,Dienste!$C$34,IF(AE14=Dienste!$A$35,Dienste!$C$35,IF(AE14=Dienste!$A$36,Dienste!$C$36,)))))))))))))))))))))))))))))))))))</f>
        <v>8</v>
      </c>
      <c r="BZ14" s="27">
        <f>IF(AF14=Dienste!$A$2,Dienste!$C$2,IF(AF14=Dienste!$A$3,Dienste!$C$3,IF(AF14=Dienste!$A$4,Dienste!$C$4,IF(AF14=Dienste!$A$5,Dienste!$C$5,IF(AF14=Dienste!$A$6,Dienste!$C$6,IF(AF14=Dienste!$A$7,Dienste!$C$7,IF(AF14=Dienste!$A$8,Dienste!$C$8,IF(AF14=Dienste!$A$9,Dienste!$C$9,IF(AF14=Dienste!$A$10,Dienste!$C$10,IF(AF14=Dienste!$A$11,Dienste!$C$11,IF(AF14=Dienste!$A$12,Dienste!$C$12,IF(AF14=Dienste!$A$13,Dienste!$C$13,IF(AF14=Dienste!$A$14,Dienste!$C$14,IF(AF14=Dienste!$A$15,Dienste!$C$15,IF(AF14=Dienste!$A$16,Dienste!$C$16,IF(AF14=Dienste!$A$17,Dienste!$C$17,IF(AF14=Dienste!$A$18,Dienste!$C$18,IF(AF14=Dienste!$A$19,Dienste!$C$19,IF(AF14=Dienste!$A$20,Dienste!$C$20,IF(AF14=Dienste!$A$21,Dienste!$C$21,IF(AF14=Dienste!$A$22,Dienste!$C$22,IF(AF14=Dienste!$A$23,Dienste!$C$23,IF(AF14=Dienste!$A$24,Dienste!$C$24,IF(AF14=Dienste!$A$25,Dienste!$C$25,IF(AF14=Dienste!$A$26,Dienste!$C$26,IF(AF14=Dienste!$A$27,Dienste!$C$27,IF(AF14=Dienste!$A$28,Dienste!$C$28,IF(AF14=Dienste!#REF!,Dienste!#REF!,IF(AF14=Dienste!#REF!,Dienste!#REF!,IF(AF14=Dienste!#REF!,Dienste!#REF!,IF(AF14=Dienste!#REF!,Dienste!#REF!,IF(AF14=Dienste!$A$33,Dienste!$C$33,IF(AF14=Dienste!$A$34,Dienste!$C$34,IF(AF14=Dienste!$A$35,Dienste!$C$35,IF(AF14=Dienste!$A$36,Dienste!$C$36,)))))))))))))))))))))))))))))))))))</f>
        <v>0</v>
      </c>
      <c r="CA14" s="27">
        <f>IF(AG14=Dienste!$A$2,Dienste!$C$2,IF(AG14=Dienste!$A$3,Dienste!$C$3,IF(AG14=Dienste!$A$4,Dienste!$C$4,IF(AG14=Dienste!$A$5,Dienste!$C$5,IF(AG14=Dienste!$A$6,Dienste!$C$6,IF(AG14=Dienste!$A$7,Dienste!$C$7,IF(AG14=Dienste!$A$8,Dienste!$C$8,IF(AG14=Dienste!$A$9,Dienste!$C$9,IF(AG14=Dienste!$A$10,Dienste!$C$10,IF(AG14=Dienste!$A$11,Dienste!$C$11,IF(AG14=Dienste!$A$12,Dienste!$C$12,IF(AG14=Dienste!$A$13,Dienste!$C$13,IF(AG14=Dienste!$A$14,Dienste!$C$14,IF(AG14=Dienste!$A$15,Dienste!$C$15,IF(AG14=Dienste!$A$16,Dienste!$C$16,IF(AG14=Dienste!$A$17,Dienste!$C$17,IF(AG14=Dienste!$A$18,Dienste!$C$18,IF(AG14=Dienste!$A$19,Dienste!$C$19,IF(AG14=Dienste!$A$20,Dienste!$C$20,IF(AG14=Dienste!$A$21,Dienste!$C$21,IF(AG14=Dienste!$A$22,Dienste!$C$22,IF(AG14=Dienste!$A$23,Dienste!$C$23,IF(AG14=Dienste!$A$24,Dienste!$C$24,IF(AG14=Dienste!$A$25,Dienste!$C$25,IF(AG14=Dienste!$A$26,Dienste!$C$26,IF(AG14=Dienste!$A$27,Dienste!$C$27,IF(AG14=Dienste!$A$28,Dienste!$C$28,IF(AG14=Dienste!#REF!,Dienste!#REF!,IF(AG14=Dienste!#REF!,Dienste!#REF!,IF(AG14=Dienste!#REF!,Dienste!#REF!,IF(AG14=Dienste!#REF!,Dienste!#REF!,IF(AG14=Dienste!$A$33,Dienste!$C$33,IF(AG14=Dienste!$A$34,Dienste!$C$34,IF(AG14=Dienste!$A$35,Dienste!$C$35,IF(AG14=Dienste!$A$36,Dienste!$C$36,)))))))))))))))))))))))))))))))))))</f>
        <v>0</v>
      </c>
      <c r="CB14" s="27">
        <f>IF(AH14=Dienste!$A$2,Dienste!$C$2,IF(AH14=Dienste!$A$3,Dienste!$C$3,IF(AH14=Dienste!$A$4,Dienste!$C$4,IF(AH14=Dienste!$A$5,Dienste!$C$5,IF(AH14=Dienste!$A$6,Dienste!$C$6,IF(AH14=Dienste!$A$7,Dienste!$C$7,IF(AH14=Dienste!$A$8,Dienste!$C$8,IF(AH14=Dienste!$A$9,Dienste!$C$9,IF(AH14=Dienste!$A$10,Dienste!$C$10,IF(AH14=Dienste!$A$11,Dienste!$C$11,IF(AH14=Dienste!$A$12,Dienste!$C$12,IF(AH14=Dienste!$A$13,Dienste!$C$13,IF(AH14=Dienste!$A$14,Dienste!$C$14,IF(AH14=Dienste!$A$15,Dienste!$C$15,IF(AH14=Dienste!$A$16,Dienste!$C$16,IF(AH14=Dienste!$A$17,Dienste!$C$17,IF(AH14=Dienste!$A$18,Dienste!$C$18,IF(AH14=Dienste!$A$19,Dienste!$C$19,IF(AH14=Dienste!$A$20,Dienste!$C$20,IF(AH14=Dienste!$A$21,Dienste!$C$21,IF(AH14=Dienste!$A$22,Dienste!$C$22,IF(AH14=Dienste!$A$23,Dienste!$C$23,IF(AH14=Dienste!$A$24,Dienste!$C$24,IF(AH14=Dienste!$A$25,Dienste!$C$25,IF(AH14=Dienste!$A$26,Dienste!$C$26,IF(AH14=Dienste!$A$27,Dienste!$C$27,IF(AH14=Dienste!$A$28,Dienste!$C$28,IF(AH14=Dienste!#REF!,Dienste!#REF!,IF(AH14=Dienste!#REF!,Dienste!#REF!,IF(AH14=Dienste!#REF!,Dienste!#REF!,IF(AH14=Dienste!#REF!,Dienste!#REF!,IF(AH14=Dienste!$A$33,Dienste!$C$33,IF(AH14=Dienste!$A$34,Dienste!$C$34,IF(AH14=Dienste!$A$35,Dienste!$C$35,IF(AH14=Dienste!$A$36,Dienste!$C$36,)))))))))))))))))))))))))))))))))))</f>
        <v>8</v>
      </c>
      <c r="CC14" s="27" t="e">
        <f>IF(AI14=Dienste!$A$2,Dienste!$C$2,IF(AI14=Dienste!$A$3,Dienste!$C$3,IF(AI14=Dienste!$A$4,Dienste!$C$4,IF(AI14=Dienste!$A$5,Dienste!$C$5,IF(AI14=Dienste!$A$6,Dienste!$C$6,IF(AI14=Dienste!$A$7,Dienste!$C$7,IF(AI14=Dienste!$A$8,Dienste!$C$8,IF(AI14=Dienste!$A$9,Dienste!$C$9,IF(AI14=Dienste!$A$10,Dienste!$C$10,IF(AI14=Dienste!$A$11,Dienste!$C$11,IF(AI14=Dienste!$A$12,Dienste!$C$12,IF(AI14=Dienste!$A$13,Dienste!$C$13,IF(AI14=Dienste!$A$14,Dienste!$C$14,IF(AI14=Dienste!$A$15,Dienste!$C$15,IF(AI14=Dienste!$A$16,Dienste!$C$16,IF(AI14=Dienste!$A$17,Dienste!$C$17,IF(AI14=Dienste!$A$18,Dienste!$C$18,IF(AI14=Dienste!$A$19,Dienste!$C$19,IF(AI14=Dienste!$A$20,Dienste!$C$20,IF(AI14=Dienste!$A$21,Dienste!$C$21,IF(AI14=Dienste!$A$22,Dienste!$C$22,IF(AI14=Dienste!$A$23,Dienste!$C$23,IF(AI14=Dienste!$A$24,Dienste!$C$24,IF(AI14=Dienste!$A$25,Dienste!$C$25,IF(AI14=Dienste!$A$26,Dienste!$C$26,IF(AI14=Dienste!$A$27,Dienste!$C$27,IF(AI14=Dienste!$A$28,Dienste!$C$28,IF(AI14=Dienste!#REF!,Dienste!#REF!,IF(AI14=Dienste!#REF!,Dienste!#REF!,IF(AI14=Dienste!#REF!,Dienste!#REF!,IF(AI14=Dienste!#REF!,Dienste!#REF!,IF(AI14=Dienste!$A$33,Dienste!$C$33,IF(AI14=Dienste!$A$34,Dienste!$C$34,IF(AI14=Dienste!$A$35,Dienste!$C$35,IF(AI14=Dienste!$A$36,Dienste!$C$36,)))))))))))))))))))))))))))))))))))</f>
        <v>#REF!</v>
      </c>
    </row>
    <row r="15" spans="1:81" x14ac:dyDescent="0.25">
      <c r="A15" s="109" t="s">
        <v>132</v>
      </c>
      <c r="B15" s="15" t="s">
        <v>230</v>
      </c>
      <c r="C15" s="15">
        <v>40</v>
      </c>
      <c r="D15" s="98">
        <v>1</v>
      </c>
      <c r="E15" s="104" t="s">
        <v>83</v>
      </c>
      <c r="F15" s="9" t="s">
        <v>6</v>
      </c>
      <c r="G15" s="9" t="s">
        <v>365</v>
      </c>
      <c r="H15" s="9" t="s">
        <v>6</v>
      </c>
      <c r="I15" s="9" t="s">
        <v>31</v>
      </c>
      <c r="J15" s="9" t="s">
        <v>31</v>
      </c>
      <c r="K15" s="9" t="s">
        <v>83</v>
      </c>
      <c r="L15" s="9" t="s">
        <v>83</v>
      </c>
      <c r="M15" s="9" t="s">
        <v>67</v>
      </c>
      <c r="N15" s="9" t="s">
        <v>67</v>
      </c>
      <c r="O15" s="9" t="s">
        <v>67</v>
      </c>
      <c r="P15" s="9" t="s">
        <v>67</v>
      </c>
      <c r="Q15" s="9" t="s">
        <v>67</v>
      </c>
      <c r="R15" s="9" t="s">
        <v>83</v>
      </c>
      <c r="S15" s="9" t="s">
        <v>83</v>
      </c>
      <c r="T15" s="9" t="s">
        <v>31</v>
      </c>
      <c r="U15" s="9" t="s">
        <v>6</v>
      </c>
      <c r="V15" s="9" t="s">
        <v>31</v>
      </c>
      <c r="W15" s="9" t="s">
        <v>31</v>
      </c>
      <c r="X15" s="9" t="s">
        <v>31</v>
      </c>
      <c r="Y15" s="9" t="s">
        <v>83</v>
      </c>
      <c r="Z15" s="9" t="s">
        <v>83</v>
      </c>
      <c r="AA15" s="9" t="s">
        <v>31</v>
      </c>
      <c r="AB15" s="9" t="s">
        <v>365</v>
      </c>
      <c r="AC15" s="9" t="s">
        <v>31</v>
      </c>
      <c r="AD15" s="9" t="s">
        <v>26</v>
      </c>
      <c r="AE15" s="9" t="s">
        <v>31</v>
      </c>
      <c r="AF15" s="9" t="s">
        <v>53</v>
      </c>
      <c r="AG15" s="9" t="s">
        <v>83</v>
      </c>
      <c r="AH15" s="9" t="s">
        <v>83</v>
      </c>
      <c r="AI15" s="15"/>
      <c r="AJ15" s="109">
        <v>1.7</v>
      </c>
      <c r="AK15" s="15">
        <v>168</v>
      </c>
      <c r="AL15" s="109">
        <v>169</v>
      </c>
      <c r="AM15" s="15">
        <v>2.7</v>
      </c>
      <c r="AN15" s="170">
        <v>1</v>
      </c>
      <c r="AO15" s="109">
        <v>16.8</v>
      </c>
      <c r="AP15" s="15">
        <v>3</v>
      </c>
      <c r="AQ15" s="98">
        <v>4</v>
      </c>
      <c r="AR15" s="109">
        <v>60</v>
      </c>
      <c r="AS15" s="15">
        <v>42.676923076923075</v>
      </c>
      <c r="AT15" s="98">
        <v>26</v>
      </c>
      <c r="AU15" s="96" t="e">
        <f t="shared" si="2"/>
        <v>#REF!</v>
      </c>
      <c r="AV15" s="27" t="e">
        <f t="shared" si="0"/>
        <v>#REF!</v>
      </c>
      <c r="AW15" s="58" t="e">
        <f t="shared" si="1"/>
        <v>#REF!</v>
      </c>
      <c r="AY15" s="27">
        <f>IF(E15=Dienste!$A$2,Dienste!$C$2,IF(E15=Dienste!$A$3,Dienste!$C$3,IF(E15=Dienste!$A$4,Dienste!$C$4,IF(E15=Dienste!$A$5,Dienste!$C$5,IF(E15=Dienste!$A$6,Dienste!$C$6,IF(E15=Dienste!$A$7,Dienste!$C$7,IF(E15=Dienste!$A$8,Dienste!$C$8,IF(E15=Dienste!$A$9,Dienste!$C$9,IF(E15=Dienste!$A$10,Dienste!$C$10,IF(E15=Dienste!$A$11,Dienste!$C$11,IF(E15=Dienste!$A$12,Dienste!$C$12,IF(E15=Dienste!$A$13,Dienste!$C$13,IF(E15=Dienste!$A$14,Dienste!$C$14,IF(E15=Dienste!$A$15,Dienste!$C$15,IF(E15=Dienste!$A$16,Dienste!$C$16,IF(E15=Dienste!$A$17,Dienste!$C$17,IF(E15=Dienste!$A$18,Dienste!$C$18,IF(E15=Dienste!$A$19,Dienste!$C$19,IF(E15=Dienste!$A$20,Dienste!$C$20,IF(E15=Dienste!$A$21,Dienste!$C$21,IF(E15=Dienste!$A$22,Dienste!$C$22,IF(E15=Dienste!$A$23,Dienste!$C$23,IF(E15=Dienste!$A$24,Dienste!$C$24,IF(E15=Dienste!$A$25,Dienste!$C$25,IF(E15=Dienste!$A$26,Dienste!$C$26,IF(E15=Dienste!$A$27,Dienste!$C$27,IF(E15=Dienste!$A$28,Dienste!$C$28,IF(E15=Dienste!#REF!,Dienste!#REF!,IF(E15=Dienste!#REF!,Dienste!#REF!,IF(E15=Dienste!#REF!,Dienste!#REF!,IF(E15=Dienste!#REF!,Dienste!#REF!,IF(E15=Dienste!$A$33,Dienste!$C$33,IF(E15=Dienste!$A$34,Dienste!$C$34,IF(E15=Dienste!$A$35,Dienste!$C$35,IF(E15=Dienste!$A$36,Dienste!$C$36,)))))))))))))))))))))))))))))))))))</f>
        <v>0</v>
      </c>
      <c r="AZ15" s="27">
        <f>IF(F15=Dienste!$A$2,Dienste!$C$2,IF(F15=Dienste!$A$3,Dienste!$C$3,IF(F15=Dienste!$A$4,Dienste!$C$4,IF(F15=Dienste!$A$5,Dienste!$C$5,IF(F15=Dienste!$A$6,Dienste!$C$6,IF(F15=Dienste!$A$7,Dienste!$C$7,IF(F15=Dienste!$A$8,Dienste!$C$8,IF(F15=Dienste!$A$9,Dienste!$C$9,IF(F15=Dienste!$A$10,Dienste!$C$10,IF(F15=Dienste!$A$11,Dienste!$C$11,IF(F15=Dienste!$A$12,Dienste!$C$12,IF(F15=Dienste!$A$13,Dienste!$C$13,IF(F15=Dienste!$A$14,Dienste!$C$14,IF(F15=Dienste!$A$15,Dienste!$C$15,IF(F15=Dienste!$A$16,Dienste!$C$16,IF(F15=Dienste!$A$17,Dienste!$C$17,IF(F15=Dienste!$A$18,Dienste!$C$18,IF(F15=Dienste!$A$19,Dienste!$C$19,IF(F15=Dienste!$A$20,Dienste!$C$20,IF(F15=Dienste!$A$21,Dienste!$C$21,IF(F15=Dienste!$A$22,Dienste!$C$22,IF(F15=Dienste!$A$23,Dienste!$C$23,IF(F15=Dienste!$A$24,Dienste!$C$24,IF(F15=Dienste!$A$25,Dienste!$C$25,IF(F15=Dienste!$A$26,Dienste!$C$26,IF(F15=Dienste!$A$27,Dienste!$C$27,IF(F15=Dienste!$A$28,Dienste!$C$28,IF(F15=Dienste!#REF!,Dienste!#REF!,IF(F15=Dienste!#REF!,Dienste!#REF!,IF(F15=Dienste!#REF!,Dienste!#REF!,IF(F15=Dienste!#REF!,Dienste!#REF!,IF(F15=Dienste!$A$33,Dienste!$C$33,IF(F15=Dienste!$A$34,Dienste!$C$34,IF(F15=Dienste!$A$35,Dienste!$C$35,IF(F15=Dienste!$A$36,Dienste!$C$36,)))))))))))))))))))))))))))))))))))</f>
        <v>8</v>
      </c>
      <c r="BA15" s="27" t="e">
        <f>IF(G15=Dienste!$A$2,Dienste!$C$2,IF(G15=Dienste!$A$3,Dienste!$C$3,IF(G15=Dienste!$A$4,Dienste!$C$4,IF(G15=Dienste!$A$5,Dienste!$C$5,IF(G15=Dienste!$A$6,Dienste!$C$6,IF(G15=Dienste!$A$7,Dienste!$C$7,IF(G15=Dienste!$A$8,Dienste!$C$8,IF(G15=Dienste!$A$9,Dienste!$C$9,IF(G15=Dienste!$A$10,Dienste!$C$10,IF(G15=Dienste!$A$11,Dienste!$C$11,IF(G15=Dienste!$A$12,Dienste!$C$12,IF(G15=Dienste!$A$13,Dienste!$C$13,IF(G15=Dienste!$A$14,Dienste!$C$14,IF(G15=Dienste!$A$15,Dienste!$C$15,IF(G15=Dienste!$A$16,Dienste!$C$16,IF(G15=Dienste!$A$17,Dienste!$C$17,IF(G15=Dienste!$A$18,Dienste!$C$18,IF(G15=Dienste!$A$19,Dienste!$C$19,IF(G15=Dienste!$A$20,Dienste!$C$20,IF(G15=Dienste!$A$21,Dienste!$C$21,IF(G15=Dienste!$A$22,Dienste!$C$22,IF(G15=Dienste!$A$23,Dienste!$C$23,IF(G15=Dienste!$A$24,Dienste!$C$24,IF(G15=Dienste!$A$25,Dienste!$C$25,IF(G15=Dienste!$A$26,Dienste!$C$26,IF(G15=Dienste!$A$27,Dienste!$C$27,IF(G15=Dienste!$A$28,Dienste!$C$28,IF(G15=Dienste!#REF!,Dienste!#REF!,IF(G15=Dienste!#REF!,Dienste!#REF!,IF(G15=Dienste!#REF!,Dienste!#REF!,IF(G15=Dienste!#REF!,Dienste!#REF!,IF(G15=Dienste!$A$33,Dienste!$C$33,IF(G15=Dienste!$A$34,Dienste!$C$34,IF(G15=Dienste!$A$35,Dienste!$C$35,IF(G15=Dienste!$A$36,Dienste!$C$36,)))))))))))))))))))))))))))))))))))</f>
        <v>#REF!</v>
      </c>
      <c r="BB15" s="27">
        <f>IF(H15=Dienste!$A$2,Dienste!$C$2,IF(H15=Dienste!$A$3,Dienste!$C$3,IF(H15=Dienste!$A$4,Dienste!$C$4,IF(H15=Dienste!$A$5,Dienste!$C$5,IF(H15=Dienste!$A$6,Dienste!$C$6,IF(H15=Dienste!$A$7,Dienste!$C$7,IF(H15=Dienste!$A$8,Dienste!$C$8,IF(H15=Dienste!$A$9,Dienste!$C$9,IF(H15=Dienste!$A$10,Dienste!$C$10,IF(H15=Dienste!$A$11,Dienste!$C$11,IF(H15=Dienste!$A$12,Dienste!$C$12,IF(H15=Dienste!$A$13,Dienste!$C$13,IF(H15=Dienste!$A$14,Dienste!$C$14,IF(H15=Dienste!$A$15,Dienste!$C$15,IF(H15=Dienste!$A$16,Dienste!$C$16,IF(H15=Dienste!$A$17,Dienste!$C$17,IF(H15=Dienste!$A$18,Dienste!$C$18,IF(H15=Dienste!$A$19,Dienste!$C$19,IF(H15=Dienste!$A$20,Dienste!$C$20,IF(H15=Dienste!$A$21,Dienste!$C$21,IF(H15=Dienste!$A$22,Dienste!$C$22,IF(H15=Dienste!$A$23,Dienste!$C$23,IF(H15=Dienste!$A$24,Dienste!$C$24,IF(H15=Dienste!$A$25,Dienste!$C$25,IF(H15=Dienste!$A$26,Dienste!$C$26,IF(H15=Dienste!$A$27,Dienste!$C$27,IF(H15=Dienste!$A$28,Dienste!$C$28,IF(H15=Dienste!#REF!,Dienste!#REF!,IF(H15=Dienste!#REF!,Dienste!#REF!,IF(H15=Dienste!#REF!,Dienste!#REF!,IF(H15=Dienste!#REF!,Dienste!#REF!,IF(H15=Dienste!$A$33,Dienste!$C$33,IF(H15=Dienste!$A$34,Dienste!$C$34,IF(H15=Dienste!$A$35,Dienste!$C$35,IF(H15=Dienste!$A$36,Dienste!$C$36,)))))))))))))))))))))))))))))))))))</f>
        <v>8</v>
      </c>
      <c r="BC15" s="27">
        <f>IF(I15=Dienste!$A$2,Dienste!$C$2,IF(I15=Dienste!$A$3,Dienste!$C$3,IF(I15=Dienste!$A$4,Dienste!$C$4,IF(I15=Dienste!$A$5,Dienste!$C$5,IF(I15=Dienste!$A$6,Dienste!$C$6,IF(I15=Dienste!$A$7,Dienste!$C$7,IF(I15=Dienste!$A$8,Dienste!$C$8,IF(I15=Dienste!$A$9,Dienste!$C$9,IF(I15=Dienste!$A$10,Dienste!$C$10,IF(I15=Dienste!$A$11,Dienste!$C$11,IF(I15=Dienste!$A$12,Dienste!$C$12,IF(I15=Dienste!$A$13,Dienste!$C$13,IF(I15=Dienste!$A$14,Dienste!$C$14,IF(I15=Dienste!$A$15,Dienste!$C$15,IF(I15=Dienste!$A$16,Dienste!$C$16,IF(I15=Dienste!$A$17,Dienste!$C$17,IF(I15=Dienste!$A$18,Dienste!$C$18,IF(I15=Dienste!$A$19,Dienste!$C$19,IF(I15=Dienste!$A$20,Dienste!$C$20,IF(I15=Dienste!$A$21,Dienste!$C$21,IF(I15=Dienste!$A$22,Dienste!$C$22,IF(I15=Dienste!$A$23,Dienste!$C$23,IF(I15=Dienste!$A$24,Dienste!$C$24,IF(I15=Dienste!$A$25,Dienste!$C$25,IF(I15=Dienste!$A$26,Dienste!$C$26,IF(I15=Dienste!$A$27,Dienste!$C$27,IF(I15=Dienste!$A$28,Dienste!$C$28,IF(I15=Dienste!#REF!,Dienste!#REF!,IF(I15=Dienste!#REF!,Dienste!#REF!,IF(I15=Dienste!#REF!,Dienste!#REF!,IF(I15=Dienste!#REF!,Dienste!#REF!,IF(I15=Dienste!$A$33,Dienste!$C$33,IF(I15=Dienste!$A$34,Dienste!$C$34,IF(I15=Dienste!$A$35,Dienste!$C$35,IF(I15=Dienste!$A$36,Dienste!$C$36,)))))))))))))))))))))))))))))))))))</f>
        <v>8</v>
      </c>
      <c r="BD15" s="27">
        <f>IF(J15=Dienste!$A$2,Dienste!$C$2,IF(J15=Dienste!$A$3,Dienste!$C$3,IF(J15=Dienste!$A$4,Dienste!$C$4,IF(J15=Dienste!$A$5,Dienste!$C$5,IF(J15=Dienste!$A$6,Dienste!$C$6,IF(J15=Dienste!$A$7,Dienste!$C$7,IF(J15=Dienste!$A$8,Dienste!$C$8,IF(J15=Dienste!$A$9,Dienste!$C$9,IF(J15=Dienste!$A$10,Dienste!$C$10,IF(J15=Dienste!$A$11,Dienste!$C$11,IF(J15=Dienste!$A$12,Dienste!$C$12,IF(J15=Dienste!$A$13,Dienste!$C$13,IF(J15=Dienste!$A$14,Dienste!$C$14,IF(J15=Dienste!$A$15,Dienste!$C$15,IF(J15=Dienste!$A$16,Dienste!$C$16,IF(J15=Dienste!$A$17,Dienste!$C$17,IF(J15=Dienste!$A$18,Dienste!$C$18,IF(J15=Dienste!$A$19,Dienste!$C$19,IF(J15=Dienste!$A$20,Dienste!$C$20,IF(J15=Dienste!$A$21,Dienste!$C$21,IF(J15=Dienste!$A$22,Dienste!$C$22,IF(J15=Dienste!$A$23,Dienste!$C$23,IF(J15=Dienste!$A$24,Dienste!$C$24,IF(J15=Dienste!$A$25,Dienste!$C$25,IF(J15=Dienste!$A$26,Dienste!$C$26,IF(J15=Dienste!$A$27,Dienste!$C$27,IF(J15=Dienste!$A$28,Dienste!$C$28,IF(J15=Dienste!#REF!,Dienste!#REF!,IF(J15=Dienste!#REF!,Dienste!#REF!,IF(J15=Dienste!#REF!,Dienste!#REF!,IF(J15=Dienste!#REF!,Dienste!#REF!,IF(J15=Dienste!$A$33,Dienste!$C$33,IF(J15=Dienste!$A$34,Dienste!$C$34,IF(J15=Dienste!$A$35,Dienste!$C$35,IF(J15=Dienste!$A$36,Dienste!$C$36,)))))))))))))))))))))))))))))))))))</f>
        <v>8</v>
      </c>
      <c r="BE15" s="27">
        <f>IF(K15=Dienste!$A$2,Dienste!$C$2,IF(K15=Dienste!$A$3,Dienste!$C$3,IF(K15=Dienste!$A$4,Dienste!$C$4,IF(K15=Dienste!$A$5,Dienste!$C$5,IF(K15=Dienste!$A$6,Dienste!$C$6,IF(K15=Dienste!$A$7,Dienste!$C$7,IF(K15=Dienste!$A$8,Dienste!$C$8,IF(K15=Dienste!$A$9,Dienste!$C$9,IF(K15=Dienste!$A$10,Dienste!$C$10,IF(K15=Dienste!$A$11,Dienste!$C$11,IF(K15=Dienste!$A$12,Dienste!$C$12,IF(K15=Dienste!$A$13,Dienste!$C$13,IF(K15=Dienste!$A$14,Dienste!$C$14,IF(K15=Dienste!$A$15,Dienste!$C$15,IF(K15=Dienste!$A$16,Dienste!$C$16,IF(K15=Dienste!$A$17,Dienste!$C$17,IF(K15=Dienste!$A$18,Dienste!$C$18,IF(K15=Dienste!$A$19,Dienste!$C$19,IF(K15=Dienste!$A$20,Dienste!$C$20,IF(K15=Dienste!$A$21,Dienste!$C$21,IF(K15=Dienste!$A$22,Dienste!$C$22,IF(K15=Dienste!$A$23,Dienste!$C$23,IF(K15=Dienste!$A$24,Dienste!$C$24,IF(K15=Dienste!$A$25,Dienste!$C$25,IF(K15=Dienste!$A$26,Dienste!$C$26,IF(K15=Dienste!$A$27,Dienste!$C$27,IF(K15=Dienste!$A$28,Dienste!$C$28,IF(K15=Dienste!#REF!,Dienste!#REF!,IF(K15=Dienste!#REF!,Dienste!#REF!,IF(K15=Dienste!#REF!,Dienste!#REF!,IF(K15=Dienste!#REF!,Dienste!#REF!,IF(K15=Dienste!$A$33,Dienste!$C$33,IF(K15=Dienste!$A$34,Dienste!$C$34,IF(K15=Dienste!$A$35,Dienste!$C$35,IF(K15=Dienste!$A$36,Dienste!$C$36,)))))))))))))))))))))))))))))))))))</f>
        <v>0</v>
      </c>
      <c r="BF15" s="27">
        <f>IF(L15=Dienste!$A$2,Dienste!$C$2,IF(L15=Dienste!$A$3,Dienste!$C$3,IF(L15=Dienste!$A$4,Dienste!$C$4,IF(L15=Dienste!$A$5,Dienste!$C$5,IF(L15=Dienste!$A$6,Dienste!$C$6,IF(L15=Dienste!$A$7,Dienste!$C$7,IF(L15=Dienste!$A$8,Dienste!$C$8,IF(L15=Dienste!$A$9,Dienste!$C$9,IF(L15=Dienste!$A$10,Dienste!$C$10,IF(L15=Dienste!$A$11,Dienste!$C$11,IF(L15=Dienste!$A$12,Dienste!$C$12,IF(L15=Dienste!$A$13,Dienste!$C$13,IF(L15=Dienste!$A$14,Dienste!$C$14,IF(L15=Dienste!$A$15,Dienste!$C$15,IF(L15=Dienste!$A$16,Dienste!$C$16,IF(L15=Dienste!$A$17,Dienste!$C$17,IF(L15=Dienste!$A$18,Dienste!$C$18,IF(L15=Dienste!$A$19,Dienste!$C$19,IF(L15=Dienste!$A$20,Dienste!$C$20,IF(L15=Dienste!$A$21,Dienste!$C$21,IF(L15=Dienste!$A$22,Dienste!$C$22,IF(L15=Dienste!$A$23,Dienste!$C$23,IF(L15=Dienste!$A$24,Dienste!$C$24,IF(L15=Dienste!$A$25,Dienste!$C$25,IF(L15=Dienste!$A$26,Dienste!$C$26,IF(L15=Dienste!$A$27,Dienste!$C$27,IF(L15=Dienste!$A$28,Dienste!$C$28,IF(L15=Dienste!#REF!,Dienste!#REF!,IF(L15=Dienste!#REF!,Dienste!#REF!,IF(L15=Dienste!#REF!,Dienste!#REF!,IF(L15=Dienste!#REF!,Dienste!#REF!,IF(L15=Dienste!$A$33,Dienste!$C$33,IF(L15=Dienste!$A$34,Dienste!$C$34,IF(L15=Dienste!$A$35,Dienste!$C$35,IF(L15=Dienste!$A$36,Dienste!$C$36,)))))))))))))))))))))))))))))))))))</f>
        <v>0</v>
      </c>
      <c r="BG15" s="27">
        <f>IF(M15=Dienste!$A$2,Dienste!$C$2,IF(M15=Dienste!$A$3,Dienste!$C$3,IF(M15=Dienste!$A$4,Dienste!$C$4,IF(M15=Dienste!$A$5,Dienste!$C$5,IF(M15=Dienste!$A$6,Dienste!$C$6,IF(M15=Dienste!$A$7,Dienste!$C$7,IF(M15=Dienste!$A$8,Dienste!$C$8,IF(M15=Dienste!$A$9,Dienste!$C$9,IF(M15=Dienste!$A$10,Dienste!$C$10,IF(M15=Dienste!$A$11,Dienste!$C$11,IF(M15=Dienste!$A$12,Dienste!$C$12,IF(M15=Dienste!$A$13,Dienste!$C$13,IF(M15=Dienste!$A$14,Dienste!$C$14,IF(M15=Dienste!$A$15,Dienste!$C$15,IF(M15=Dienste!$A$16,Dienste!$C$16,IF(M15=Dienste!$A$17,Dienste!$C$17,IF(M15=Dienste!$A$18,Dienste!$C$18,IF(M15=Dienste!$A$19,Dienste!$C$19,IF(M15=Dienste!$A$20,Dienste!$C$20,IF(M15=Dienste!$A$21,Dienste!$C$21,IF(M15=Dienste!$A$22,Dienste!$C$22,IF(M15=Dienste!$A$23,Dienste!$C$23,IF(M15=Dienste!$A$24,Dienste!$C$24,IF(M15=Dienste!$A$25,Dienste!$C$25,IF(M15=Dienste!$A$26,Dienste!$C$26,IF(M15=Dienste!$A$27,Dienste!$C$27,IF(M15=Dienste!$A$28,Dienste!$C$28,IF(M15=Dienste!#REF!,Dienste!#REF!,IF(M15=Dienste!#REF!,Dienste!#REF!,IF(M15=Dienste!#REF!,Dienste!#REF!,IF(M15=Dienste!#REF!,Dienste!#REF!,IF(M15=Dienste!$A$33,Dienste!$C$33,IF(M15=Dienste!$A$34,Dienste!$C$34,IF(M15=Dienste!$A$35,Dienste!$C$35,IF(M15=Dienste!$A$36,Dienste!$C$36,)))))))))))))))))))))))))))))))))))</f>
        <v>8</v>
      </c>
      <c r="BH15" s="27">
        <f>IF(N15=Dienste!$A$2,Dienste!$C$2,IF(N15=Dienste!$A$3,Dienste!$C$3,IF(N15=Dienste!$A$4,Dienste!$C$4,IF(N15=Dienste!$A$5,Dienste!$C$5,IF(N15=Dienste!$A$6,Dienste!$C$6,IF(N15=Dienste!$A$7,Dienste!$C$7,IF(N15=Dienste!$A$8,Dienste!$C$8,IF(N15=Dienste!$A$9,Dienste!$C$9,IF(N15=Dienste!$A$10,Dienste!$C$10,IF(N15=Dienste!$A$11,Dienste!$C$11,IF(N15=Dienste!$A$12,Dienste!$C$12,IF(N15=Dienste!$A$13,Dienste!$C$13,IF(N15=Dienste!$A$14,Dienste!$C$14,IF(N15=Dienste!$A$15,Dienste!$C$15,IF(N15=Dienste!$A$16,Dienste!$C$16,IF(N15=Dienste!$A$17,Dienste!$C$17,IF(N15=Dienste!$A$18,Dienste!$C$18,IF(N15=Dienste!$A$19,Dienste!$C$19,IF(N15=Dienste!$A$20,Dienste!$C$20,IF(N15=Dienste!$A$21,Dienste!$C$21,IF(N15=Dienste!$A$22,Dienste!$C$22,IF(N15=Dienste!$A$23,Dienste!$C$23,IF(N15=Dienste!$A$24,Dienste!$C$24,IF(N15=Dienste!$A$25,Dienste!$C$25,IF(N15=Dienste!$A$26,Dienste!$C$26,IF(N15=Dienste!$A$27,Dienste!$C$27,IF(N15=Dienste!$A$28,Dienste!$C$28,IF(N15=Dienste!#REF!,Dienste!#REF!,IF(N15=Dienste!#REF!,Dienste!#REF!,IF(N15=Dienste!#REF!,Dienste!#REF!,IF(N15=Dienste!#REF!,Dienste!#REF!,IF(N15=Dienste!$A$33,Dienste!$C$33,IF(N15=Dienste!$A$34,Dienste!$C$34,IF(N15=Dienste!$A$35,Dienste!$C$35,IF(N15=Dienste!$A$36,Dienste!$C$36,)))))))))))))))))))))))))))))))))))</f>
        <v>8</v>
      </c>
      <c r="BI15" s="27">
        <f>IF(O15=Dienste!$A$2,Dienste!$C$2,IF(O15=Dienste!$A$3,Dienste!$C$3,IF(O15=Dienste!$A$4,Dienste!$C$4,IF(O15=Dienste!$A$5,Dienste!$C$5,IF(O15=Dienste!$A$6,Dienste!$C$6,IF(O15=Dienste!$A$7,Dienste!$C$7,IF(O15=Dienste!$A$8,Dienste!$C$8,IF(O15=Dienste!$A$9,Dienste!$C$9,IF(O15=Dienste!$A$10,Dienste!$C$10,IF(O15=Dienste!$A$11,Dienste!$C$11,IF(O15=Dienste!$A$12,Dienste!$C$12,IF(O15=Dienste!$A$13,Dienste!$C$13,IF(O15=Dienste!$A$14,Dienste!$C$14,IF(O15=Dienste!$A$15,Dienste!$C$15,IF(O15=Dienste!$A$16,Dienste!$C$16,IF(O15=Dienste!$A$17,Dienste!$C$17,IF(O15=Dienste!$A$18,Dienste!$C$18,IF(O15=Dienste!$A$19,Dienste!$C$19,IF(O15=Dienste!$A$20,Dienste!$C$20,IF(O15=Dienste!$A$21,Dienste!$C$21,IF(O15=Dienste!$A$22,Dienste!$C$22,IF(O15=Dienste!$A$23,Dienste!$C$23,IF(O15=Dienste!$A$24,Dienste!$C$24,IF(O15=Dienste!$A$25,Dienste!$C$25,IF(O15=Dienste!$A$26,Dienste!$C$26,IF(O15=Dienste!$A$27,Dienste!$C$27,IF(O15=Dienste!$A$28,Dienste!$C$28,IF(O15=Dienste!#REF!,Dienste!#REF!,IF(O15=Dienste!#REF!,Dienste!#REF!,IF(O15=Dienste!#REF!,Dienste!#REF!,IF(O15=Dienste!#REF!,Dienste!#REF!,IF(O15=Dienste!$A$33,Dienste!$C$33,IF(O15=Dienste!$A$34,Dienste!$C$34,IF(O15=Dienste!$A$35,Dienste!$C$35,IF(O15=Dienste!$A$36,Dienste!$C$36,)))))))))))))))))))))))))))))))))))</f>
        <v>8</v>
      </c>
      <c r="BJ15" s="27">
        <f>IF(P15=Dienste!$A$2,Dienste!$C$2,IF(P15=Dienste!$A$3,Dienste!$C$3,IF(P15=Dienste!$A$4,Dienste!$C$4,IF(P15=Dienste!$A$5,Dienste!$C$5,IF(P15=Dienste!$A$6,Dienste!$C$6,IF(P15=Dienste!$A$7,Dienste!$C$7,IF(P15=Dienste!$A$8,Dienste!$C$8,IF(P15=Dienste!$A$9,Dienste!$C$9,IF(P15=Dienste!$A$10,Dienste!$C$10,IF(P15=Dienste!$A$11,Dienste!$C$11,IF(P15=Dienste!$A$12,Dienste!$C$12,IF(P15=Dienste!$A$13,Dienste!$C$13,IF(P15=Dienste!$A$14,Dienste!$C$14,IF(P15=Dienste!$A$15,Dienste!$C$15,IF(P15=Dienste!$A$16,Dienste!$C$16,IF(P15=Dienste!$A$17,Dienste!$C$17,IF(P15=Dienste!$A$18,Dienste!$C$18,IF(P15=Dienste!$A$19,Dienste!$C$19,IF(P15=Dienste!$A$20,Dienste!$C$20,IF(P15=Dienste!$A$21,Dienste!$C$21,IF(P15=Dienste!$A$22,Dienste!$C$22,IF(P15=Dienste!$A$23,Dienste!$C$23,IF(P15=Dienste!$A$24,Dienste!$C$24,IF(P15=Dienste!$A$25,Dienste!$C$25,IF(P15=Dienste!$A$26,Dienste!$C$26,IF(P15=Dienste!$A$27,Dienste!$C$27,IF(P15=Dienste!$A$28,Dienste!$C$28,IF(P15=Dienste!#REF!,Dienste!#REF!,IF(P15=Dienste!#REF!,Dienste!#REF!,IF(P15=Dienste!#REF!,Dienste!#REF!,IF(P15=Dienste!#REF!,Dienste!#REF!,IF(P15=Dienste!$A$33,Dienste!$C$33,IF(P15=Dienste!$A$34,Dienste!$C$34,IF(P15=Dienste!$A$35,Dienste!$C$35,IF(P15=Dienste!$A$36,Dienste!$C$36,)))))))))))))))))))))))))))))))))))</f>
        <v>8</v>
      </c>
      <c r="BK15" s="27">
        <f>IF(Q15=Dienste!$A$2,Dienste!$C$2,IF(Q15=Dienste!$A$3,Dienste!$C$3,IF(Q15=Dienste!$A$4,Dienste!$C$4,IF(Q15=Dienste!$A$5,Dienste!$C$5,IF(Q15=Dienste!$A$6,Dienste!$C$6,IF(Q15=Dienste!$A$7,Dienste!$C$7,IF(Q15=Dienste!$A$8,Dienste!$C$8,IF(Q15=Dienste!$A$9,Dienste!$C$9,IF(Q15=Dienste!$A$10,Dienste!$C$10,IF(Q15=Dienste!$A$11,Dienste!$C$11,IF(Q15=Dienste!$A$12,Dienste!$C$12,IF(Q15=Dienste!$A$13,Dienste!$C$13,IF(Q15=Dienste!$A$14,Dienste!$C$14,IF(Q15=Dienste!$A$15,Dienste!$C$15,IF(Q15=Dienste!$A$16,Dienste!$C$16,IF(Q15=Dienste!$A$17,Dienste!$C$17,IF(Q15=Dienste!$A$18,Dienste!$C$18,IF(Q15=Dienste!$A$19,Dienste!$C$19,IF(Q15=Dienste!$A$20,Dienste!$C$20,IF(Q15=Dienste!$A$21,Dienste!$C$21,IF(Q15=Dienste!$A$22,Dienste!$C$22,IF(Q15=Dienste!$A$23,Dienste!$C$23,IF(Q15=Dienste!$A$24,Dienste!$C$24,IF(Q15=Dienste!$A$25,Dienste!$C$25,IF(Q15=Dienste!$A$26,Dienste!$C$26,IF(Q15=Dienste!$A$27,Dienste!$C$27,IF(Q15=Dienste!$A$28,Dienste!$C$28,IF(Q15=Dienste!#REF!,Dienste!#REF!,IF(Q15=Dienste!#REF!,Dienste!#REF!,IF(Q15=Dienste!#REF!,Dienste!#REF!,IF(Q15=Dienste!#REF!,Dienste!#REF!,IF(Q15=Dienste!$A$33,Dienste!$C$33,IF(Q15=Dienste!$A$34,Dienste!$C$34,IF(Q15=Dienste!$A$35,Dienste!$C$35,IF(Q15=Dienste!$A$36,Dienste!$C$36,)))))))))))))))))))))))))))))))))))</f>
        <v>8</v>
      </c>
      <c r="BL15" s="27">
        <f>IF(R15=Dienste!$A$2,Dienste!$C$2,IF(R15=Dienste!$A$3,Dienste!$C$3,IF(R15=Dienste!$A$4,Dienste!$C$4,IF(R15=Dienste!$A$5,Dienste!$C$5,IF(R15=Dienste!$A$6,Dienste!$C$6,IF(R15=Dienste!$A$7,Dienste!$C$7,IF(R15=Dienste!$A$8,Dienste!$C$8,IF(R15=Dienste!$A$9,Dienste!$C$9,IF(R15=Dienste!$A$10,Dienste!$C$10,IF(R15=Dienste!$A$11,Dienste!$C$11,IF(R15=Dienste!$A$12,Dienste!$C$12,IF(R15=Dienste!$A$13,Dienste!$C$13,IF(R15=Dienste!$A$14,Dienste!$C$14,IF(R15=Dienste!$A$15,Dienste!$C$15,IF(R15=Dienste!$A$16,Dienste!$C$16,IF(R15=Dienste!$A$17,Dienste!$C$17,IF(R15=Dienste!$A$18,Dienste!$C$18,IF(R15=Dienste!$A$19,Dienste!$C$19,IF(R15=Dienste!$A$20,Dienste!$C$20,IF(R15=Dienste!$A$21,Dienste!$C$21,IF(R15=Dienste!$A$22,Dienste!$C$22,IF(R15=Dienste!$A$23,Dienste!$C$23,IF(R15=Dienste!$A$24,Dienste!$C$24,IF(R15=Dienste!$A$25,Dienste!$C$25,IF(R15=Dienste!$A$26,Dienste!$C$26,IF(R15=Dienste!$A$27,Dienste!$C$27,IF(R15=Dienste!$A$28,Dienste!$C$28,IF(R15=Dienste!#REF!,Dienste!#REF!,IF(R15=Dienste!#REF!,Dienste!#REF!,IF(R15=Dienste!#REF!,Dienste!#REF!,IF(R15=Dienste!#REF!,Dienste!#REF!,IF(R15=Dienste!$A$33,Dienste!$C$33,IF(R15=Dienste!$A$34,Dienste!$C$34,IF(R15=Dienste!$A$35,Dienste!$C$35,IF(R15=Dienste!$A$36,Dienste!$C$36,)))))))))))))))))))))))))))))))))))</f>
        <v>0</v>
      </c>
      <c r="BM15" s="27">
        <f>IF(S15=Dienste!$A$2,Dienste!$C$2,IF(S15=Dienste!$A$3,Dienste!$C$3,IF(S15=Dienste!$A$4,Dienste!$C$4,IF(S15=Dienste!$A$5,Dienste!$C$5,IF(S15=Dienste!$A$6,Dienste!$C$6,IF(S15=Dienste!$A$7,Dienste!$C$7,IF(S15=Dienste!$A$8,Dienste!$C$8,IF(S15=Dienste!$A$9,Dienste!$C$9,IF(S15=Dienste!$A$10,Dienste!$C$10,IF(S15=Dienste!$A$11,Dienste!$C$11,IF(S15=Dienste!$A$12,Dienste!$C$12,IF(S15=Dienste!$A$13,Dienste!$C$13,IF(S15=Dienste!$A$14,Dienste!$C$14,IF(S15=Dienste!$A$15,Dienste!$C$15,IF(S15=Dienste!$A$16,Dienste!$C$16,IF(S15=Dienste!$A$17,Dienste!$C$17,IF(S15=Dienste!$A$18,Dienste!$C$18,IF(S15=Dienste!$A$19,Dienste!$C$19,IF(S15=Dienste!$A$20,Dienste!$C$20,IF(S15=Dienste!$A$21,Dienste!$C$21,IF(S15=Dienste!$A$22,Dienste!$C$22,IF(S15=Dienste!$A$23,Dienste!$C$23,IF(S15=Dienste!$A$24,Dienste!$C$24,IF(S15=Dienste!$A$25,Dienste!$C$25,IF(S15=Dienste!$A$26,Dienste!$C$26,IF(S15=Dienste!$A$27,Dienste!$C$27,IF(S15=Dienste!$A$28,Dienste!$C$28,IF(S15=Dienste!#REF!,Dienste!#REF!,IF(S15=Dienste!#REF!,Dienste!#REF!,IF(S15=Dienste!#REF!,Dienste!#REF!,IF(S15=Dienste!#REF!,Dienste!#REF!,IF(S15=Dienste!$A$33,Dienste!$C$33,IF(S15=Dienste!$A$34,Dienste!$C$34,IF(S15=Dienste!$A$35,Dienste!$C$35,IF(S15=Dienste!$A$36,Dienste!$C$36,)))))))))))))))))))))))))))))))))))</f>
        <v>0</v>
      </c>
      <c r="BN15" s="27">
        <f>IF(T15=Dienste!$A$2,Dienste!$C$2,IF(T15=Dienste!$A$3,Dienste!$C$3,IF(T15=Dienste!$A$4,Dienste!$C$4,IF(T15=Dienste!$A$5,Dienste!$C$5,IF(T15=Dienste!$A$6,Dienste!$C$6,IF(T15=Dienste!$A$7,Dienste!$C$7,IF(T15=Dienste!$A$8,Dienste!$C$8,IF(T15=Dienste!$A$9,Dienste!$C$9,IF(T15=Dienste!$A$10,Dienste!$C$10,IF(T15=Dienste!$A$11,Dienste!$C$11,IF(T15=Dienste!$A$12,Dienste!$C$12,IF(T15=Dienste!$A$13,Dienste!$C$13,IF(T15=Dienste!$A$14,Dienste!$C$14,IF(T15=Dienste!$A$15,Dienste!$C$15,IF(T15=Dienste!$A$16,Dienste!$C$16,IF(T15=Dienste!$A$17,Dienste!$C$17,IF(T15=Dienste!$A$18,Dienste!$C$18,IF(T15=Dienste!$A$19,Dienste!$C$19,IF(T15=Dienste!$A$20,Dienste!$C$20,IF(T15=Dienste!$A$21,Dienste!$C$21,IF(T15=Dienste!$A$22,Dienste!$C$22,IF(T15=Dienste!$A$23,Dienste!$C$23,IF(T15=Dienste!$A$24,Dienste!$C$24,IF(T15=Dienste!$A$25,Dienste!$C$25,IF(T15=Dienste!$A$26,Dienste!$C$26,IF(T15=Dienste!$A$27,Dienste!$C$27,IF(T15=Dienste!$A$28,Dienste!$C$28,IF(T15=Dienste!#REF!,Dienste!#REF!,IF(T15=Dienste!#REF!,Dienste!#REF!,IF(T15=Dienste!#REF!,Dienste!#REF!,IF(T15=Dienste!#REF!,Dienste!#REF!,IF(T15=Dienste!$A$33,Dienste!$C$33,IF(T15=Dienste!$A$34,Dienste!$C$34,IF(T15=Dienste!$A$35,Dienste!$C$35,IF(T15=Dienste!$A$36,Dienste!$C$36,)))))))))))))))))))))))))))))))))))</f>
        <v>8</v>
      </c>
      <c r="BO15" s="27">
        <f>IF(U15=Dienste!$A$2,Dienste!$C$2,IF(U15=Dienste!$A$3,Dienste!$C$3,IF(U15=Dienste!$A$4,Dienste!$C$4,IF(U15=Dienste!$A$5,Dienste!$C$5,IF(U15=Dienste!$A$6,Dienste!$C$6,IF(U15=Dienste!$A$7,Dienste!$C$7,IF(U15=Dienste!$A$8,Dienste!$C$8,IF(U15=Dienste!$A$9,Dienste!$C$9,IF(U15=Dienste!$A$10,Dienste!$C$10,IF(U15=Dienste!$A$11,Dienste!$C$11,IF(U15=Dienste!$A$12,Dienste!$C$12,IF(U15=Dienste!$A$13,Dienste!$C$13,IF(U15=Dienste!$A$14,Dienste!$C$14,IF(U15=Dienste!$A$15,Dienste!$C$15,IF(U15=Dienste!$A$16,Dienste!$C$16,IF(U15=Dienste!$A$17,Dienste!$C$17,IF(U15=Dienste!$A$18,Dienste!$C$18,IF(U15=Dienste!$A$19,Dienste!$C$19,IF(U15=Dienste!$A$20,Dienste!$C$20,IF(U15=Dienste!$A$21,Dienste!$C$21,IF(U15=Dienste!$A$22,Dienste!$C$22,IF(U15=Dienste!$A$23,Dienste!$C$23,IF(U15=Dienste!$A$24,Dienste!$C$24,IF(U15=Dienste!$A$25,Dienste!$C$25,IF(U15=Dienste!$A$26,Dienste!$C$26,IF(U15=Dienste!$A$27,Dienste!$C$27,IF(U15=Dienste!$A$28,Dienste!$C$28,IF(U15=Dienste!#REF!,Dienste!#REF!,IF(U15=Dienste!#REF!,Dienste!#REF!,IF(U15=Dienste!#REF!,Dienste!#REF!,IF(U15=Dienste!#REF!,Dienste!#REF!,IF(U15=Dienste!$A$33,Dienste!$C$33,IF(U15=Dienste!$A$34,Dienste!$C$34,IF(U15=Dienste!$A$35,Dienste!$C$35,IF(U15=Dienste!$A$36,Dienste!$C$36,)))))))))))))))))))))))))))))))))))</f>
        <v>8</v>
      </c>
      <c r="BP15" s="27">
        <f>IF(V15=Dienste!$A$2,Dienste!$C$2,IF(V15=Dienste!$A$3,Dienste!$C$3,IF(V15=Dienste!$A$4,Dienste!$C$4,IF(V15=Dienste!$A$5,Dienste!$C$5,IF(V15=Dienste!$A$6,Dienste!$C$6,IF(V15=Dienste!$A$7,Dienste!$C$7,IF(V15=Dienste!$A$8,Dienste!$C$8,IF(V15=Dienste!$A$9,Dienste!$C$9,IF(V15=Dienste!$A$10,Dienste!$C$10,IF(V15=Dienste!$A$11,Dienste!$C$11,IF(V15=Dienste!$A$12,Dienste!$C$12,IF(V15=Dienste!$A$13,Dienste!$C$13,IF(V15=Dienste!$A$14,Dienste!$C$14,IF(V15=Dienste!$A$15,Dienste!$C$15,IF(V15=Dienste!$A$16,Dienste!$C$16,IF(V15=Dienste!$A$17,Dienste!$C$17,IF(V15=Dienste!$A$18,Dienste!$C$18,IF(V15=Dienste!$A$19,Dienste!$C$19,IF(V15=Dienste!$A$20,Dienste!$C$20,IF(V15=Dienste!$A$21,Dienste!$C$21,IF(V15=Dienste!$A$22,Dienste!$C$22,IF(V15=Dienste!$A$23,Dienste!$C$23,IF(V15=Dienste!$A$24,Dienste!$C$24,IF(V15=Dienste!$A$25,Dienste!$C$25,IF(V15=Dienste!$A$26,Dienste!$C$26,IF(V15=Dienste!$A$27,Dienste!$C$27,IF(V15=Dienste!$A$28,Dienste!$C$28,IF(V15=Dienste!#REF!,Dienste!#REF!,IF(V15=Dienste!#REF!,Dienste!#REF!,IF(V15=Dienste!#REF!,Dienste!#REF!,IF(V15=Dienste!#REF!,Dienste!#REF!,IF(V15=Dienste!$A$33,Dienste!$C$33,IF(V15=Dienste!$A$34,Dienste!$C$34,IF(V15=Dienste!$A$35,Dienste!$C$35,IF(V15=Dienste!$A$36,Dienste!$C$36,)))))))))))))))))))))))))))))))))))</f>
        <v>8</v>
      </c>
      <c r="BQ15" s="27">
        <f>IF(W15=Dienste!$A$2,Dienste!$C$2,IF(W15=Dienste!$A$3,Dienste!$C$3,IF(W15=Dienste!$A$4,Dienste!$C$4,IF(W15=Dienste!$A$5,Dienste!$C$5,IF(W15=Dienste!$A$6,Dienste!$C$6,IF(W15=Dienste!$A$7,Dienste!$C$7,IF(W15=Dienste!$A$8,Dienste!$C$8,IF(W15=Dienste!$A$9,Dienste!$C$9,IF(W15=Dienste!$A$10,Dienste!$C$10,IF(W15=Dienste!$A$11,Dienste!$C$11,IF(W15=Dienste!$A$12,Dienste!$C$12,IF(W15=Dienste!$A$13,Dienste!$C$13,IF(W15=Dienste!$A$14,Dienste!$C$14,IF(W15=Dienste!$A$15,Dienste!$C$15,IF(W15=Dienste!$A$16,Dienste!$C$16,IF(W15=Dienste!$A$17,Dienste!$C$17,IF(W15=Dienste!$A$18,Dienste!$C$18,IF(W15=Dienste!$A$19,Dienste!$C$19,IF(W15=Dienste!$A$20,Dienste!$C$20,IF(W15=Dienste!$A$21,Dienste!$C$21,IF(W15=Dienste!$A$22,Dienste!$C$22,IF(W15=Dienste!$A$23,Dienste!$C$23,IF(W15=Dienste!$A$24,Dienste!$C$24,IF(W15=Dienste!$A$25,Dienste!$C$25,IF(W15=Dienste!$A$26,Dienste!$C$26,IF(W15=Dienste!$A$27,Dienste!$C$27,IF(W15=Dienste!$A$28,Dienste!$C$28,IF(W15=Dienste!#REF!,Dienste!#REF!,IF(W15=Dienste!#REF!,Dienste!#REF!,IF(W15=Dienste!#REF!,Dienste!#REF!,IF(W15=Dienste!#REF!,Dienste!#REF!,IF(W15=Dienste!$A$33,Dienste!$C$33,IF(W15=Dienste!$A$34,Dienste!$C$34,IF(W15=Dienste!$A$35,Dienste!$C$35,IF(W15=Dienste!$A$36,Dienste!$C$36,)))))))))))))))))))))))))))))))))))</f>
        <v>8</v>
      </c>
      <c r="BR15" s="27">
        <f>IF(X15=Dienste!$A$2,Dienste!$C$2,IF(X15=Dienste!$A$3,Dienste!$C$3,IF(X15=Dienste!$A$4,Dienste!$C$4,IF(X15=Dienste!$A$5,Dienste!$C$5,IF(X15=Dienste!$A$6,Dienste!$C$6,IF(X15=Dienste!$A$7,Dienste!$C$7,IF(X15=Dienste!$A$8,Dienste!$C$8,IF(X15=Dienste!$A$9,Dienste!$C$9,IF(X15=Dienste!$A$10,Dienste!$C$10,IF(X15=Dienste!$A$11,Dienste!$C$11,IF(X15=Dienste!$A$12,Dienste!$C$12,IF(X15=Dienste!$A$13,Dienste!$C$13,IF(X15=Dienste!$A$14,Dienste!$C$14,IF(X15=Dienste!$A$15,Dienste!$C$15,IF(X15=Dienste!$A$16,Dienste!$C$16,IF(X15=Dienste!$A$17,Dienste!$C$17,IF(X15=Dienste!$A$18,Dienste!$C$18,IF(X15=Dienste!$A$19,Dienste!$C$19,IF(X15=Dienste!$A$20,Dienste!$C$20,IF(X15=Dienste!$A$21,Dienste!$C$21,IF(X15=Dienste!$A$22,Dienste!$C$22,IF(X15=Dienste!$A$23,Dienste!$C$23,IF(X15=Dienste!$A$24,Dienste!$C$24,IF(X15=Dienste!$A$25,Dienste!$C$25,IF(X15=Dienste!$A$26,Dienste!$C$26,IF(X15=Dienste!$A$27,Dienste!$C$27,IF(X15=Dienste!$A$28,Dienste!$C$28,IF(X15=Dienste!#REF!,Dienste!#REF!,IF(X15=Dienste!#REF!,Dienste!#REF!,IF(X15=Dienste!#REF!,Dienste!#REF!,IF(X15=Dienste!#REF!,Dienste!#REF!,IF(X15=Dienste!$A$33,Dienste!$C$33,IF(X15=Dienste!$A$34,Dienste!$C$34,IF(X15=Dienste!$A$35,Dienste!$C$35,IF(X15=Dienste!$A$36,Dienste!$C$36,)))))))))))))))))))))))))))))))))))</f>
        <v>8</v>
      </c>
      <c r="BS15" s="27">
        <f>IF(Y15=Dienste!$A$2,Dienste!$C$2,IF(Y15=Dienste!$A$3,Dienste!$C$3,IF(Y15=Dienste!$A$4,Dienste!$C$4,IF(Y15=Dienste!$A$5,Dienste!$C$5,IF(Y15=Dienste!$A$6,Dienste!$C$6,IF(Y15=Dienste!$A$7,Dienste!$C$7,IF(Y15=Dienste!$A$8,Dienste!$C$8,IF(Y15=Dienste!$A$9,Dienste!$C$9,IF(Y15=Dienste!$A$10,Dienste!$C$10,IF(Y15=Dienste!$A$11,Dienste!$C$11,IF(Y15=Dienste!$A$12,Dienste!$C$12,IF(Y15=Dienste!$A$13,Dienste!$C$13,IF(Y15=Dienste!$A$14,Dienste!$C$14,IF(Y15=Dienste!$A$15,Dienste!$C$15,IF(Y15=Dienste!$A$16,Dienste!$C$16,IF(Y15=Dienste!$A$17,Dienste!$C$17,IF(Y15=Dienste!$A$18,Dienste!$C$18,IF(Y15=Dienste!$A$19,Dienste!$C$19,IF(Y15=Dienste!$A$20,Dienste!$C$20,IF(Y15=Dienste!$A$21,Dienste!$C$21,IF(Y15=Dienste!$A$22,Dienste!$C$22,IF(Y15=Dienste!$A$23,Dienste!$C$23,IF(Y15=Dienste!$A$24,Dienste!$C$24,IF(Y15=Dienste!$A$25,Dienste!$C$25,IF(Y15=Dienste!$A$26,Dienste!$C$26,IF(Y15=Dienste!$A$27,Dienste!$C$27,IF(Y15=Dienste!$A$28,Dienste!$C$28,IF(Y15=Dienste!#REF!,Dienste!#REF!,IF(Y15=Dienste!#REF!,Dienste!#REF!,IF(Y15=Dienste!#REF!,Dienste!#REF!,IF(Y15=Dienste!#REF!,Dienste!#REF!,IF(Y15=Dienste!$A$33,Dienste!$C$33,IF(Y15=Dienste!$A$34,Dienste!$C$34,IF(Y15=Dienste!$A$35,Dienste!$C$35,IF(Y15=Dienste!$A$36,Dienste!$C$36,)))))))))))))))))))))))))))))))))))</f>
        <v>0</v>
      </c>
      <c r="BT15" s="27">
        <f>IF(Z15=Dienste!$A$2,Dienste!$C$2,IF(Z15=Dienste!$A$3,Dienste!$C$3,IF(Z15=Dienste!$A$4,Dienste!$C$4,IF(Z15=Dienste!$A$5,Dienste!$C$5,IF(Z15=Dienste!$A$6,Dienste!$C$6,IF(Z15=Dienste!$A$7,Dienste!$C$7,IF(Z15=Dienste!$A$8,Dienste!$C$8,IF(Z15=Dienste!$A$9,Dienste!$C$9,IF(Z15=Dienste!$A$10,Dienste!$C$10,IF(Z15=Dienste!$A$11,Dienste!$C$11,IF(Z15=Dienste!$A$12,Dienste!$C$12,IF(Z15=Dienste!$A$13,Dienste!$C$13,IF(Z15=Dienste!$A$14,Dienste!$C$14,IF(Z15=Dienste!$A$15,Dienste!$C$15,IF(Z15=Dienste!$A$16,Dienste!$C$16,IF(Z15=Dienste!$A$17,Dienste!$C$17,IF(Z15=Dienste!$A$18,Dienste!$C$18,IF(Z15=Dienste!$A$19,Dienste!$C$19,IF(Z15=Dienste!$A$20,Dienste!$C$20,IF(Z15=Dienste!$A$21,Dienste!$C$21,IF(Z15=Dienste!$A$22,Dienste!$C$22,IF(Z15=Dienste!$A$23,Dienste!$C$23,IF(Z15=Dienste!$A$24,Dienste!$C$24,IF(Z15=Dienste!$A$25,Dienste!$C$25,IF(Z15=Dienste!$A$26,Dienste!$C$26,IF(Z15=Dienste!$A$27,Dienste!$C$27,IF(Z15=Dienste!$A$28,Dienste!$C$28,IF(Z15=Dienste!#REF!,Dienste!#REF!,IF(Z15=Dienste!#REF!,Dienste!#REF!,IF(Z15=Dienste!#REF!,Dienste!#REF!,IF(Z15=Dienste!#REF!,Dienste!#REF!,IF(Z15=Dienste!$A$33,Dienste!$C$33,IF(Z15=Dienste!$A$34,Dienste!$C$34,IF(Z15=Dienste!$A$35,Dienste!$C$35,IF(Z15=Dienste!$A$36,Dienste!$C$36,)))))))))))))))))))))))))))))))))))</f>
        <v>0</v>
      </c>
      <c r="BU15" s="27">
        <f>IF(AA15=Dienste!$A$2,Dienste!$C$2,IF(AA15=Dienste!$A$3,Dienste!$C$3,IF(AA15=Dienste!$A$4,Dienste!$C$4,IF(AA15=Dienste!$A$5,Dienste!$C$5,IF(AA15=Dienste!$A$6,Dienste!$C$6,IF(AA15=Dienste!$A$7,Dienste!$C$7,IF(AA15=Dienste!$A$8,Dienste!$C$8,IF(AA15=Dienste!$A$9,Dienste!$C$9,IF(AA15=Dienste!$A$10,Dienste!$C$10,IF(AA15=Dienste!$A$11,Dienste!$C$11,IF(AA15=Dienste!$A$12,Dienste!$C$12,IF(AA15=Dienste!$A$13,Dienste!$C$13,IF(AA15=Dienste!$A$14,Dienste!$C$14,IF(AA15=Dienste!$A$15,Dienste!$C$15,IF(AA15=Dienste!$A$16,Dienste!$C$16,IF(AA15=Dienste!$A$17,Dienste!$C$17,IF(AA15=Dienste!$A$18,Dienste!$C$18,IF(AA15=Dienste!$A$19,Dienste!$C$19,IF(AA15=Dienste!$A$20,Dienste!$C$20,IF(AA15=Dienste!$A$21,Dienste!$C$21,IF(AA15=Dienste!$A$22,Dienste!$C$22,IF(AA15=Dienste!$A$23,Dienste!$C$23,IF(AA15=Dienste!$A$24,Dienste!$C$24,IF(AA15=Dienste!$A$25,Dienste!$C$25,IF(AA15=Dienste!$A$26,Dienste!$C$26,IF(AA15=Dienste!$A$27,Dienste!$C$27,IF(AA15=Dienste!$A$28,Dienste!$C$28,IF(AA15=Dienste!#REF!,Dienste!#REF!,IF(AA15=Dienste!#REF!,Dienste!#REF!,IF(AA15=Dienste!#REF!,Dienste!#REF!,IF(AA15=Dienste!#REF!,Dienste!#REF!,IF(AA15=Dienste!$A$33,Dienste!$C$33,IF(AA15=Dienste!$A$34,Dienste!$C$34,IF(AA15=Dienste!$A$35,Dienste!$C$35,IF(AA15=Dienste!$A$36,Dienste!$C$36,)))))))))))))))))))))))))))))))))))</f>
        <v>8</v>
      </c>
      <c r="BV15" s="27" t="e">
        <f>IF(AB15=Dienste!$A$2,Dienste!$C$2,IF(AB15=Dienste!$A$3,Dienste!$C$3,IF(AB15=Dienste!$A$4,Dienste!$C$4,IF(AB15=Dienste!$A$5,Dienste!$C$5,IF(AB15=Dienste!$A$6,Dienste!$C$6,IF(AB15=Dienste!$A$7,Dienste!$C$7,IF(AB15=Dienste!$A$8,Dienste!$C$8,IF(AB15=Dienste!$A$9,Dienste!$C$9,IF(AB15=Dienste!$A$10,Dienste!$C$10,IF(AB15=Dienste!$A$11,Dienste!$C$11,IF(AB15=Dienste!$A$12,Dienste!$C$12,IF(AB15=Dienste!$A$13,Dienste!$C$13,IF(AB15=Dienste!$A$14,Dienste!$C$14,IF(AB15=Dienste!$A$15,Dienste!$C$15,IF(AB15=Dienste!$A$16,Dienste!$C$16,IF(AB15=Dienste!$A$17,Dienste!$C$17,IF(AB15=Dienste!$A$18,Dienste!$C$18,IF(AB15=Dienste!$A$19,Dienste!$C$19,IF(AB15=Dienste!$A$20,Dienste!$C$20,IF(AB15=Dienste!$A$21,Dienste!$C$21,IF(AB15=Dienste!$A$22,Dienste!$C$22,IF(AB15=Dienste!$A$23,Dienste!$C$23,IF(AB15=Dienste!$A$24,Dienste!$C$24,IF(AB15=Dienste!$A$25,Dienste!$C$25,IF(AB15=Dienste!$A$26,Dienste!$C$26,IF(AB15=Dienste!$A$27,Dienste!$C$27,IF(AB15=Dienste!$A$28,Dienste!$C$28,IF(AB15=Dienste!#REF!,Dienste!#REF!,IF(AB15=Dienste!#REF!,Dienste!#REF!,IF(AB15=Dienste!#REF!,Dienste!#REF!,IF(AB15=Dienste!#REF!,Dienste!#REF!,IF(AB15=Dienste!$A$33,Dienste!$C$33,IF(AB15=Dienste!$A$34,Dienste!$C$34,IF(AB15=Dienste!$A$35,Dienste!$C$35,IF(AB15=Dienste!$A$36,Dienste!$C$36,)))))))))))))))))))))))))))))))))))</f>
        <v>#REF!</v>
      </c>
      <c r="BW15" s="27">
        <f>IF(AC15=Dienste!$A$2,Dienste!$C$2,IF(AC15=Dienste!$A$3,Dienste!$C$3,IF(AC15=Dienste!$A$4,Dienste!$C$4,IF(AC15=Dienste!$A$5,Dienste!$C$5,IF(AC15=Dienste!$A$6,Dienste!$C$6,IF(AC15=Dienste!$A$7,Dienste!$C$7,IF(AC15=Dienste!$A$8,Dienste!$C$8,IF(AC15=Dienste!$A$9,Dienste!$C$9,IF(AC15=Dienste!$A$10,Dienste!$C$10,IF(AC15=Dienste!$A$11,Dienste!$C$11,IF(AC15=Dienste!$A$12,Dienste!$C$12,IF(AC15=Dienste!$A$13,Dienste!$C$13,IF(AC15=Dienste!$A$14,Dienste!$C$14,IF(AC15=Dienste!$A$15,Dienste!$C$15,IF(AC15=Dienste!$A$16,Dienste!$C$16,IF(AC15=Dienste!$A$17,Dienste!$C$17,IF(AC15=Dienste!$A$18,Dienste!$C$18,IF(AC15=Dienste!$A$19,Dienste!$C$19,IF(AC15=Dienste!$A$20,Dienste!$C$20,IF(AC15=Dienste!$A$21,Dienste!$C$21,IF(AC15=Dienste!$A$22,Dienste!$C$22,IF(AC15=Dienste!$A$23,Dienste!$C$23,IF(AC15=Dienste!$A$24,Dienste!$C$24,IF(AC15=Dienste!$A$25,Dienste!$C$25,IF(AC15=Dienste!$A$26,Dienste!$C$26,IF(AC15=Dienste!$A$27,Dienste!$C$27,IF(AC15=Dienste!$A$28,Dienste!$C$28,IF(AC15=Dienste!#REF!,Dienste!#REF!,IF(AC15=Dienste!#REF!,Dienste!#REF!,IF(AC15=Dienste!#REF!,Dienste!#REF!,IF(AC15=Dienste!#REF!,Dienste!#REF!,IF(AC15=Dienste!$A$33,Dienste!$C$33,IF(AC15=Dienste!$A$34,Dienste!$C$34,IF(AC15=Dienste!$A$35,Dienste!$C$35,IF(AC15=Dienste!$A$36,Dienste!$C$36,)))))))))))))))))))))))))))))))))))</f>
        <v>8</v>
      </c>
      <c r="BX15" s="27">
        <f>IF(AD15=Dienste!$A$2,Dienste!$C$2,IF(AD15=Dienste!$A$3,Dienste!$C$3,IF(AD15=Dienste!$A$4,Dienste!$C$4,IF(AD15=Dienste!$A$5,Dienste!$C$5,IF(AD15=Dienste!$A$6,Dienste!$C$6,IF(AD15=Dienste!$A$7,Dienste!$C$7,IF(AD15=Dienste!$A$8,Dienste!$C$8,IF(AD15=Dienste!$A$9,Dienste!$C$9,IF(AD15=Dienste!$A$10,Dienste!$C$10,IF(AD15=Dienste!$A$11,Dienste!$C$11,IF(AD15=Dienste!$A$12,Dienste!$C$12,IF(AD15=Dienste!$A$13,Dienste!$C$13,IF(AD15=Dienste!$A$14,Dienste!$C$14,IF(AD15=Dienste!$A$15,Dienste!$C$15,IF(AD15=Dienste!$A$16,Dienste!$C$16,IF(AD15=Dienste!$A$17,Dienste!$C$17,IF(AD15=Dienste!$A$18,Dienste!$C$18,IF(AD15=Dienste!$A$19,Dienste!$C$19,IF(AD15=Dienste!$A$20,Dienste!$C$20,IF(AD15=Dienste!$A$21,Dienste!$C$21,IF(AD15=Dienste!$A$22,Dienste!$C$22,IF(AD15=Dienste!$A$23,Dienste!$C$23,IF(AD15=Dienste!$A$24,Dienste!$C$24,IF(AD15=Dienste!$A$25,Dienste!$C$25,IF(AD15=Dienste!$A$26,Dienste!$C$26,IF(AD15=Dienste!$A$27,Dienste!$C$27,IF(AD15=Dienste!$A$28,Dienste!$C$28,IF(AD15=Dienste!#REF!,Dienste!#REF!,IF(AD15=Dienste!#REF!,Dienste!#REF!,IF(AD15=Dienste!#REF!,Dienste!#REF!,IF(AD15=Dienste!#REF!,Dienste!#REF!,IF(AD15=Dienste!$A$33,Dienste!$C$33,IF(AD15=Dienste!$A$34,Dienste!$C$34,IF(AD15=Dienste!$A$35,Dienste!$C$35,IF(AD15=Dienste!$A$36,Dienste!$C$36,)))))))))))))))))))))))))))))))))))</f>
        <v>8</v>
      </c>
      <c r="BY15" s="27">
        <f>IF(AE15=Dienste!$A$2,Dienste!$C$2,IF(AE15=Dienste!$A$3,Dienste!$C$3,IF(AE15=Dienste!$A$4,Dienste!$C$4,IF(AE15=Dienste!$A$5,Dienste!$C$5,IF(AE15=Dienste!$A$6,Dienste!$C$6,IF(AE15=Dienste!$A$7,Dienste!$C$7,IF(AE15=Dienste!$A$8,Dienste!$C$8,IF(AE15=Dienste!$A$9,Dienste!$C$9,IF(AE15=Dienste!$A$10,Dienste!$C$10,IF(AE15=Dienste!$A$11,Dienste!$C$11,IF(AE15=Dienste!$A$12,Dienste!$C$12,IF(AE15=Dienste!$A$13,Dienste!$C$13,IF(AE15=Dienste!$A$14,Dienste!$C$14,IF(AE15=Dienste!$A$15,Dienste!$C$15,IF(AE15=Dienste!$A$16,Dienste!$C$16,IF(AE15=Dienste!$A$17,Dienste!$C$17,IF(AE15=Dienste!$A$18,Dienste!$C$18,IF(AE15=Dienste!$A$19,Dienste!$C$19,IF(AE15=Dienste!$A$20,Dienste!$C$20,IF(AE15=Dienste!$A$21,Dienste!$C$21,IF(AE15=Dienste!$A$22,Dienste!$C$22,IF(AE15=Dienste!$A$23,Dienste!$C$23,IF(AE15=Dienste!$A$24,Dienste!$C$24,IF(AE15=Dienste!$A$25,Dienste!$C$25,IF(AE15=Dienste!$A$26,Dienste!$C$26,IF(AE15=Dienste!$A$27,Dienste!$C$27,IF(AE15=Dienste!$A$28,Dienste!$C$28,IF(AE15=Dienste!#REF!,Dienste!#REF!,IF(AE15=Dienste!#REF!,Dienste!#REF!,IF(AE15=Dienste!#REF!,Dienste!#REF!,IF(AE15=Dienste!#REF!,Dienste!#REF!,IF(AE15=Dienste!$A$33,Dienste!$C$33,IF(AE15=Dienste!$A$34,Dienste!$C$34,IF(AE15=Dienste!$A$35,Dienste!$C$35,IF(AE15=Dienste!$A$36,Dienste!$C$36,)))))))))))))))))))))))))))))))))))</f>
        <v>8</v>
      </c>
      <c r="BZ15" s="27">
        <f>IF(AF15=Dienste!$A$2,Dienste!$C$2,IF(AF15=Dienste!$A$3,Dienste!$C$3,IF(AF15=Dienste!$A$4,Dienste!$C$4,IF(AF15=Dienste!$A$5,Dienste!$C$5,IF(AF15=Dienste!$A$6,Dienste!$C$6,IF(AF15=Dienste!$A$7,Dienste!$C$7,IF(AF15=Dienste!$A$8,Dienste!$C$8,IF(AF15=Dienste!$A$9,Dienste!$C$9,IF(AF15=Dienste!$A$10,Dienste!$C$10,IF(AF15=Dienste!$A$11,Dienste!$C$11,IF(AF15=Dienste!$A$12,Dienste!$C$12,IF(AF15=Dienste!$A$13,Dienste!$C$13,IF(AF15=Dienste!$A$14,Dienste!$C$14,IF(AF15=Dienste!$A$15,Dienste!$C$15,IF(AF15=Dienste!$A$16,Dienste!$C$16,IF(AF15=Dienste!$A$17,Dienste!$C$17,IF(AF15=Dienste!$A$18,Dienste!$C$18,IF(AF15=Dienste!$A$19,Dienste!$C$19,IF(AF15=Dienste!$A$20,Dienste!$C$20,IF(AF15=Dienste!$A$21,Dienste!$C$21,IF(AF15=Dienste!$A$22,Dienste!$C$22,IF(AF15=Dienste!$A$23,Dienste!$C$23,IF(AF15=Dienste!$A$24,Dienste!$C$24,IF(AF15=Dienste!$A$25,Dienste!$C$25,IF(AF15=Dienste!$A$26,Dienste!$C$26,IF(AF15=Dienste!$A$27,Dienste!$C$27,IF(AF15=Dienste!$A$28,Dienste!$C$28,IF(AF15=Dienste!#REF!,Dienste!#REF!,IF(AF15=Dienste!#REF!,Dienste!#REF!,IF(AF15=Dienste!#REF!,Dienste!#REF!,IF(AF15=Dienste!#REF!,Dienste!#REF!,IF(AF15=Dienste!$A$33,Dienste!$C$33,IF(AF15=Dienste!$A$34,Dienste!$C$34,IF(AF15=Dienste!$A$35,Dienste!$C$35,IF(AF15=Dienste!$A$36,Dienste!$C$36,)))))))))))))))))))))))))))))))))))</f>
        <v>9</v>
      </c>
      <c r="CA15" s="27">
        <f>IF(AG15=Dienste!$A$2,Dienste!$C$2,IF(AG15=Dienste!$A$3,Dienste!$C$3,IF(AG15=Dienste!$A$4,Dienste!$C$4,IF(AG15=Dienste!$A$5,Dienste!$C$5,IF(AG15=Dienste!$A$6,Dienste!$C$6,IF(AG15=Dienste!$A$7,Dienste!$C$7,IF(AG15=Dienste!$A$8,Dienste!$C$8,IF(AG15=Dienste!$A$9,Dienste!$C$9,IF(AG15=Dienste!$A$10,Dienste!$C$10,IF(AG15=Dienste!$A$11,Dienste!$C$11,IF(AG15=Dienste!$A$12,Dienste!$C$12,IF(AG15=Dienste!$A$13,Dienste!$C$13,IF(AG15=Dienste!$A$14,Dienste!$C$14,IF(AG15=Dienste!$A$15,Dienste!$C$15,IF(AG15=Dienste!$A$16,Dienste!$C$16,IF(AG15=Dienste!$A$17,Dienste!$C$17,IF(AG15=Dienste!$A$18,Dienste!$C$18,IF(AG15=Dienste!$A$19,Dienste!$C$19,IF(AG15=Dienste!$A$20,Dienste!$C$20,IF(AG15=Dienste!$A$21,Dienste!$C$21,IF(AG15=Dienste!$A$22,Dienste!$C$22,IF(AG15=Dienste!$A$23,Dienste!$C$23,IF(AG15=Dienste!$A$24,Dienste!$C$24,IF(AG15=Dienste!$A$25,Dienste!$C$25,IF(AG15=Dienste!$A$26,Dienste!$C$26,IF(AG15=Dienste!$A$27,Dienste!$C$27,IF(AG15=Dienste!$A$28,Dienste!$C$28,IF(AG15=Dienste!#REF!,Dienste!#REF!,IF(AG15=Dienste!#REF!,Dienste!#REF!,IF(AG15=Dienste!#REF!,Dienste!#REF!,IF(AG15=Dienste!#REF!,Dienste!#REF!,IF(AG15=Dienste!$A$33,Dienste!$C$33,IF(AG15=Dienste!$A$34,Dienste!$C$34,IF(AG15=Dienste!$A$35,Dienste!$C$35,IF(AG15=Dienste!$A$36,Dienste!$C$36,)))))))))))))))))))))))))))))))))))</f>
        <v>0</v>
      </c>
      <c r="CB15" s="27">
        <f>IF(AH15=Dienste!$A$2,Dienste!$C$2,IF(AH15=Dienste!$A$3,Dienste!$C$3,IF(AH15=Dienste!$A$4,Dienste!$C$4,IF(AH15=Dienste!$A$5,Dienste!$C$5,IF(AH15=Dienste!$A$6,Dienste!$C$6,IF(AH15=Dienste!$A$7,Dienste!$C$7,IF(AH15=Dienste!$A$8,Dienste!$C$8,IF(AH15=Dienste!$A$9,Dienste!$C$9,IF(AH15=Dienste!$A$10,Dienste!$C$10,IF(AH15=Dienste!$A$11,Dienste!$C$11,IF(AH15=Dienste!$A$12,Dienste!$C$12,IF(AH15=Dienste!$A$13,Dienste!$C$13,IF(AH15=Dienste!$A$14,Dienste!$C$14,IF(AH15=Dienste!$A$15,Dienste!$C$15,IF(AH15=Dienste!$A$16,Dienste!$C$16,IF(AH15=Dienste!$A$17,Dienste!$C$17,IF(AH15=Dienste!$A$18,Dienste!$C$18,IF(AH15=Dienste!$A$19,Dienste!$C$19,IF(AH15=Dienste!$A$20,Dienste!$C$20,IF(AH15=Dienste!$A$21,Dienste!$C$21,IF(AH15=Dienste!$A$22,Dienste!$C$22,IF(AH15=Dienste!$A$23,Dienste!$C$23,IF(AH15=Dienste!$A$24,Dienste!$C$24,IF(AH15=Dienste!$A$25,Dienste!$C$25,IF(AH15=Dienste!$A$26,Dienste!$C$26,IF(AH15=Dienste!$A$27,Dienste!$C$27,IF(AH15=Dienste!$A$28,Dienste!$C$28,IF(AH15=Dienste!#REF!,Dienste!#REF!,IF(AH15=Dienste!#REF!,Dienste!#REF!,IF(AH15=Dienste!#REF!,Dienste!#REF!,IF(AH15=Dienste!#REF!,Dienste!#REF!,IF(AH15=Dienste!$A$33,Dienste!$C$33,IF(AH15=Dienste!$A$34,Dienste!$C$34,IF(AH15=Dienste!$A$35,Dienste!$C$35,IF(AH15=Dienste!$A$36,Dienste!$C$36,)))))))))))))))))))))))))))))))))))</f>
        <v>0</v>
      </c>
      <c r="CC15" s="27" t="e">
        <f>IF(AI15=Dienste!$A$2,Dienste!$C$2,IF(AI15=Dienste!$A$3,Dienste!$C$3,IF(AI15=Dienste!$A$4,Dienste!$C$4,IF(AI15=Dienste!$A$5,Dienste!$C$5,IF(AI15=Dienste!$A$6,Dienste!$C$6,IF(AI15=Dienste!$A$7,Dienste!$C$7,IF(AI15=Dienste!$A$8,Dienste!$C$8,IF(AI15=Dienste!$A$9,Dienste!$C$9,IF(AI15=Dienste!$A$10,Dienste!$C$10,IF(AI15=Dienste!$A$11,Dienste!$C$11,IF(AI15=Dienste!$A$12,Dienste!$C$12,IF(AI15=Dienste!$A$13,Dienste!$C$13,IF(AI15=Dienste!$A$14,Dienste!$C$14,IF(AI15=Dienste!$A$15,Dienste!$C$15,IF(AI15=Dienste!$A$16,Dienste!$C$16,IF(AI15=Dienste!$A$17,Dienste!$C$17,IF(AI15=Dienste!$A$18,Dienste!$C$18,IF(AI15=Dienste!$A$19,Dienste!$C$19,IF(AI15=Dienste!$A$20,Dienste!$C$20,IF(AI15=Dienste!$A$21,Dienste!$C$21,IF(AI15=Dienste!$A$22,Dienste!$C$22,IF(AI15=Dienste!$A$23,Dienste!$C$23,IF(AI15=Dienste!$A$24,Dienste!$C$24,IF(AI15=Dienste!$A$25,Dienste!$C$25,IF(AI15=Dienste!$A$26,Dienste!$C$26,IF(AI15=Dienste!$A$27,Dienste!$C$27,IF(AI15=Dienste!$A$28,Dienste!$C$28,IF(AI15=Dienste!#REF!,Dienste!#REF!,IF(AI15=Dienste!#REF!,Dienste!#REF!,IF(AI15=Dienste!#REF!,Dienste!#REF!,IF(AI15=Dienste!#REF!,Dienste!#REF!,IF(AI15=Dienste!$A$33,Dienste!$C$33,IF(AI15=Dienste!$A$34,Dienste!$C$34,IF(AI15=Dienste!$A$35,Dienste!$C$35,IF(AI15=Dienste!$A$36,Dienste!$C$36,)))))))))))))))))))))))))))))))))))</f>
        <v>#REF!</v>
      </c>
    </row>
    <row r="16" spans="1:81" x14ac:dyDescent="0.25">
      <c r="A16" s="109" t="s">
        <v>133</v>
      </c>
      <c r="B16" s="15" t="s">
        <v>230</v>
      </c>
      <c r="C16" s="15">
        <v>40</v>
      </c>
      <c r="D16" s="98">
        <v>1</v>
      </c>
      <c r="E16" s="104" t="s">
        <v>83</v>
      </c>
      <c r="F16" s="9" t="s">
        <v>17</v>
      </c>
      <c r="G16" s="9" t="s">
        <v>65</v>
      </c>
      <c r="H16" s="9" t="s">
        <v>31</v>
      </c>
      <c r="I16" s="9" t="s">
        <v>32</v>
      </c>
      <c r="J16" s="9" t="s">
        <v>17</v>
      </c>
      <c r="K16" s="9" t="s">
        <v>83</v>
      </c>
      <c r="L16" s="9" t="s">
        <v>38</v>
      </c>
      <c r="M16" s="9" t="s">
        <v>31</v>
      </c>
      <c r="N16" s="9" t="s">
        <v>31</v>
      </c>
      <c r="O16" s="9" t="s">
        <v>31</v>
      </c>
      <c r="P16" s="9" t="s">
        <v>31</v>
      </c>
      <c r="Q16" s="9" t="s">
        <v>31</v>
      </c>
      <c r="R16" s="9" t="s">
        <v>83</v>
      </c>
      <c r="S16" s="9" t="s">
        <v>83</v>
      </c>
      <c r="T16" s="9" t="s">
        <v>17</v>
      </c>
      <c r="U16" s="9" t="s">
        <v>65</v>
      </c>
      <c r="V16" s="9" t="s">
        <v>31</v>
      </c>
      <c r="W16" s="9" t="s">
        <v>31</v>
      </c>
      <c r="X16" s="9" t="s">
        <v>17</v>
      </c>
      <c r="Y16" s="9" t="s">
        <v>83</v>
      </c>
      <c r="Z16" s="9" t="s">
        <v>83</v>
      </c>
      <c r="AA16" s="9" t="s">
        <v>31</v>
      </c>
      <c r="AB16" s="9" t="s">
        <v>17</v>
      </c>
      <c r="AC16" s="9" t="s">
        <v>65</v>
      </c>
      <c r="AD16" s="9" t="s">
        <v>6</v>
      </c>
      <c r="AE16" s="9" t="s">
        <v>31</v>
      </c>
      <c r="AF16" s="9" t="s">
        <v>84</v>
      </c>
      <c r="AG16" s="9" t="s">
        <v>84</v>
      </c>
      <c r="AH16" s="9" t="s">
        <v>63</v>
      </c>
      <c r="AI16" s="15"/>
      <c r="AJ16" s="109">
        <v>2</v>
      </c>
      <c r="AK16" s="15">
        <v>168</v>
      </c>
      <c r="AL16" s="109">
        <v>168</v>
      </c>
      <c r="AM16" s="15">
        <v>2</v>
      </c>
      <c r="AN16" s="170">
        <v>0</v>
      </c>
      <c r="AO16" s="109">
        <v>34.75</v>
      </c>
      <c r="AP16" s="15">
        <v>5</v>
      </c>
      <c r="AQ16" s="98">
        <v>3</v>
      </c>
      <c r="AR16" s="109">
        <v>60</v>
      </c>
      <c r="AS16" s="15">
        <v>42.95192307692308</v>
      </c>
      <c r="AT16" s="98">
        <v>26</v>
      </c>
      <c r="AU16" s="96" t="e">
        <f t="shared" si="2"/>
        <v>#REF!</v>
      </c>
      <c r="AV16" s="27" t="e">
        <f t="shared" si="0"/>
        <v>#REF!</v>
      </c>
      <c r="AW16" s="58" t="e">
        <f t="shared" si="1"/>
        <v>#REF!</v>
      </c>
      <c r="AY16" s="27">
        <f>IF(E16=Dienste!$A$2,Dienste!$C$2,IF(E16=Dienste!$A$3,Dienste!$C$3,IF(E16=Dienste!$A$4,Dienste!$C$4,IF(E16=Dienste!$A$5,Dienste!$C$5,IF(E16=Dienste!$A$6,Dienste!$C$6,IF(E16=Dienste!$A$7,Dienste!$C$7,IF(E16=Dienste!$A$8,Dienste!$C$8,IF(E16=Dienste!$A$9,Dienste!$C$9,IF(E16=Dienste!$A$10,Dienste!$C$10,IF(E16=Dienste!$A$11,Dienste!$C$11,IF(E16=Dienste!$A$12,Dienste!$C$12,IF(E16=Dienste!$A$13,Dienste!$C$13,IF(E16=Dienste!$A$14,Dienste!$C$14,IF(E16=Dienste!$A$15,Dienste!$C$15,IF(E16=Dienste!$A$16,Dienste!$C$16,IF(E16=Dienste!$A$17,Dienste!$C$17,IF(E16=Dienste!$A$18,Dienste!$C$18,IF(E16=Dienste!$A$19,Dienste!$C$19,IF(E16=Dienste!$A$20,Dienste!$C$20,IF(E16=Dienste!$A$21,Dienste!$C$21,IF(E16=Dienste!$A$22,Dienste!$C$22,IF(E16=Dienste!$A$23,Dienste!$C$23,IF(E16=Dienste!$A$24,Dienste!$C$24,IF(E16=Dienste!$A$25,Dienste!$C$25,IF(E16=Dienste!$A$26,Dienste!$C$26,IF(E16=Dienste!$A$27,Dienste!$C$27,IF(E16=Dienste!$A$28,Dienste!$C$28,IF(E16=Dienste!#REF!,Dienste!#REF!,IF(E16=Dienste!#REF!,Dienste!#REF!,IF(E16=Dienste!#REF!,Dienste!#REF!,IF(E16=Dienste!#REF!,Dienste!#REF!,IF(E16=Dienste!$A$33,Dienste!$C$33,IF(E16=Dienste!$A$34,Dienste!$C$34,IF(E16=Dienste!$A$35,Dienste!$C$35,IF(E16=Dienste!$A$36,Dienste!$C$36,)))))))))))))))))))))))))))))))))))</f>
        <v>0</v>
      </c>
      <c r="AZ16" s="27">
        <f>IF(F16=Dienste!$A$2,Dienste!$C$2,IF(F16=Dienste!$A$3,Dienste!$C$3,IF(F16=Dienste!$A$4,Dienste!$C$4,IF(F16=Dienste!$A$5,Dienste!$C$5,IF(F16=Dienste!$A$6,Dienste!$C$6,IF(F16=Dienste!$A$7,Dienste!$C$7,IF(F16=Dienste!$A$8,Dienste!$C$8,IF(F16=Dienste!$A$9,Dienste!$C$9,IF(F16=Dienste!$A$10,Dienste!$C$10,IF(F16=Dienste!$A$11,Dienste!$C$11,IF(F16=Dienste!$A$12,Dienste!$C$12,IF(F16=Dienste!$A$13,Dienste!$C$13,IF(F16=Dienste!$A$14,Dienste!$C$14,IF(F16=Dienste!$A$15,Dienste!$C$15,IF(F16=Dienste!$A$16,Dienste!$C$16,IF(F16=Dienste!$A$17,Dienste!$C$17,IF(F16=Dienste!$A$18,Dienste!$C$18,IF(F16=Dienste!$A$19,Dienste!$C$19,IF(F16=Dienste!$A$20,Dienste!$C$20,IF(F16=Dienste!$A$21,Dienste!$C$21,IF(F16=Dienste!$A$22,Dienste!$C$22,IF(F16=Dienste!$A$23,Dienste!$C$23,IF(F16=Dienste!$A$24,Dienste!$C$24,IF(F16=Dienste!$A$25,Dienste!$C$25,IF(F16=Dienste!$A$26,Dienste!$C$26,IF(F16=Dienste!$A$27,Dienste!$C$27,IF(F16=Dienste!$A$28,Dienste!$C$28,IF(F16=Dienste!#REF!,Dienste!#REF!,IF(F16=Dienste!#REF!,Dienste!#REF!,IF(F16=Dienste!#REF!,Dienste!#REF!,IF(F16=Dienste!#REF!,Dienste!#REF!,IF(F16=Dienste!$A$33,Dienste!$C$33,IF(F16=Dienste!$A$34,Dienste!$C$34,IF(F16=Dienste!$A$35,Dienste!$C$35,IF(F16=Dienste!$A$36,Dienste!$C$36,)))))))))))))))))))))))))))))))))))</f>
        <v>8</v>
      </c>
      <c r="BA16" s="27">
        <f>IF(G16=Dienste!$A$2,Dienste!$C$2,IF(G16=Dienste!$A$3,Dienste!$C$3,IF(G16=Dienste!$A$4,Dienste!$C$4,IF(G16=Dienste!$A$5,Dienste!$C$5,IF(G16=Dienste!$A$6,Dienste!$C$6,IF(G16=Dienste!$A$7,Dienste!$C$7,IF(G16=Dienste!$A$8,Dienste!$C$8,IF(G16=Dienste!$A$9,Dienste!$C$9,IF(G16=Dienste!$A$10,Dienste!$C$10,IF(G16=Dienste!$A$11,Dienste!$C$11,IF(G16=Dienste!$A$12,Dienste!$C$12,IF(G16=Dienste!$A$13,Dienste!$C$13,IF(G16=Dienste!$A$14,Dienste!$C$14,IF(G16=Dienste!$A$15,Dienste!$C$15,IF(G16=Dienste!$A$16,Dienste!$C$16,IF(G16=Dienste!$A$17,Dienste!$C$17,IF(G16=Dienste!$A$18,Dienste!$C$18,IF(G16=Dienste!$A$19,Dienste!$C$19,IF(G16=Dienste!$A$20,Dienste!$C$20,IF(G16=Dienste!$A$21,Dienste!$C$21,IF(G16=Dienste!$A$22,Dienste!$C$22,IF(G16=Dienste!$A$23,Dienste!$C$23,IF(G16=Dienste!$A$24,Dienste!$C$24,IF(G16=Dienste!$A$25,Dienste!$C$25,IF(G16=Dienste!$A$26,Dienste!$C$26,IF(G16=Dienste!$A$27,Dienste!$C$27,IF(G16=Dienste!$A$28,Dienste!$C$28,IF(G16=Dienste!#REF!,Dienste!#REF!,IF(G16=Dienste!#REF!,Dienste!#REF!,IF(G16=Dienste!#REF!,Dienste!#REF!,IF(G16=Dienste!#REF!,Dienste!#REF!,IF(G16=Dienste!$A$33,Dienste!$C$33,IF(G16=Dienste!$A$34,Dienste!$C$34,IF(G16=Dienste!$A$35,Dienste!$C$35,IF(G16=Dienste!$A$36,Dienste!$C$36,)))))))))))))))))))))))))))))))))))</f>
        <v>8</v>
      </c>
      <c r="BB16" s="27">
        <f>IF(H16=Dienste!$A$2,Dienste!$C$2,IF(H16=Dienste!$A$3,Dienste!$C$3,IF(H16=Dienste!$A$4,Dienste!$C$4,IF(H16=Dienste!$A$5,Dienste!$C$5,IF(H16=Dienste!$A$6,Dienste!$C$6,IF(H16=Dienste!$A$7,Dienste!$C$7,IF(H16=Dienste!$A$8,Dienste!$C$8,IF(H16=Dienste!$A$9,Dienste!$C$9,IF(H16=Dienste!$A$10,Dienste!$C$10,IF(H16=Dienste!$A$11,Dienste!$C$11,IF(H16=Dienste!$A$12,Dienste!$C$12,IF(H16=Dienste!$A$13,Dienste!$C$13,IF(H16=Dienste!$A$14,Dienste!$C$14,IF(H16=Dienste!$A$15,Dienste!$C$15,IF(H16=Dienste!$A$16,Dienste!$C$16,IF(H16=Dienste!$A$17,Dienste!$C$17,IF(H16=Dienste!$A$18,Dienste!$C$18,IF(H16=Dienste!$A$19,Dienste!$C$19,IF(H16=Dienste!$A$20,Dienste!$C$20,IF(H16=Dienste!$A$21,Dienste!$C$21,IF(H16=Dienste!$A$22,Dienste!$C$22,IF(H16=Dienste!$A$23,Dienste!$C$23,IF(H16=Dienste!$A$24,Dienste!$C$24,IF(H16=Dienste!$A$25,Dienste!$C$25,IF(H16=Dienste!$A$26,Dienste!$C$26,IF(H16=Dienste!$A$27,Dienste!$C$27,IF(H16=Dienste!$A$28,Dienste!$C$28,IF(H16=Dienste!#REF!,Dienste!#REF!,IF(H16=Dienste!#REF!,Dienste!#REF!,IF(H16=Dienste!#REF!,Dienste!#REF!,IF(H16=Dienste!#REF!,Dienste!#REF!,IF(H16=Dienste!$A$33,Dienste!$C$33,IF(H16=Dienste!$A$34,Dienste!$C$34,IF(H16=Dienste!$A$35,Dienste!$C$35,IF(H16=Dienste!$A$36,Dienste!$C$36,)))))))))))))))))))))))))))))))))))</f>
        <v>8</v>
      </c>
      <c r="BC16" s="27">
        <f>IF(I16=Dienste!$A$2,Dienste!$C$2,IF(I16=Dienste!$A$3,Dienste!$C$3,IF(I16=Dienste!$A$4,Dienste!$C$4,IF(I16=Dienste!$A$5,Dienste!$C$5,IF(I16=Dienste!$A$6,Dienste!$C$6,IF(I16=Dienste!$A$7,Dienste!$C$7,IF(I16=Dienste!$A$8,Dienste!$C$8,IF(I16=Dienste!$A$9,Dienste!$C$9,IF(I16=Dienste!$A$10,Dienste!$C$10,IF(I16=Dienste!$A$11,Dienste!$C$11,IF(I16=Dienste!$A$12,Dienste!$C$12,IF(I16=Dienste!$A$13,Dienste!$C$13,IF(I16=Dienste!$A$14,Dienste!$C$14,IF(I16=Dienste!$A$15,Dienste!$C$15,IF(I16=Dienste!$A$16,Dienste!$C$16,IF(I16=Dienste!$A$17,Dienste!$C$17,IF(I16=Dienste!$A$18,Dienste!$C$18,IF(I16=Dienste!$A$19,Dienste!$C$19,IF(I16=Dienste!$A$20,Dienste!$C$20,IF(I16=Dienste!$A$21,Dienste!$C$21,IF(I16=Dienste!$A$22,Dienste!$C$22,IF(I16=Dienste!$A$23,Dienste!$C$23,IF(I16=Dienste!$A$24,Dienste!$C$24,IF(I16=Dienste!$A$25,Dienste!$C$25,IF(I16=Dienste!$A$26,Dienste!$C$26,IF(I16=Dienste!$A$27,Dienste!$C$27,IF(I16=Dienste!$A$28,Dienste!$C$28,IF(I16=Dienste!#REF!,Dienste!#REF!,IF(I16=Dienste!#REF!,Dienste!#REF!,IF(I16=Dienste!#REF!,Dienste!#REF!,IF(I16=Dienste!#REF!,Dienste!#REF!,IF(I16=Dienste!$A$33,Dienste!$C$33,IF(I16=Dienste!$A$34,Dienste!$C$34,IF(I16=Dienste!$A$35,Dienste!$C$35,IF(I16=Dienste!$A$36,Dienste!$C$36,)))))))))))))))))))))))))))))))))))</f>
        <v>8</v>
      </c>
      <c r="BD16" s="27">
        <f>IF(J16=Dienste!$A$2,Dienste!$C$2,IF(J16=Dienste!$A$3,Dienste!$C$3,IF(J16=Dienste!$A$4,Dienste!$C$4,IF(J16=Dienste!$A$5,Dienste!$C$5,IF(J16=Dienste!$A$6,Dienste!$C$6,IF(J16=Dienste!$A$7,Dienste!$C$7,IF(J16=Dienste!$A$8,Dienste!$C$8,IF(J16=Dienste!$A$9,Dienste!$C$9,IF(J16=Dienste!$A$10,Dienste!$C$10,IF(J16=Dienste!$A$11,Dienste!$C$11,IF(J16=Dienste!$A$12,Dienste!$C$12,IF(J16=Dienste!$A$13,Dienste!$C$13,IF(J16=Dienste!$A$14,Dienste!$C$14,IF(J16=Dienste!$A$15,Dienste!$C$15,IF(J16=Dienste!$A$16,Dienste!$C$16,IF(J16=Dienste!$A$17,Dienste!$C$17,IF(J16=Dienste!$A$18,Dienste!$C$18,IF(J16=Dienste!$A$19,Dienste!$C$19,IF(J16=Dienste!$A$20,Dienste!$C$20,IF(J16=Dienste!$A$21,Dienste!$C$21,IF(J16=Dienste!$A$22,Dienste!$C$22,IF(J16=Dienste!$A$23,Dienste!$C$23,IF(J16=Dienste!$A$24,Dienste!$C$24,IF(J16=Dienste!$A$25,Dienste!$C$25,IF(J16=Dienste!$A$26,Dienste!$C$26,IF(J16=Dienste!$A$27,Dienste!$C$27,IF(J16=Dienste!$A$28,Dienste!$C$28,IF(J16=Dienste!#REF!,Dienste!#REF!,IF(J16=Dienste!#REF!,Dienste!#REF!,IF(J16=Dienste!#REF!,Dienste!#REF!,IF(J16=Dienste!#REF!,Dienste!#REF!,IF(J16=Dienste!$A$33,Dienste!$C$33,IF(J16=Dienste!$A$34,Dienste!$C$34,IF(J16=Dienste!$A$35,Dienste!$C$35,IF(J16=Dienste!$A$36,Dienste!$C$36,)))))))))))))))))))))))))))))))))))</f>
        <v>8</v>
      </c>
      <c r="BE16" s="27">
        <f>IF(K16=Dienste!$A$2,Dienste!$C$2,IF(K16=Dienste!$A$3,Dienste!$C$3,IF(K16=Dienste!$A$4,Dienste!$C$4,IF(K16=Dienste!$A$5,Dienste!$C$5,IF(K16=Dienste!$A$6,Dienste!$C$6,IF(K16=Dienste!$A$7,Dienste!$C$7,IF(K16=Dienste!$A$8,Dienste!$C$8,IF(K16=Dienste!$A$9,Dienste!$C$9,IF(K16=Dienste!$A$10,Dienste!$C$10,IF(K16=Dienste!$A$11,Dienste!$C$11,IF(K16=Dienste!$A$12,Dienste!$C$12,IF(K16=Dienste!$A$13,Dienste!$C$13,IF(K16=Dienste!$A$14,Dienste!$C$14,IF(K16=Dienste!$A$15,Dienste!$C$15,IF(K16=Dienste!$A$16,Dienste!$C$16,IF(K16=Dienste!$A$17,Dienste!$C$17,IF(K16=Dienste!$A$18,Dienste!$C$18,IF(K16=Dienste!$A$19,Dienste!$C$19,IF(K16=Dienste!$A$20,Dienste!$C$20,IF(K16=Dienste!$A$21,Dienste!$C$21,IF(K16=Dienste!$A$22,Dienste!$C$22,IF(K16=Dienste!$A$23,Dienste!$C$23,IF(K16=Dienste!$A$24,Dienste!$C$24,IF(K16=Dienste!$A$25,Dienste!$C$25,IF(K16=Dienste!$A$26,Dienste!$C$26,IF(K16=Dienste!$A$27,Dienste!$C$27,IF(K16=Dienste!$A$28,Dienste!$C$28,IF(K16=Dienste!#REF!,Dienste!#REF!,IF(K16=Dienste!#REF!,Dienste!#REF!,IF(K16=Dienste!#REF!,Dienste!#REF!,IF(K16=Dienste!#REF!,Dienste!#REF!,IF(K16=Dienste!$A$33,Dienste!$C$33,IF(K16=Dienste!$A$34,Dienste!$C$34,IF(K16=Dienste!$A$35,Dienste!$C$35,IF(K16=Dienste!$A$36,Dienste!$C$36,)))))))))))))))))))))))))))))))))))</f>
        <v>0</v>
      </c>
      <c r="BF16" s="27">
        <f>IF(L16=Dienste!$A$2,Dienste!$C$2,IF(L16=Dienste!$A$3,Dienste!$C$3,IF(L16=Dienste!$A$4,Dienste!$C$4,IF(L16=Dienste!$A$5,Dienste!$C$5,IF(L16=Dienste!$A$6,Dienste!$C$6,IF(L16=Dienste!$A$7,Dienste!$C$7,IF(L16=Dienste!$A$8,Dienste!$C$8,IF(L16=Dienste!$A$9,Dienste!$C$9,IF(L16=Dienste!$A$10,Dienste!$C$10,IF(L16=Dienste!$A$11,Dienste!$C$11,IF(L16=Dienste!$A$12,Dienste!$C$12,IF(L16=Dienste!$A$13,Dienste!$C$13,IF(L16=Dienste!$A$14,Dienste!$C$14,IF(L16=Dienste!$A$15,Dienste!$C$15,IF(L16=Dienste!$A$16,Dienste!$C$16,IF(L16=Dienste!$A$17,Dienste!$C$17,IF(L16=Dienste!$A$18,Dienste!$C$18,IF(L16=Dienste!$A$19,Dienste!$C$19,IF(L16=Dienste!$A$20,Dienste!$C$20,IF(L16=Dienste!$A$21,Dienste!$C$21,IF(L16=Dienste!$A$22,Dienste!$C$22,IF(L16=Dienste!$A$23,Dienste!$C$23,IF(L16=Dienste!$A$24,Dienste!$C$24,IF(L16=Dienste!$A$25,Dienste!$C$25,IF(L16=Dienste!$A$26,Dienste!$C$26,IF(L16=Dienste!$A$27,Dienste!$C$27,IF(L16=Dienste!$A$28,Dienste!$C$28,IF(L16=Dienste!#REF!,Dienste!#REF!,IF(L16=Dienste!#REF!,Dienste!#REF!,IF(L16=Dienste!#REF!,Dienste!#REF!,IF(L16=Dienste!#REF!,Dienste!#REF!,IF(L16=Dienste!$A$33,Dienste!$C$33,IF(L16=Dienste!$A$34,Dienste!$C$34,IF(L16=Dienste!$A$35,Dienste!$C$35,IF(L16=Dienste!$A$36,Dienste!$C$36,)))))))))))))))))))))))))))))))))))</f>
        <v>0</v>
      </c>
      <c r="BG16" s="27">
        <f>IF(M16=Dienste!$A$2,Dienste!$C$2,IF(M16=Dienste!$A$3,Dienste!$C$3,IF(M16=Dienste!$A$4,Dienste!$C$4,IF(M16=Dienste!$A$5,Dienste!$C$5,IF(M16=Dienste!$A$6,Dienste!$C$6,IF(M16=Dienste!$A$7,Dienste!$C$7,IF(M16=Dienste!$A$8,Dienste!$C$8,IF(M16=Dienste!$A$9,Dienste!$C$9,IF(M16=Dienste!$A$10,Dienste!$C$10,IF(M16=Dienste!$A$11,Dienste!$C$11,IF(M16=Dienste!$A$12,Dienste!$C$12,IF(M16=Dienste!$A$13,Dienste!$C$13,IF(M16=Dienste!$A$14,Dienste!$C$14,IF(M16=Dienste!$A$15,Dienste!$C$15,IF(M16=Dienste!$A$16,Dienste!$C$16,IF(M16=Dienste!$A$17,Dienste!$C$17,IF(M16=Dienste!$A$18,Dienste!$C$18,IF(M16=Dienste!$A$19,Dienste!$C$19,IF(M16=Dienste!$A$20,Dienste!$C$20,IF(M16=Dienste!$A$21,Dienste!$C$21,IF(M16=Dienste!$A$22,Dienste!$C$22,IF(M16=Dienste!$A$23,Dienste!$C$23,IF(M16=Dienste!$A$24,Dienste!$C$24,IF(M16=Dienste!$A$25,Dienste!$C$25,IF(M16=Dienste!$A$26,Dienste!$C$26,IF(M16=Dienste!$A$27,Dienste!$C$27,IF(M16=Dienste!$A$28,Dienste!$C$28,IF(M16=Dienste!#REF!,Dienste!#REF!,IF(M16=Dienste!#REF!,Dienste!#REF!,IF(M16=Dienste!#REF!,Dienste!#REF!,IF(M16=Dienste!#REF!,Dienste!#REF!,IF(M16=Dienste!$A$33,Dienste!$C$33,IF(M16=Dienste!$A$34,Dienste!$C$34,IF(M16=Dienste!$A$35,Dienste!$C$35,IF(M16=Dienste!$A$36,Dienste!$C$36,)))))))))))))))))))))))))))))))))))</f>
        <v>8</v>
      </c>
      <c r="BH16" s="27">
        <f>IF(N16=Dienste!$A$2,Dienste!$C$2,IF(N16=Dienste!$A$3,Dienste!$C$3,IF(N16=Dienste!$A$4,Dienste!$C$4,IF(N16=Dienste!$A$5,Dienste!$C$5,IF(N16=Dienste!$A$6,Dienste!$C$6,IF(N16=Dienste!$A$7,Dienste!$C$7,IF(N16=Dienste!$A$8,Dienste!$C$8,IF(N16=Dienste!$A$9,Dienste!$C$9,IF(N16=Dienste!$A$10,Dienste!$C$10,IF(N16=Dienste!$A$11,Dienste!$C$11,IF(N16=Dienste!$A$12,Dienste!$C$12,IF(N16=Dienste!$A$13,Dienste!$C$13,IF(N16=Dienste!$A$14,Dienste!$C$14,IF(N16=Dienste!$A$15,Dienste!$C$15,IF(N16=Dienste!$A$16,Dienste!$C$16,IF(N16=Dienste!$A$17,Dienste!$C$17,IF(N16=Dienste!$A$18,Dienste!$C$18,IF(N16=Dienste!$A$19,Dienste!$C$19,IF(N16=Dienste!$A$20,Dienste!$C$20,IF(N16=Dienste!$A$21,Dienste!$C$21,IF(N16=Dienste!$A$22,Dienste!$C$22,IF(N16=Dienste!$A$23,Dienste!$C$23,IF(N16=Dienste!$A$24,Dienste!$C$24,IF(N16=Dienste!$A$25,Dienste!$C$25,IF(N16=Dienste!$A$26,Dienste!$C$26,IF(N16=Dienste!$A$27,Dienste!$C$27,IF(N16=Dienste!$A$28,Dienste!$C$28,IF(N16=Dienste!#REF!,Dienste!#REF!,IF(N16=Dienste!#REF!,Dienste!#REF!,IF(N16=Dienste!#REF!,Dienste!#REF!,IF(N16=Dienste!#REF!,Dienste!#REF!,IF(N16=Dienste!$A$33,Dienste!$C$33,IF(N16=Dienste!$A$34,Dienste!$C$34,IF(N16=Dienste!$A$35,Dienste!$C$35,IF(N16=Dienste!$A$36,Dienste!$C$36,)))))))))))))))))))))))))))))))))))</f>
        <v>8</v>
      </c>
      <c r="BI16" s="27">
        <f>IF(O16=Dienste!$A$2,Dienste!$C$2,IF(O16=Dienste!$A$3,Dienste!$C$3,IF(O16=Dienste!$A$4,Dienste!$C$4,IF(O16=Dienste!$A$5,Dienste!$C$5,IF(O16=Dienste!$A$6,Dienste!$C$6,IF(O16=Dienste!$A$7,Dienste!$C$7,IF(O16=Dienste!$A$8,Dienste!$C$8,IF(O16=Dienste!$A$9,Dienste!$C$9,IF(O16=Dienste!$A$10,Dienste!$C$10,IF(O16=Dienste!$A$11,Dienste!$C$11,IF(O16=Dienste!$A$12,Dienste!$C$12,IF(O16=Dienste!$A$13,Dienste!$C$13,IF(O16=Dienste!$A$14,Dienste!$C$14,IF(O16=Dienste!$A$15,Dienste!$C$15,IF(O16=Dienste!$A$16,Dienste!$C$16,IF(O16=Dienste!$A$17,Dienste!$C$17,IF(O16=Dienste!$A$18,Dienste!$C$18,IF(O16=Dienste!$A$19,Dienste!$C$19,IF(O16=Dienste!$A$20,Dienste!$C$20,IF(O16=Dienste!$A$21,Dienste!$C$21,IF(O16=Dienste!$A$22,Dienste!$C$22,IF(O16=Dienste!$A$23,Dienste!$C$23,IF(O16=Dienste!$A$24,Dienste!$C$24,IF(O16=Dienste!$A$25,Dienste!$C$25,IF(O16=Dienste!$A$26,Dienste!$C$26,IF(O16=Dienste!$A$27,Dienste!$C$27,IF(O16=Dienste!$A$28,Dienste!$C$28,IF(O16=Dienste!#REF!,Dienste!#REF!,IF(O16=Dienste!#REF!,Dienste!#REF!,IF(O16=Dienste!#REF!,Dienste!#REF!,IF(O16=Dienste!#REF!,Dienste!#REF!,IF(O16=Dienste!$A$33,Dienste!$C$33,IF(O16=Dienste!$A$34,Dienste!$C$34,IF(O16=Dienste!$A$35,Dienste!$C$35,IF(O16=Dienste!$A$36,Dienste!$C$36,)))))))))))))))))))))))))))))))))))</f>
        <v>8</v>
      </c>
      <c r="BJ16" s="27">
        <f>IF(P16=Dienste!$A$2,Dienste!$C$2,IF(P16=Dienste!$A$3,Dienste!$C$3,IF(P16=Dienste!$A$4,Dienste!$C$4,IF(P16=Dienste!$A$5,Dienste!$C$5,IF(P16=Dienste!$A$6,Dienste!$C$6,IF(P16=Dienste!$A$7,Dienste!$C$7,IF(P16=Dienste!$A$8,Dienste!$C$8,IF(P16=Dienste!$A$9,Dienste!$C$9,IF(P16=Dienste!$A$10,Dienste!$C$10,IF(P16=Dienste!$A$11,Dienste!$C$11,IF(P16=Dienste!$A$12,Dienste!$C$12,IF(P16=Dienste!$A$13,Dienste!$C$13,IF(P16=Dienste!$A$14,Dienste!$C$14,IF(P16=Dienste!$A$15,Dienste!$C$15,IF(P16=Dienste!$A$16,Dienste!$C$16,IF(P16=Dienste!$A$17,Dienste!$C$17,IF(P16=Dienste!$A$18,Dienste!$C$18,IF(P16=Dienste!$A$19,Dienste!$C$19,IF(P16=Dienste!$A$20,Dienste!$C$20,IF(P16=Dienste!$A$21,Dienste!$C$21,IF(P16=Dienste!$A$22,Dienste!$C$22,IF(P16=Dienste!$A$23,Dienste!$C$23,IF(P16=Dienste!$A$24,Dienste!$C$24,IF(P16=Dienste!$A$25,Dienste!$C$25,IF(P16=Dienste!$A$26,Dienste!$C$26,IF(P16=Dienste!$A$27,Dienste!$C$27,IF(P16=Dienste!$A$28,Dienste!$C$28,IF(P16=Dienste!#REF!,Dienste!#REF!,IF(P16=Dienste!#REF!,Dienste!#REF!,IF(P16=Dienste!#REF!,Dienste!#REF!,IF(P16=Dienste!#REF!,Dienste!#REF!,IF(P16=Dienste!$A$33,Dienste!$C$33,IF(P16=Dienste!$A$34,Dienste!$C$34,IF(P16=Dienste!$A$35,Dienste!$C$35,IF(P16=Dienste!$A$36,Dienste!$C$36,)))))))))))))))))))))))))))))))))))</f>
        <v>8</v>
      </c>
      <c r="BK16" s="27">
        <f>IF(Q16=Dienste!$A$2,Dienste!$C$2,IF(Q16=Dienste!$A$3,Dienste!$C$3,IF(Q16=Dienste!$A$4,Dienste!$C$4,IF(Q16=Dienste!$A$5,Dienste!$C$5,IF(Q16=Dienste!$A$6,Dienste!$C$6,IF(Q16=Dienste!$A$7,Dienste!$C$7,IF(Q16=Dienste!$A$8,Dienste!$C$8,IF(Q16=Dienste!$A$9,Dienste!$C$9,IF(Q16=Dienste!$A$10,Dienste!$C$10,IF(Q16=Dienste!$A$11,Dienste!$C$11,IF(Q16=Dienste!$A$12,Dienste!$C$12,IF(Q16=Dienste!$A$13,Dienste!$C$13,IF(Q16=Dienste!$A$14,Dienste!$C$14,IF(Q16=Dienste!$A$15,Dienste!$C$15,IF(Q16=Dienste!$A$16,Dienste!$C$16,IF(Q16=Dienste!$A$17,Dienste!$C$17,IF(Q16=Dienste!$A$18,Dienste!$C$18,IF(Q16=Dienste!$A$19,Dienste!$C$19,IF(Q16=Dienste!$A$20,Dienste!$C$20,IF(Q16=Dienste!$A$21,Dienste!$C$21,IF(Q16=Dienste!$A$22,Dienste!$C$22,IF(Q16=Dienste!$A$23,Dienste!$C$23,IF(Q16=Dienste!$A$24,Dienste!$C$24,IF(Q16=Dienste!$A$25,Dienste!$C$25,IF(Q16=Dienste!$A$26,Dienste!$C$26,IF(Q16=Dienste!$A$27,Dienste!$C$27,IF(Q16=Dienste!$A$28,Dienste!$C$28,IF(Q16=Dienste!#REF!,Dienste!#REF!,IF(Q16=Dienste!#REF!,Dienste!#REF!,IF(Q16=Dienste!#REF!,Dienste!#REF!,IF(Q16=Dienste!#REF!,Dienste!#REF!,IF(Q16=Dienste!$A$33,Dienste!$C$33,IF(Q16=Dienste!$A$34,Dienste!$C$34,IF(Q16=Dienste!$A$35,Dienste!$C$35,IF(Q16=Dienste!$A$36,Dienste!$C$36,)))))))))))))))))))))))))))))))))))</f>
        <v>8</v>
      </c>
      <c r="BL16" s="27">
        <f>IF(R16=Dienste!$A$2,Dienste!$C$2,IF(R16=Dienste!$A$3,Dienste!$C$3,IF(R16=Dienste!$A$4,Dienste!$C$4,IF(R16=Dienste!$A$5,Dienste!$C$5,IF(R16=Dienste!$A$6,Dienste!$C$6,IF(R16=Dienste!$A$7,Dienste!$C$7,IF(R16=Dienste!$A$8,Dienste!$C$8,IF(R16=Dienste!$A$9,Dienste!$C$9,IF(R16=Dienste!$A$10,Dienste!$C$10,IF(R16=Dienste!$A$11,Dienste!$C$11,IF(R16=Dienste!$A$12,Dienste!$C$12,IF(R16=Dienste!$A$13,Dienste!$C$13,IF(R16=Dienste!$A$14,Dienste!$C$14,IF(R16=Dienste!$A$15,Dienste!$C$15,IF(R16=Dienste!$A$16,Dienste!$C$16,IF(R16=Dienste!$A$17,Dienste!$C$17,IF(R16=Dienste!$A$18,Dienste!$C$18,IF(R16=Dienste!$A$19,Dienste!$C$19,IF(R16=Dienste!$A$20,Dienste!$C$20,IF(R16=Dienste!$A$21,Dienste!$C$21,IF(R16=Dienste!$A$22,Dienste!$C$22,IF(R16=Dienste!$A$23,Dienste!$C$23,IF(R16=Dienste!$A$24,Dienste!$C$24,IF(R16=Dienste!$A$25,Dienste!$C$25,IF(R16=Dienste!$A$26,Dienste!$C$26,IF(R16=Dienste!$A$27,Dienste!$C$27,IF(R16=Dienste!$A$28,Dienste!$C$28,IF(R16=Dienste!#REF!,Dienste!#REF!,IF(R16=Dienste!#REF!,Dienste!#REF!,IF(R16=Dienste!#REF!,Dienste!#REF!,IF(R16=Dienste!#REF!,Dienste!#REF!,IF(R16=Dienste!$A$33,Dienste!$C$33,IF(R16=Dienste!$A$34,Dienste!$C$34,IF(R16=Dienste!$A$35,Dienste!$C$35,IF(R16=Dienste!$A$36,Dienste!$C$36,)))))))))))))))))))))))))))))))))))</f>
        <v>0</v>
      </c>
      <c r="BM16" s="27">
        <f>IF(S16=Dienste!$A$2,Dienste!$C$2,IF(S16=Dienste!$A$3,Dienste!$C$3,IF(S16=Dienste!$A$4,Dienste!$C$4,IF(S16=Dienste!$A$5,Dienste!$C$5,IF(S16=Dienste!$A$6,Dienste!$C$6,IF(S16=Dienste!$A$7,Dienste!$C$7,IF(S16=Dienste!$A$8,Dienste!$C$8,IF(S16=Dienste!$A$9,Dienste!$C$9,IF(S16=Dienste!$A$10,Dienste!$C$10,IF(S16=Dienste!$A$11,Dienste!$C$11,IF(S16=Dienste!$A$12,Dienste!$C$12,IF(S16=Dienste!$A$13,Dienste!$C$13,IF(S16=Dienste!$A$14,Dienste!$C$14,IF(S16=Dienste!$A$15,Dienste!$C$15,IF(S16=Dienste!$A$16,Dienste!$C$16,IF(S16=Dienste!$A$17,Dienste!$C$17,IF(S16=Dienste!$A$18,Dienste!$C$18,IF(S16=Dienste!$A$19,Dienste!$C$19,IF(S16=Dienste!$A$20,Dienste!$C$20,IF(S16=Dienste!$A$21,Dienste!$C$21,IF(S16=Dienste!$A$22,Dienste!$C$22,IF(S16=Dienste!$A$23,Dienste!$C$23,IF(S16=Dienste!$A$24,Dienste!$C$24,IF(S16=Dienste!$A$25,Dienste!$C$25,IF(S16=Dienste!$A$26,Dienste!$C$26,IF(S16=Dienste!$A$27,Dienste!$C$27,IF(S16=Dienste!$A$28,Dienste!$C$28,IF(S16=Dienste!#REF!,Dienste!#REF!,IF(S16=Dienste!#REF!,Dienste!#REF!,IF(S16=Dienste!#REF!,Dienste!#REF!,IF(S16=Dienste!#REF!,Dienste!#REF!,IF(S16=Dienste!$A$33,Dienste!$C$33,IF(S16=Dienste!$A$34,Dienste!$C$34,IF(S16=Dienste!$A$35,Dienste!$C$35,IF(S16=Dienste!$A$36,Dienste!$C$36,)))))))))))))))))))))))))))))))))))</f>
        <v>0</v>
      </c>
      <c r="BN16" s="27">
        <f>IF(T16=Dienste!$A$2,Dienste!$C$2,IF(T16=Dienste!$A$3,Dienste!$C$3,IF(T16=Dienste!$A$4,Dienste!$C$4,IF(T16=Dienste!$A$5,Dienste!$C$5,IF(T16=Dienste!$A$6,Dienste!$C$6,IF(T16=Dienste!$A$7,Dienste!$C$7,IF(T16=Dienste!$A$8,Dienste!$C$8,IF(T16=Dienste!$A$9,Dienste!$C$9,IF(T16=Dienste!$A$10,Dienste!$C$10,IF(T16=Dienste!$A$11,Dienste!$C$11,IF(T16=Dienste!$A$12,Dienste!$C$12,IF(T16=Dienste!$A$13,Dienste!$C$13,IF(T16=Dienste!$A$14,Dienste!$C$14,IF(T16=Dienste!$A$15,Dienste!$C$15,IF(T16=Dienste!$A$16,Dienste!$C$16,IF(T16=Dienste!$A$17,Dienste!$C$17,IF(T16=Dienste!$A$18,Dienste!$C$18,IF(T16=Dienste!$A$19,Dienste!$C$19,IF(T16=Dienste!$A$20,Dienste!$C$20,IF(T16=Dienste!$A$21,Dienste!$C$21,IF(T16=Dienste!$A$22,Dienste!$C$22,IF(T16=Dienste!$A$23,Dienste!$C$23,IF(T16=Dienste!$A$24,Dienste!$C$24,IF(T16=Dienste!$A$25,Dienste!$C$25,IF(T16=Dienste!$A$26,Dienste!$C$26,IF(T16=Dienste!$A$27,Dienste!$C$27,IF(T16=Dienste!$A$28,Dienste!$C$28,IF(T16=Dienste!#REF!,Dienste!#REF!,IF(T16=Dienste!#REF!,Dienste!#REF!,IF(T16=Dienste!#REF!,Dienste!#REF!,IF(T16=Dienste!#REF!,Dienste!#REF!,IF(T16=Dienste!$A$33,Dienste!$C$33,IF(T16=Dienste!$A$34,Dienste!$C$34,IF(T16=Dienste!$A$35,Dienste!$C$35,IF(T16=Dienste!$A$36,Dienste!$C$36,)))))))))))))))))))))))))))))))))))</f>
        <v>8</v>
      </c>
      <c r="BO16" s="27">
        <f>IF(U16=Dienste!$A$2,Dienste!$C$2,IF(U16=Dienste!$A$3,Dienste!$C$3,IF(U16=Dienste!$A$4,Dienste!$C$4,IF(U16=Dienste!$A$5,Dienste!$C$5,IF(U16=Dienste!$A$6,Dienste!$C$6,IF(U16=Dienste!$A$7,Dienste!$C$7,IF(U16=Dienste!$A$8,Dienste!$C$8,IF(U16=Dienste!$A$9,Dienste!$C$9,IF(U16=Dienste!$A$10,Dienste!$C$10,IF(U16=Dienste!$A$11,Dienste!$C$11,IF(U16=Dienste!$A$12,Dienste!$C$12,IF(U16=Dienste!$A$13,Dienste!$C$13,IF(U16=Dienste!$A$14,Dienste!$C$14,IF(U16=Dienste!$A$15,Dienste!$C$15,IF(U16=Dienste!$A$16,Dienste!$C$16,IF(U16=Dienste!$A$17,Dienste!$C$17,IF(U16=Dienste!$A$18,Dienste!$C$18,IF(U16=Dienste!$A$19,Dienste!$C$19,IF(U16=Dienste!$A$20,Dienste!$C$20,IF(U16=Dienste!$A$21,Dienste!$C$21,IF(U16=Dienste!$A$22,Dienste!$C$22,IF(U16=Dienste!$A$23,Dienste!$C$23,IF(U16=Dienste!$A$24,Dienste!$C$24,IF(U16=Dienste!$A$25,Dienste!$C$25,IF(U16=Dienste!$A$26,Dienste!$C$26,IF(U16=Dienste!$A$27,Dienste!$C$27,IF(U16=Dienste!$A$28,Dienste!$C$28,IF(U16=Dienste!#REF!,Dienste!#REF!,IF(U16=Dienste!#REF!,Dienste!#REF!,IF(U16=Dienste!#REF!,Dienste!#REF!,IF(U16=Dienste!#REF!,Dienste!#REF!,IF(U16=Dienste!$A$33,Dienste!$C$33,IF(U16=Dienste!$A$34,Dienste!$C$34,IF(U16=Dienste!$A$35,Dienste!$C$35,IF(U16=Dienste!$A$36,Dienste!$C$36,)))))))))))))))))))))))))))))))))))</f>
        <v>8</v>
      </c>
      <c r="BP16" s="27">
        <f>IF(V16=Dienste!$A$2,Dienste!$C$2,IF(V16=Dienste!$A$3,Dienste!$C$3,IF(V16=Dienste!$A$4,Dienste!$C$4,IF(V16=Dienste!$A$5,Dienste!$C$5,IF(V16=Dienste!$A$6,Dienste!$C$6,IF(V16=Dienste!$A$7,Dienste!$C$7,IF(V16=Dienste!$A$8,Dienste!$C$8,IF(V16=Dienste!$A$9,Dienste!$C$9,IF(V16=Dienste!$A$10,Dienste!$C$10,IF(V16=Dienste!$A$11,Dienste!$C$11,IF(V16=Dienste!$A$12,Dienste!$C$12,IF(V16=Dienste!$A$13,Dienste!$C$13,IF(V16=Dienste!$A$14,Dienste!$C$14,IF(V16=Dienste!$A$15,Dienste!$C$15,IF(V16=Dienste!$A$16,Dienste!$C$16,IF(V16=Dienste!$A$17,Dienste!$C$17,IF(V16=Dienste!$A$18,Dienste!$C$18,IF(V16=Dienste!$A$19,Dienste!$C$19,IF(V16=Dienste!$A$20,Dienste!$C$20,IF(V16=Dienste!$A$21,Dienste!$C$21,IF(V16=Dienste!$A$22,Dienste!$C$22,IF(V16=Dienste!$A$23,Dienste!$C$23,IF(V16=Dienste!$A$24,Dienste!$C$24,IF(V16=Dienste!$A$25,Dienste!$C$25,IF(V16=Dienste!$A$26,Dienste!$C$26,IF(V16=Dienste!$A$27,Dienste!$C$27,IF(V16=Dienste!$A$28,Dienste!$C$28,IF(V16=Dienste!#REF!,Dienste!#REF!,IF(V16=Dienste!#REF!,Dienste!#REF!,IF(V16=Dienste!#REF!,Dienste!#REF!,IF(V16=Dienste!#REF!,Dienste!#REF!,IF(V16=Dienste!$A$33,Dienste!$C$33,IF(V16=Dienste!$A$34,Dienste!$C$34,IF(V16=Dienste!$A$35,Dienste!$C$35,IF(V16=Dienste!$A$36,Dienste!$C$36,)))))))))))))))))))))))))))))))))))</f>
        <v>8</v>
      </c>
      <c r="BQ16" s="27">
        <f>IF(W16=Dienste!$A$2,Dienste!$C$2,IF(W16=Dienste!$A$3,Dienste!$C$3,IF(W16=Dienste!$A$4,Dienste!$C$4,IF(W16=Dienste!$A$5,Dienste!$C$5,IF(W16=Dienste!$A$6,Dienste!$C$6,IF(W16=Dienste!$A$7,Dienste!$C$7,IF(W16=Dienste!$A$8,Dienste!$C$8,IF(W16=Dienste!$A$9,Dienste!$C$9,IF(W16=Dienste!$A$10,Dienste!$C$10,IF(W16=Dienste!$A$11,Dienste!$C$11,IF(W16=Dienste!$A$12,Dienste!$C$12,IF(W16=Dienste!$A$13,Dienste!$C$13,IF(W16=Dienste!$A$14,Dienste!$C$14,IF(W16=Dienste!$A$15,Dienste!$C$15,IF(W16=Dienste!$A$16,Dienste!$C$16,IF(W16=Dienste!$A$17,Dienste!$C$17,IF(W16=Dienste!$A$18,Dienste!$C$18,IF(W16=Dienste!$A$19,Dienste!$C$19,IF(W16=Dienste!$A$20,Dienste!$C$20,IF(W16=Dienste!$A$21,Dienste!$C$21,IF(W16=Dienste!$A$22,Dienste!$C$22,IF(W16=Dienste!$A$23,Dienste!$C$23,IF(W16=Dienste!$A$24,Dienste!$C$24,IF(W16=Dienste!$A$25,Dienste!$C$25,IF(W16=Dienste!$A$26,Dienste!$C$26,IF(W16=Dienste!$A$27,Dienste!$C$27,IF(W16=Dienste!$A$28,Dienste!$C$28,IF(W16=Dienste!#REF!,Dienste!#REF!,IF(W16=Dienste!#REF!,Dienste!#REF!,IF(W16=Dienste!#REF!,Dienste!#REF!,IF(W16=Dienste!#REF!,Dienste!#REF!,IF(W16=Dienste!$A$33,Dienste!$C$33,IF(W16=Dienste!$A$34,Dienste!$C$34,IF(W16=Dienste!$A$35,Dienste!$C$35,IF(W16=Dienste!$A$36,Dienste!$C$36,)))))))))))))))))))))))))))))))))))</f>
        <v>8</v>
      </c>
      <c r="BR16" s="27">
        <f>IF(X16=Dienste!$A$2,Dienste!$C$2,IF(X16=Dienste!$A$3,Dienste!$C$3,IF(X16=Dienste!$A$4,Dienste!$C$4,IF(X16=Dienste!$A$5,Dienste!$C$5,IF(X16=Dienste!$A$6,Dienste!$C$6,IF(X16=Dienste!$A$7,Dienste!$C$7,IF(X16=Dienste!$A$8,Dienste!$C$8,IF(X16=Dienste!$A$9,Dienste!$C$9,IF(X16=Dienste!$A$10,Dienste!$C$10,IF(X16=Dienste!$A$11,Dienste!$C$11,IF(X16=Dienste!$A$12,Dienste!$C$12,IF(X16=Dienste!$A$13,Dienste!$C$13,IF(X16=Dienste!$A$14,Dienste!$C$14,IF(X16=Dienste!$A$15,Dienste!$C$15,IF(X16=Dienste!$A$16,Dienste!$C$16,IF(X16=Dienste!$A$17,Dienste!$C$17,IF(X16=Dienste!$A$18,Dienste!$C$18,IF(X16=Dienste!$A$19,Dienste!$C$19,IF(X16=Dienste!$A$20,Dienste!$C$20,IF(X16=Dienste!$A$21,Dienste!$C$21,IF(X16=Dienste!$A$22,Dienste!$C$22,IF(X16=Dienste!$A$23,Dienste!$C$23,IF(X16=Dienste!$A$24,Dienste!$C$24,IF(X16=Dienste!$A$25,Dienste!$C$25,IF(X16=Dienste!$A$26,Dienste!$C$26,IF(X16=Dienste!$A$27,Dienste!$C$27,IF(X16=Dienste!$A$28,Dienste!$C$28,IF(X16=Dienste!#REF!,Dienste!#REF!,IF(X16=Dienste!#REF!,Dienste!#REF!,IF(X16=Dienste!#REF!,Dienste!#REF!,IF(X16=Dienste!#REF!,Dienste!#REF!,IF(X16=Dienste!$A$33,Dienste!$C$33,IF(X16=Dienste!$A$34,Dienste!$C$34,IF(X16=Dienste!$A$35,Dienste!$C$35,IF(X16=Dienste!$A$36,Dienste!$C$36,)))))))))))))))))))))))))))))))))))</f>
        <v>8</v>
      </c>
      <c r="BS16" s="27">
        <f>IF(Y16=Dienste!$A$2,Dienste!$C$2,IF(Y16=Dienste!$A$3,Dienste!$C$3,IF(Y16=Dienste!$A$4,Dienste!$C$4,IF(Y16=Dienste!$A$5,Dienste!$C$5,IF(Y16=Dienste!$A$6,Dienste!$C$6,IF(Y16=Dienste!$A$7,Dienste!$C$7,IF(Y16=Dienste!$A$8,Dienste!$C$8,IF(Y16=Dienste!$A$9,Dienste!$C$9,IF(Y16=Dienste!$A$10,Dienste!$C$10,IF(Y16=Dienste!$A$11,Dienste!$C$11,IF(Y16=Dienste!$A$12,Dienste!$C$12,IF(Y16=Dienste!$A$13,Dienste!$C$13,IF(Y16=Dienste!$A$14,Dienste!$C$14,IF(Y16=Dienste!$A$15,Dienste!$C$15,IF(Y16=Dienste!$A$16,Dienste!$C$16,IF(Y16=Dienste!$A$17,Dienste!$C$17,IF(Y16=Dienste!$A$18,Dienste!$C$18,IF(Y16=Dienste!$A$19,Dienste!$C$19,IF(Y16=Dienste!$A$20,Dienste!$C$20,IF(Y16=Dienste!$A$21,Dienste!$C$21,IF(Y16=Dienste!$A$22,Dienste!$C$22,IF(Y16=Dienste!$A$23,Dienste!$C$23,IF(Y16=Dienste!$A$24,Dienste!$C$24,IF(Y16=Dienste!$A$25,Dienste!$C$25,IF(Y16=Dienste!$A$26,Dienste!$C$26,IF(Y16=Dienste!$A$27,Dienste!$C$27,IF(Y16=Dienste!$A$28,Dienste!$C$28,IF(Y16=Dienste!#REF!,Dienste!#REF!,IF(Y16=Dienste!#REF!,Dienste!#REF!,IF(Y16=Dienste!#REF!,Dienste!#REF!,IF(Y16=Dienste!#REF!,Dienste!#REF!,IF(Y16=Dienste!$A$33,Dienste!$C$33,IF(Y16=Dienste!$A$34,Dienste!$C$34,IF(Y16=Dienste!$A$35,Dienste!$C$35,IF(Y16=Dienste!$A$36,Dienste!$C$36,)))))))))))))))))))))))))))))))))))</f>
        <v>0</v>
      </c>
      <c r="BT16" s="27">
        <f>IF(Z16=Dienste!$A$2,Dienste!$C$2,IF(Z16=Dienste!$A$3,Dienste!$C$3,IF(Z16=Dienste!$A$4,Dienste!$C$4,IF(Z16=Dienste!$A$5,Dienste!$C$5,IF(Z16=Dienste!$A$6,Dienste!$C$6,IF(Z16=Dienste!$A$7,Dienste!$C$7,IF(Z16=Dienste!$A$8,Dienste!$C$8,IF(Z16=Dienste!$A$9,Dienste!$C$9,IF(Z16=Dienste!$A$10,Dienste!$C$10,IF(Z16=Dienste!$A$11,Dienste!$C$11,IF(Z16=Dienste!$A$12,Dienste!$C$12,IF(Z16=Dienste!$A$13,Dienste!$C$13,IF(Z16=Dienste!$A$14,Dienste!$C$14,IF(Z16=Dienste!$A$15,Dienste!$C$15,IF(Z16=Dienste!$A$16,Dienste!$C$16,IF(Z16=Dienste!$A$17,Dienste!$C$17,IF(Z16=Dienste!$A$18,Dienste!$C$18,IF(Z16=Dienste!$A$19,Dienste!$C$19,IF(Z16=Dienste!$A$20,Dienste!$C$20,IF(Z16=Dienste!$A$21,Dienste!$C$21,IF(Z16=Dienste!$A$22,Dienste!$C$22,IF(Z16=Dienste!$A$23,Dienste!$C$23,IF(Z16=Dienste!$A$24,Dienste!$C$24,IF(Z16=Dienste!$A$25,Dienste!$C$25,IF(Z16=Dienste!$A$26,Dienste!$C$26,IF(Z16=Dienste!$A$27,Dienste!$C$27,IF(Z16=Dienste!$A$28,Dienste!$C$28,IF(Z16=Dienste!#REF!,Dienste!#REF!,IF(Z16=Dienste!#REF!,Dienste!#REF!,IF(Z16=Dienste!#REF!,Dienste!#REF!,IF(Z16=Dienste!#REF!,Dienste!#REF!,IF(Z16=Dienste!$A$33,Dienste!$C$33,IF(Z16=Dienste!$A$34,Dienste!$C$34,IF(Z16=Dienste!$A$35,Dienste!$C$35,IF(Z16=Dienste!$A$36,Dienste!$C$36,)))))))))))))))))))))))))))))))))))</f>
        <v>0</v>
      </c>
      <c r="BU16" s="27">
        <f>IF(AA16=Dienste!$A$2,Dienste!$C$2,IF(AA16=Dienste!$A$3,Dienste!$C$3,IF(AA16=Dienste!$A$4,Dienste!$C$4,IF(AA16=Dienste!$A$5,Dienste!$C$5,IF(AA16=Dienste!$A$6,Dienste!$C$6,IF(AA16=Dienste!$A$7,Dienste!$C$7,IF(AA16=Dienste!$A$8,Dienste!$C$8,IF(AA16=Dienste!$A$9,Dienste!$C$9,IF(AA16=Dienste!$A$10,Dienste!$C$10,IF(AA16=Dienste!$A$11,Dienste!$C$11,IF(AA16=Dienste!$A$12,Dienste!$C$12,IF(AA16=Dienste!$A$13,Dienste!$C$13,IF(AA16=Dienste!$A$14,Dienste!$C$14,IF(AA16=Dienste!$A$15,Dienste!$C$15,IF(AA16=Dienste!$A$16,Dienste!$C$16,IF(AA16=Dienste!$A$17,Dienste!$C$17,IF(AA16=Dienste!$A$18,Dienste!$C$18,IF(AA16=Dienste!$A$19,Dienste!$C$19,IF(AA16=Dienste!$A$20,Dienste!$C$20,IF(AA16=Dienste!$A$21,Dienste!$C$21,IF(AA16=Dienste!$A$22,Dienste!$C$22,IF(AA16=Dienste!$A$23,Dienste!$C$23,IF(AA16=Dienste!$A$24,Dienste!$C$24,IF(AA16=Dienste!$A$25,Dienste!$C$25,IF(AA16=Dienste!$A$26,Dienste!$C$26,IF(AA16=Dienste!$A$27,Dienste!$C$27,IF(AA16=Dienste!$A$28,Dienste!$C$28,IF(AA16=Dienste!#REF!,Dienste!#REF!,IF(AA16=Dienste!#REF!,Dienste!#REF!,IF(AA16=Dienste!#REF!,Dienste!#REF!,IF(AA16=Dienste!#REF!,Dienste!#REF!,IF(AA16=Dienste!$A$33,Dienste!$C$33,IF(AA16=Dienste!$A$34,Dienste!$C$34,IF(AA16=Dienste!$A$35,Dienste!$C$35,IF(AA16=Dienste!$A$36,Dienste!$C$36,)))))))))))))))))))))))))))))))))))</f>
        <v>8</v>
      </c>
      <c r="BV16" s="27">
        <f>IF(AB16=Dienste!$A$2,Dienste!$C$2,IF(AB16=Dienste!$A$3,Dienste!$C$3,IF(AB16=Dienste!$A$4,Dienste!$C$4,IF(AB16=Dienste!$A$5,Dienste!$C$5,IF(AB16=Dienste!$A$6,Dienste!$C$6,IF(AB16=Dienste!$A$7,Dienste!$C$7,IF(AB16=Dienste!$A$8,Dienste!$C$8,IF(AB16=Dienste!$A$9,Dienste!$C$9,IF(AB16=Dienste!$A$10,Dienste!$C$10,IF(AB16=Dienste!$A$11,Dienste!$C$11,IF(AB16=Dienste!$A$12,Dienste!$C$12,IF(AB16=Dienste!$A$13,Dienste!$C$13,IF(AB16=Dienste!$A$14,Dienste!$C$14,IF(AB16=Dienste!$A$15,Dienste!$C$15,IF(AB16=Dienste!$A$16,Dienste!$C$16,IF(AB16=Dienste!$A$17,Dienste!$C$17,IF(AB16=Dienste!$A$18,Dienste!$C$18,IF(AB16=Dienste!$A$19,Dienste!$C$19,IF(AB16=Dienste!$A$20,Dienste!$C$20,IF(AB16=Dienste!$A$21,Dienste!$C$21,IF(AB16=Dienste!$A$22,Dienste!$C$22,IF(AB16=Dienste!$A$23,Dienste!$C$23,IF(AB16=Dienste!$A$24,Dienste!$C$24,IF(AB16=Dienste!$A$25,Dienste!$C$25,IF(AB16=Dienste!$A$26,Dienste!$C$26,IF(AB16=Dienste!$A$27,Dienste!$C$27,IF(AB16=Dienste!$A$28,Dienste!$C$28,IF(AB16=Dienste!#REF!,Dienste!#REF!,IF(AB16=Dienste!#REF!,Dienste!#REF!,IF(AB16=Dienste!#REF!,Dienste!#REF!,IF(AB16=Dienste!#REF!,Dienste!#REF!,IF(AB16=Dienste!$A$33,Dienste!$C$33,IF(AB16=Dienste!$A$34,Dienste!$C$34,IF(AB16=Dienste!$A$35,Dienste!$C$35,IF(AB16=Dienste!$A$36,Dienste!$C$36,)))))))))))))))))))))))))))))))))))</f>
        <v>8</v>
      </c>
      <c r="BW16" s="27">
        <f>IF(AC16=Dienste!$A$2,Dienste!$C$2,IF(AC16=Dienste!$A$3,Dienste!$C$3,IF(AC16=Dienste!$A$4,Dienste!$C$4,IF(AC16=Dienste!$A$5,Dienste!$C$5,IF(AC16=Dienste!$A$6,Dienste!$C$6,IF(AC16=Dienste!$A$7,Dienste!$C$7,IF(AC16=Dienste!$A$8,Dienste!$C$8,IF(AC16=Dienste!$A$9,Dienste!$C$9,IF(AC16=Dienste!$A$10,Dienste!$C$10,IF(AC16=Dienste!$A$11,Dienste!$C$11,IF(AC16=Dienste!$A$12,Dienste!$C$12,IF(AC16=Dienste!$A$13,Dienste!$C$13,IF(AC16=Dienste!$A$14,Dienste!$C$14,IF(AC16=Dienste!$A$15,Dienste!$C$15,IF(AC16=Dienste!$A$16,Dienste!$C$16,IF(AC16=Dienste!$A$17,Dienste!$C$17,IF(AC16=Dienste!$A$18,Dienste!$C$18,IF(AC16=Dienste!$A$19,Dienste!$C$19,IF(AC16=Dienste!$A$20,Dienste!$C$20,IF(AC16=Dienste!$A$21,Dienste!$C$21,IF(AC16=Dienste!$A$22,Dienste!$C$22,IF(AC16=Dienste!$A$23,Dienste!$C$23,IF(AC16=Dienste!$A$24,Dienste!$C$24,IF(AC16=Dienste!$A$25,Dienste!$C$25,IF(AC16=Dienste!$A$26,Dienste!$C$26,IF(AC16=Dienste!$A$27,Dienste!$C$27,IF(AC16=Dienste!$A$28,Dienste!$C$28,IF(AC16=Dienste!#REF!,Dienste!#REF!,IF(AC16=Dienste!#REF!,Dienste!#REF!,IF(AC16=Dienste!#REF!,Dienste!#REF!,IF(AC16=Dienste!#REF!,Dienste!#REF!,IF(AC16=Dienste!$A$33,Dienste!$C$33,IF(AC16=Dienste!$A$34,Dienste!$C$34,IF(AC16=Dienste!$A$35,Dienste!$C$35,IF(AC16=Dienste!$A$36,Dienste!$C$36,)))))))))))))))))))))))))))))))))))</f>
        <v>8</v>
      </c>
      <c r="BX16" s="27">
        <f>IF(AD16=Dienste!$A$2,Dienste!$C$2,IF(AD16=Dienste!$A$3,Dienste!$C$3,IF(AD16=Dienste!$A$4,Dienste!$C$4,IF(AD16=Dienste!$A$5,Dienste!$C$5,IF(AD16=Dienste!$A$6,Dienste!$C$6,IF(AD16=Dienste!$A$7,Dienste!$C$7,IF(AD16=Dienste!$A$8,Dienste!$C$8,IF(AD16=Dienste!$A$9,Dienste!$C$9,IF(AD16=Dienste!$A$10,Dienste!$C$10,IF(AD16=Dienste!$A$11,Dienste!$C$11,IF(AD16=Dienste!$A$12,Dienste!$C$12,IF(AD16=Dienste!$A$13,Dienste!$C$13,IF(AD16=Dienste!$A$14,Dienste!$C$14,IF(AD16=Dienste!$A$15,Dienste!$C$15,IF(AD16=Dienste!$A$16,Dienste!$C$16,IF(AD16=Dienste!$A$17,Dienste!$C$17,IF(AD16=Dienste!$A$18,Dienste!$C$18,IF(AD16=Dienste!$A$19,Dienste!$C$19,IF(AD16=Dienste!$A$20,Dienste!$C$20,IF(AD16=Dienste!$A$21,Dienste!$C$21,IF(AD16=Dienste!$A$22,Dienste!$C$22,IF(AD16=Dienste!$A$23,Dienste!$C$23,IF(AD16=Dienste!$A$24,Dienste!$C$24,IF(AD16=Dienste!$A$25,Dienste!$C$25,IF(AD16=Dienste!$A$26,Dienste!$C$26,IF(AD16=Dienste!$A$27,Dienste!$C$27,IF(AD16=Dienste!$A$28,Dienste!$C$28,IF(AD16=Dienste!#REF!,Dienste!#REF!,IF(AD16=Dienste!#REF!,Dienste!#REF!,IF(AD16=Dienste!#REF!,Dienste!#REF!,IF(AD16=Dienste!#REF!,Dienste!#REF!,IF(AD16=Dienste!$A$33,Dienste!$C$33,IF(AD16=Dienste!$A$34,Dienste!$C$34,IF(AD16=Dienste!$A$35,Dienste!$C$35,IF(AD16=Dienste!$A$36,Dienste!$C$36,)))))))))))))))))))))))))))))))))))</f>
        <v>8</v>
      </c>
      <c r="BY16" s="27">
        <f>IF(AE16=Dienste!$A$2,Dienste!$C$2,IF(AE16=Dienste!$A$3,Dienste!$C$3,IF(AE16=Dienste!$A$4,Dienste!$C$4,IF(AE16=Dienste!$A$5,Dienste!$C$5,IF(AE16=Dienste!$A$6,Dienste!$C$6,IF(AE16=Dienste!$A$7,Dienste!$C$7,IF(AE16=Dienste!$A$8,Dienste!$C$8,IF(AE16=Dienste!$A$9,Dienste!$C$9,IF(AE16=Dienste!$A$10,Dienste!$C$10,IF(AE16=Dienste!$A$11,Dienste!$C$11,IF(AE16=Dienste!$A$12,Dienste!$C$12,IF(AE16=Dienste!$A$13,Dienste!$C$13,IF(AE16=Dienste!$A$14,Dienste!$C$14,IF(AE16=Dienste!$A$15,Dienste!$C$15,IF(AE16=Dienste!$A$16,Dienste!$C$16,IF(AE16=Dienste!$A$17,Dienste!$C$17,IF(AE16=Dienste!$A$18,Dienste!$C$18,IF(AE16=Dienste!$A$19,Dienste!$C$19,IF(AE16=Dienste!$A$20,Dienste!$C$20,IF(AE16=Dienste!$A$21,Dienste!$C$21,IF(AE16=Dienste!$A$22,Dienste!$C$22,IF(AE16=Dienste!$A$23,Dienste!$C$23,IF(AE16=Dienste!$A$24,Dienste!$C$24,IF(AE16=Dienste!$A$25,Dienste!$C$25,IF(AE16=Dienste!$A$26,Dienste!$C$26,IF(AE16=Dienste!$A$27,Dienste!$C$27,IF(AE16=Dienste!$A$28,Dienste!$C$28,IF(AE16=Dienste!#REF!,Dienste!#REF!,IF(AE16=Dienste!#REF!,Dienste!#REF!,IF(AE16=Dienste!#REF!,Dienste!#REF!,IF(AE16=Dienste!#REF!,Dienste!#REF!,IF(AE16=Dienste!$A$33,Dienste!$C$33,IF(AE16=Dienste!$A$34,Dienste!$C$34,IF(AE16=Dienste!$A$35,Dienste!$C$35,IF(AE16=Dienste!$A$36,Dienste!$C$36,)))))))))))))))))))))))))))))))))))</f>
        <v>8</v>
      </c>
      <c r="BZ16" s="27">
        <f>IF(AF16=Dienste!$A$2,Dienste!$C$2,IF(AF16=Dienste!$A$3,Dienste!$C$3,IF(AF16=Dienste!$A$4,Dienste!$C$4,IF(AF16=Dienste!$A$5,Dienste!$C$5,IF(AF16=Dienste!$A$6,Dienste!$C$6,IF(AF16=Dienste!$A$7,Dienste!$C$7,IF(AF16=Dienste!$A$8,Dienste!$C$8,IF(AF16=Dienste!$A$9,Dienste!$C$9,IF(AF16=Dienste!$A$10,Dienste!$C$10,IF(AF16=Dienste!$A$11,Dienste!$C$11,IF(AF16=Dienste!$A$12,Dienste!$C$12,IF(AF16=Dienste!$A$13,Dienste!$C$13,IF(AF16=Dienste!$A$14,Dienste!$C$14,IF(AF16=Dienste!$A$15,Dienste!$C$15,IF(AF16=Dienste!$A$16,Dienste!$C$16,IF(AF16=Dienste!$A$17,Dienste!$C$17,IF(AF16=Dienste!$A$18,Dienste!$C$18,IF(AF16=Dienste!$A$19,Dienste!$C$19,IF(AF16=Dienste!$A$20,Dienste!$C$20,IF(AF16=Dienste!$A$21,Dienste!$C$21,IF(AF16=Dienste!$A$22,Dienste!$C$22,IF(AF16=Dienste!$A$23,Dienste!$C$23,IF(AF16=Dienste!$A$24,Dienste!$C$24,IF(AF16=Dienste!$A$25,Dienste!$C$25,IF(AF16=Dienste!$A$26,Dienste!$C$26,IF(AF16=Dienste!$A$27,Dienste!$C$27,IF(AF16=Dienste!$A$28,Dienste!$C$28,IF(AF16=Dienste!#REF!,Dienste!#REF!,IF(AF16=Dienste!#REF!,Dienste!#REF!,IF(AF16=Dienste!#REF!,Dienste!#REF!,IF(AF16=Dienste!#REF!,Dienste!#REF!,IF(AF16=Dienste!$A$33,Dienste!$C$33,IF(AF16=Dienste!$A$34,Dienste!$C$34,IF(AF16=Dienste!$A$35,Dienste!$C$35,IF(AF16=Dienste!$A$36,Dienste!$C$36,)))))))))))))))))))))))))))))))))))</f>
        <v>0</v>
      </c>
      <c r="CA16" s="27">
        <f>IF(AG16=Dienste!$A$2,Dienste!$C$2,IF(AG16=Dienste!$A$3,Dienste!$C$3,IF(AG16=Dienste!$A$4,Dienste!$C$4,IF(AG16=Dienste!$A$5,Dienste!$C$5,IF(AG16=Dienste!$A$6,Dienste!$C$6,IF(AG16=Dienste!$A$7,Dienste!$C$7,IF(AG16=Dienste!$A$8,Dienste!$C$8,IF(AG16=Dienste!$A$9,Dienste!$C$9,IF(AG16=Dienste!$A$10,Dienste!$C$10,IF(AG16=Dienste!$A$11,Dienste!$C$11,IF(AG16=Dienste!$A$12,Dienste!$C$12,IF(AG16=Dienste!$A$13,Dienste!$C$13,IF(AG16=Dienste!$A$14,Dienste!$C$14,IF(AG16=Dienste!$A$15,Dienste!$C$15,IF(AG16=Dienste!$A$16,Dienste!$C$16,IF(AG16=Dienste!$A$17,Dienste!$C$17,IF(AG16=Dienste!$A$18,Dienste!$C$18,IF(AG16=Dienste!$A$19,Dienste!$C$19,IF(AG16=Dienste!$A$20,Dienste!$C$20,IF(AG16=Dienste!$A$21,Dienste!$C$21,IF(AG16=Dienste!$A$22,Dienste!$C$22,IF(AG16=Dienste!$A$23,Dienste!$C$23,IF(AG16=Dienste!$A$24,Dienste!$C$24,IF(AG16=Dienste!$A$25,Dienste!$C$25,IF(AG16=Dienste!$A$26,Dienste!$C$26,IF(AG16=Dienste!$A$27,Dienste!$C$27,IF(AG16=Dienste!$A$28,Dienste!$C$28,IF(AG16=Dienste!#REF!,Dienste!#REF!,IF(AG16=Dienste!#REF!,Dienste!#REF!,IF(AG16=Dienste!#REF!,Dienste!#REF!,IF(AG16=Dienste!#REF!,Dienste!#REF!,IF(AG16=Dienste!$A$33,Dienste!$C$33,IF(AG16=Dienste!$A$34,Dienste!$C$34,IF(AG16=Dienste!$A$35,Dienste!$C$35,IF(AG16=Dienste!$A$36,Dienste!$C$36,)))))))))))))))))))))))))))))))))))</f>
        <v>0</v>
      </c>
      <c r="CB16" s="27">
        <f>IF(AH16=Dienste!$A$2,Dienste!$C$2,IF(AH16=Dienste!$A$3,Dienste!$C$3,IF(AH16=Dienste!$A$4,Dienste!$C$4,IF(AH16=Dienste!$A$5,Dienste!$C$5,IF(AH16=Dienste!$A$6,Dienste!$C$6,IF(AH16=Dienste!$A$7,Dienste!$C$7,IF(AH16=Dienste!$A$8,Dienste!$C$8,IF(AH16=Dienste!$A$9,Dienste!$C$9,IF(AH16=Dienste!$A$10,Dienste!$C$10,IF(AH16=Dienste!$A$11,Dienste!$C$11,IF(AH16=Dienste!$A$12,Dienste!$C$12,IF(AH16=Dienste!$A$13,Dienste!$C$13,IF(AH16=Dienste!$A$14,Dienste!$C$14,IF(AH16=Dienste!$A$15,Dienste!$C$15,IF(AH16=Dienste!$A$16,Dienste!$C$16,IF(AH16=Dienste!$A$17,Dienste!$C$17,IF(AH16=Dienste!$A$18,Dienste!$C$18,IF(AH16=Dienste!$A$19,Dienste!$C$19,IF(AH16=Dienste!$A$20,Dienste!$C$20,IF(AH16=Dienste!$A$21,Dienste!$C$21,IF(AH16=Dienste!$A$22,Dienste!$C$22,IF(AH16=Dienste!$A$23,Dienste!$C$23,IF(AH16=Dienste!$A$24,Dienste!$C$24,IF(AH16=Dienste!$A$25,Dienste!$C$25,IF(AH16=Dienste!$A$26,Dienste!$C$26,IF(AH16=Dienste!$A$27,Dienste!$C$27,IF(AH16=Dienste!$A$28,Dienste!$C$28,IF(AH16=Dienste!#REF!,Dienste!#REF!,IF(AH16=Dienste!#REF!,Dienste!#REF!,IF(AH16=Dienste!#REF!,Dienste!#REF!,IF(AH16=Dienste!#REF!,Dienste!#REF!,IF(AH16=Dienste!$A$33,Dienste!$C$33,IF(AH16=Dienste!$A$34,Dienste!$C$34,IF(AH16=Dienste!$A$35,Dienste!$C$35,IF(AH16=Dienste!$A$36,Dienste!$C$36,)))))))))))))))))))))))))))))))))))</f>
        <v>8</v>
      </c>
      <c r="CC16" s="27" t="e">
        <f>IF(AI16=Dienste!$A$2,Dienste!$C$2,IF(AI16=Dienste!$A$3,Dienste!$C$3,IF(AI16=Dienste!$A$4,Dienste!$C$4,IF(AI16=Dienste!$A$5,Dienste!$C$5,IF(AI16=Dienste!$A$6,Dienste!$C$6,IF(AI16=Dienste!$A$7,Dienste!$C$7,IF(AI16=Dienste!$A$8,Dienste!$C$8,IF(AI16=Dienste!$A$9,Dienste!$C$9,IF(AI16=Dienste!$A$10,Dienste!$C$10,IF(AI16=Dienste!$A$11,Dienste!$C$11,IF(AI16=Dienste!$A$12,Dienste!$C$12,IF(AI16=Dienste!$A$13,Dienste!$C$13,IF(AI16=Dienste!$A$14,Dienste!$C$14,IF(AI16=Dienste!$A$15,Dienste!$C$15,IF(AI16=Dienste!$A$16,Dienste!$C$16,IF(AI16=Dienste!$A$17,Dienste!$C$17,IF(AI16=Dienste!$A$18,Dienste!$C$18,IF(AI16=Dienste!$A$19,Dienste!$C$19,IF(AI16=Dienste!$A$20,Dienste!$C$20,IF(AI16=Dienste!$A$21,Dienste!$C$21,IF(AI16=Dienste!$A$22,Dienste!$C$22,IF(AI16=Dienste!$A$23,Dienste!$C$23,IF(AI16=Dienste!$A$24,Dienste!$C$24,IF(AI16=Dienste!$A$25,Dienste!$C$25,IF(AI16=Dienste!$A$26,Dienste!$C$26,IF(AI16=Dienste!$A$27,Dienste!$C$27,IF(AI16=Dienste!$A$28,Dienste!$C$28,IF(AI16=Dienste!#REF!,Dienste!#REF!,IF(AI16=Dienste!#REF!,Dienste!#REF!,IF(AI16=Dienste!#REF!,Dienste!#REF!,IF(AI16=Dienste!#REF!,Dienste!#REF!,IF(AI16=Dienste!$A$33,Dienste!$C$33,IF(AI16=Dienste!$A$34,Dienste!$C$34,IF(AI16=Dienste!$A$35,Dienste!$C$35,IF(AI16=Dienste!$A$36,Dienste!$C$36,)))))))))))))))))))))))))))))))))))</f>
        <v>#REF!</v>
      </c>
    </row>
    <row r="17" spans="1:81" x14ac:dyDescent="0.25">
      <c r="A17" s="109" t="s">
        <v>134</v>
      </c>
      <c r="B17" s="15" t="s">
        <v>61</v>
      </c>
      <c r="C17" s="15">
        <v>32</v>
      </c>
      <c r="D17" s="98">
        <v>1</v>
      </c>
      <c r="E17" s="104" t="s">
        <v>83</v>
      </c>
      <c r="F17" s="9" t="s">
        <v>26</v>
      </c>
      <c r="G17" s="9" t="s">
        <v>26</v>
      </c>
      <c r="H17" s="9" t="s">
        <v>26</v>
      </c>
      <c r="I17" s="9" t="s">
        <v>5</v>
      </c>
      <c r="J17" s="9" t="s">
        <v>26</v>
      </c>
      <c r="K17" s="9" t="s">
        <v>83</v>
      </c>
      <c r="L17" s="9" t="s">
        <v>83</v>
      </c>
      <c r="M17" s="9" t="s">
        <v>26</v>
      </c>
      <c r="N17" s="9" t="s">
        <v>26</v>
      </c>
      <c r="O17" s="9" t="s">
        <v>26</v>
      </c>
      <c r="P17" s="9" t="s">
        <v>5</v>
      </c>
      <c r="Q17" s="9" t="s">
        <v>26</v>
      </c>
      <c r="R17" s="9" t="s">
        <v>83</v>
      </c>
      <c r="S17" s="9" t="s">
        <v>83</v>
      </c>
      <c r="T17" s="9" t="s">
        <v>26</v>
      </c>
      <c r="U17" s="9" t="s">
        <v>26</v>
      </c>
      <c r="V17" s="9" t="s">
        <v>26</v>
      </c>
      <c r="W17" s="9" t="s">
        <v>5</v>
      </c>
      <c r="X17" s="9" t="s">
        <v>26</v>
      </c>
      <c r="Y17" s="9" t="s">
        <v>83</v>
      </c>
      <c r="Z17" s="9" t="s">
        <v>83</v>
      </c>
      <c r="AA17" s="9" t="s">
        <v>26</v>
      </c>
      <c r="AB17" s="9" t="s">
        <v>26</v>
      </c>
      <c r="AC17" s="9" t="s">
        <v>26</v>
      </c>
      <c r="AD17" s="9" t="s">
        <v>5</v>
      </c>
      <c r="AE17" s="9" t="s">
        <v>26</v>
      </c>
      <c r="AF17" s="9" t="s">
        <v>83</v>
      </c>
      <c r="AG17" s="9" t="s">
        <v>83</v>
      </c>
      <c r="AH17" s="9" t="s">
        <v>26</v>
      </c>
      <c r="AI17" s="15"/>
      <c r="AJ17" s="109">
        <v>30.15</v>
      </c>
      <c r="AK17" s="15">
        <v>134.4</v>
      </c>
      <c r="AL17" s="109">
        <v>136</v>
      </c>
      <c r="AM17" s="15">
        <v>31.749999999999993</v>
      </c>
      <c r="AN17" s="170">
        <v>1.5999999999999943</v>
      </c>
      <c r="AO17" s="109">
        <v>0</v>
      </c>
      <c r="AP17" s="15">
        <v>0</v>
      </c>
      <c r="AQ17" s="98">
        <v>5</v>
      </c>
      <c r="AR17" s="109">
        <v>48</v>
      </c>
      <c r="AS17" s="15">
        <v>32.807692307692307</v>
      </c>
      <c r="AT17" s="98">
        <v>26</v>
      </c>
      <c r="AU17" s="96" t="e">
        <f t="shared" si="2"/>
        <v>#REF!</v>
      </c>
      <c r="AV17" s="27" t="e">
        <f t="shared" si="0"/>
        <v>#REF!</v>
      </c>
      <c r="AW17" s="58" t="e">
        <f t="shared" si="1"/>
        <v>#REF!</v>
      </c>
      <c r="AY17" s="27">
        <f>IF(E17=Dienste!$A$2,Dienste!$C$2,IF(E17=Dienste!$A$3,Dienste!$C$3,IF(E17=Dienste!$A$4,Dienste!$C$4,IF(E17=Dienste!$A$5,Dienste!$C$5,IF(E17=Dienste!$A$6,Dienste!$C$6,IF(E17=Dienste!$A$7,Dienste!$C$7,IF(E17=Dienste!$A$8,Dienste!$C$8,IF(E17=Dienste!$A$9,Dienste!$C$9,IF(E17=Dienste!$A$10,Dienste!$C$10,IF(E17=Dienste!$A$11,Dienste!$C$11,IF(E17=Dienste!$A$12,Dienste!$C$12,IF(E17=Dienste!$A$13,Dienste!$C$13,IF(E17=Dienste!$A$14,Dienste!$C$14,IF(E17=Dienste!$A$15,Dienste!$C$15,IF(E17=Dienste!$A$16,Dienste!$C$16,IF(E17=Dienste!$A$17,Dienste!$C$17,IF(E17=Dienste!$A$18,Dienste!$C$18,IF(E17=Dienste!$A$19,Dienste!$C$19,IF(E17=Dienste!$A$20,Dienste!$C$20,IF(E17=Dienste!$A$21,Dienste!$C$21,IF(E17=Dienste!$A$22,Dienste!$C$22,IF(E17=Dienste!$A$23,Dienste!$C$23,IF(E17=Dienste!$A$24,Dienste!$C$24,IF(E17=Dienste!$A$25,Dienste!$C$25,IF(E17=Dienste!$A$26,Dienste!$C$26,IF(E17=Dienste!$A$27,Dienste!$C$27,IF(E17=Dienste!$A$28,Dienste!$C$28,IF(E17=Dienste!#REF!,Dienste!#REF!,IF(E17=Dienste!#REF!,Dienste!#REF!,IF(E17=Dienste!#REF!,Dienste!#REF!,IF(E17=Dienste!#REF!,Dienste!#REF!,IF(E17=Dienste!$A$33,Dienste!$C$33,IF(E17=Dienste!$A$34,Dienste!$C$34,IF(E17=Dienste!$A$35,Dienste!$C$35,IF(E17=Dienste!$A$36,Dienste!$C$36,)))))))))))))))))))))))))))))))))))</f>
        <v>0</v>
      </c>
      <c r="AZ17" s="27">
        <f>IF(F17=Dienste!$A$2,Dienste!$C$2,IF(F17=Dienste!$A$3,Dienste!$C$3,IF(F17=Dienste!$A$4,Dienste!$C$4,IF(F17=Dienste!$A$5,Dienste!$C$5,IF(F17=Dienste!$A$6,Dienste!$C$6,IF(F17=Dienste!$A$7,Dienste!$C$7,IF(F17=Dienste!$A$8,Dienste!$C$8,IF(F17=Dienste!$A$9,Dienste!$C$9,IF(F17=Dienste!$A$10,Dienste!$C$10,IF(F17=Dienste!$A$11,Dienste!$C$11,IF(F17=Dienste!$A$12,Dienste!$C$12,IF(F17=Dienste!$A$13,Dienste!$C$13,IF(F17=Dienste!$A$14,Dienste!$C$14,IF(F17=Dienste!$A$15,Dienste!$C$15,IF(F17=Dienste!$A$16,Dienste!$C$16,IF(F17=Dienste!$A$17,Dienste!$C$17,IF(F17=Dienste!$A$18,Dienste!$C$18,IF(F17=Dienste!$A$19,Dienste!$C$19,IF(F17=Dienste!$A$20,Dienste!$C$20,IF(F17=Dienste!$A$21,Dienste!$C$21,IF(F17=Dienste!$A$22,Dienste!$C$22,IF(F17=Dienste!$A$23,Dienste!$C$23,IF(F17=Dienste!$A$24,Dienste!$C$24,IF(F17=Dienste!$A$25,Dienste!$C$25,IF(F17=Dienste!$A$26,Dienste!$C$26,IF(F17=Dienste!$A$27,Dienste!$C$27,IF(F17=Dienste!$A$28,Dienste!$C$28,IF(F17=Dienste!#REF!,Dienste!#REF!,IF(F17=Dienste!#REF!,Dienste!#REF!,IF(F17=Dienste!#REF!,Dienste!#REF!,IF(F17=Dienste!#REF!,Dienste!#REF!,IF(F17=Dienste!$A$33,Dienste!$C$33,IF(F17=Dienste!$A$34,Dienste!$C$34,IF(F17=Dienste!$A$35,Dienste!$C$35,IF(F17=Dienste!$A$36,Dienste!$C$36,)))))))))))))))))))))))))))))))))))</f>
        <v>8</v>
      </c>
      <c r="BA17" s="27">
        <f>IF(G17=Dienste!$A$2,Dienste!$C$2,IF(G17=Dienste!$A$3,Dienste!$C$3,IF(G17=Dienste!$A$4,Dienste!$C$4,IF(G17=Dienste!$A$5,Dienste!$C$5,IF(G17=Dienste!$A$6,Dienste!$C$6,IF(G17=Dienste!$A$7,Dienste!$C$7,IF(G17=Dienste!$A$8,Dienste!$C$8,IF(G17=Dienste!$A$9,Dienste!$C$9,IF(G17=Dienste!$A$10,Dienste!$C$10,IF(G17=Dienste!$A$11,Dienste!$C$11,IF(G17=Dienste!$A$12,Dienste!$C$12,IF(G17=Dienste!$A$13,Dienste!$C$13,IF(G17=Dienste!$A$14,Dienste!$C$14,IF(G17=Dienste!$A$15,Dienste!$C$15,IF(G17=Dienste!$A$16,Dienste!$C$16,IF(G17=Dienste!$A$17,Dienste!$C$17,IF(G17=Dienste!$A$18,Dienste!$C$18,IF(G17=Dienste!$A$19,Dienste!$C$19,IF(G17=Dienste!$A$20,Dienste!$C$20,IF(G17=Dienste!$A$21,Dienste!$C$21,IF(G17=Dienste!$A$22,Dienste!$C$22,IF(G17=Dienste!$A$23,Dienste!$C$23,IF(G17=Dienste!$A$24,Dienste!$C$24,IF(G17=Dienste!$A$25,Dienste!$C$25,IF(G17=Dienste!$A$26,Dienste!$C$26,IF(G17=Dienste!$A$27,Dienste!$C$27,IF(G17=Dienste!$A$28,Dienste!$C$28,IF(G17=Dienste!#REF!,Dienste!#REF!,IF(G17=Dienste!#REF!,Dienste!#REF!,IF(G17=Dienste!#REF!,Dienste!#REF!,IF(G17=Dienste!#REF!,Dienste!#REF!,IF(G17=Dienste!$A$33,Dienste!$C$33,IF(G17=Dienste!$A$34,Dienste!$C$34,IF(G17=Dienste!$A$35,Dienste!$C$35,IF(G17=Dienste!$A$36,Dienste!$C$36,)))))))))))))))))))))))))))))))))))</f>
        <v>8</v>
      </c>
      <c r="BB17" s="27">
        <f>IF(H17=Dienste!$A$2,Dienste!$C$2,IF(H17=Dienste!$A$3,Dienste!$C$3,IF(H17=Dienste!$A$4,Dienste!$C$4,IF(H17=Dienste!$A$5,Dienste!$C$5,IF(H17=Dienste!$A$6,Dienste!$C$6,IF(H17=Dienste!$A$7,Dienste!$C$7,IF(H17=Dienste!$A$8,Dienste!$C$8,IF(H17=Dienste!$A$9,Dienste!$C$9,IF(H17=Dienste!$A$10,Dienste!$C$10,IF(H17=Dienste!$A$11,Dienste!$C$11,IF(H17=Dienste!$A$12,Dienste!$C$12,IF(H17=Dienste!$A$13,Dienste!$C$13,IF(H17=Dienste!$A$14,Dienste!$C$14,IF(H17=Dienste!$A$15,Dienste!$C$15,IF(H17=Dienste!$A$16,Dienste!$C$16,IF(H17=Dienste!$A$17,Dienste!$C$17,IF(H17=Dienste!$A$18,Dienste!$C$18,IF(H17=Dienste!$A$19,Dienste!$C$19,IF(H17=Dienste!$A$20,Dienste!$C$20,IF(H17=Dienste!$A$21,Dienste!$C$21,IF(H17=Dienste!$A$22,Dienste!$C$22,IF(H17=Dienste!$A$23,Dienste!$C$23,IF(H17=Dienste!$A$24,Dienste!$C$24,IF(H17=Dienste!$A$25,Dienste!$C$25,IF(H17=Dienste!$A$26,Dienste!$C$26,IF(H17=Dienste!$A$27,Dienste!$C$27,IF(H17=Dienste!$A$28,Dienste!$C$28,IF(H17=Dienste!#REF!,Dienste!#REF!,IF(H17=Dienste!#REF!,Dienste!#REF!,IF(H17=Dienste!#REF!,Dienste!#REF!,IF(H17=Dienste!#REF!,Dienste!#REF!,IF(H17=Dienste!$A$33,Dienste!$C$33,IF(H17=Dienste!$A$34,Dienste!$C$34,IF(H17=Dienste!$A$35,Dienste!$C$35,IF(H17=Dienste!$A$36,Dienste!$C$36,)))))))))))))))))))))))))))))))))))</f>
        <v>8</v>
      </c>
      <c r="BC17" s="27">
        <f>IF(I17=Dienste!$A$2,Dienste!$C$2,IF(I17=Dienste!$A$3,Dienste!$C$3,IF(I17=Dienste!$A$4,Dienste!$C$4,IF(I17=Dienste!$A$5,Dienste!$C$5,IF(I17=Dienste!$A$6,Dienste!$C$6,IF(I17=Dienste!$A$7,Dienste!$C$7,IF(I17=Dienste!$A$8,Dienste!$C$8,IF(I17=Dienste!$A$9,Dienste!$C$9,IF(I17=Dienste!$A$10,Dienste!$C$10,IF(I17=Dienste!$A$11,Dienste!$C$11,IF(I17=Dienste!$A$12,Dienste!$C$12,IF(I17=Dienste!$A$13,Dienste!$C$13,IF(I17=Dienste!$A$14,Dienste!$C$14,IF(I17=Dienste!$A$15,Dienste!$C$15,IF(I17=Dienste!$A$16,Dienste!$C$16,IF(I17=Dienste!$A$17,Dienste!$C$17,IF(I17=Dienste!$A$18,Dienste!$C$18,IF(I17=Dienste!$A$19,Dienste!$C$19,IF(I17=Dienste!$A$20,Dienste!$C$20,IF(I17=Dienste!$A$21,Dienste!$C$21,IF(I17=Dienste!$A$22,Dienste!$C$22,IF(I17=Dienste!$A$23,Dienste!$C$23,IF(I17=Dienste!$A$24,Dienste!$C$24,IF(I17=Dienste!$A$25,Dienste!$C$25,IF(I17=Dienste!$A$26,Dienste!$C$26,IF(I17=Dienste!$A$27,Dienste!$C$27,IF(I17=Dienste!$A$28,Dienste!$C$28,IF(I17=Dienste!#REF!,Dienste!#REF!,IF(I17=Dienste!#REF!,Dienste!#REF!,IF(I17=Dienste!#REF!,Dienste!#REF!,IF(I17=Dienste!#REF!,Dienste!#REF!,IF(I17=Dienste!$A$33,Dienste!$C$33,IF(I17=Dienste!$A$34,Dienste!$C$34,IF(I17=Dienste!$A$35,Dienste!$C$35,IF(I17=Dienste!$A$36,Dienste!$C$36,)))))))))))))))))))))))))))))))))))</f>
        <v>0</v>
      </c>
      <c r="BD17" s="27">
        <f>IF(J17=Dienste!$A$2,Dienste!$C$2,IF(J17=Dienste!$A$3,Dienste!$C$3,IF(J17=Dienste!$A$4,Dienste!$C$4,IF(J17=Dienste!$A$5,Dienste!$C$5,IF(J17=Dienste!$A$6,Dienste!$C$6,IF(J17=Dienste!$A$7,Dienste!$C$7,IF(J17=Dienste!$A$8,Dienste!$C$8,IF(J17=Dienste!$A$9,Dienste!$C$9,IF(J17=Dienste!$A$10,Dienste!$C$10,IF(J17=Dienste!$A$11,Dienste!$C$11,IF(J17=Dienste!$A$12,Dienste!$C$12,IF(J17=Dienste!$A$13,Dienste!$C$13,IF(J17=Dienste!$A$14,Dienste!$C$14,IF(J17=Dienste!$A$15,Dienste!$C$15,IF(J17=Dienste!$A$16,Dienste!$C$16,IF(J17=Dienste!$A$17,Dienste!$C$17,IF(J17=Dienste!$A$18,Dienste!$C$18,IF(J17=Dienste!$A$19,Dienste!$C$19,IF(J17=Dienste!$A$20,Dienste!$C$20,IF(J17=Dienste!$A$21,Dienste!$C$21,IF(J17=Dienste!$A$22,Dienste!$C$22,IF(J17=Dienste!$A$23,Dienste!$C$23,IF(J17=Dienste!$A$24,Dienste!$C$24,IF(J17=Dienste!$A$25,Dienste!$C$25,IF(J17=Dienste!$A$26,Dienste!$C$26,IF(J17=Dienste!$A$27,Dienste!$C$27,IF(J17=Dienste!$A$28,Dienste!$C$28,IF(J17=Dienste!#REF!,Dienste!#REF!,IF(J17=Dienste!#REF!,Dienste!#REF!,IF(J17=Dienste!#REF!,Dienste!#REF!,IF(J17=Dienste!#REF!,Dienste!#REF!,IF(J17=Dienste!$A$33,Dienste!$C$33,IF(J17=Dienste!$A$34,Dienste!$C$34,IF(J17=Dienste!$A$35,Dienste!$C$35,IF(J17=Dienste!$A$36,Dienste!$C$36,)))))))))))))))))))))))))))))))))))</f>
        <v>8</v>
      </c>
      <c r="BE17" s="27">
        <f>IF(K17=Dienste!$A$2,Dienste!$C$2,IF(K17=Dienste!$A$3,Dienste!$C$3,IF(K17=Dienste!$A$4,Dienste!$C$4,IF(K17=Dienste!$A$5,Dienste!$C$5,IF(K17=Dienste!$A$6,Dienste!$C$6,IF(K17=Dienste!$A$7,Dienste!$C$7,IF(K17=Dienste!$A$8,Dienste!$C$8,IF(K17=Dienste!$A$9,Dienste!$C$9,IF(K17=Dienste!$A$10,Dienste!$C$10,IF(K17=Dienste!$A$11,Dienste!$C$11,IF(K17=Dienste!$A$12,Dienste!$C$12,IF(K17=Dienste!$A$13,Dienste!$C$13,IF(K17=Dienste!$A$14,Dienste!$C$14,IF(K17=Dienste!$A$15,Dienste!$C$15,IF(K17=Dienste!$A$16,Dienste!$C$16,IF(K17=Dienste!$A$17,Dienste!$C$17,IF(K17=Dienste!$A$18,Dienste!$C$18,IF(K17=Dienste!$A$19,Dienste!$C$19,IF(K17=Dienste!$A$20,Dienste!$C$20,IF(K17=Dienste!$A$21,Dienste!$C$21,IF(K17=Dienste!$A$22,Dienste!$C$22,IF(K17=Dienste!$A$23,Dienste!$C$23,IF(K17=Dienste!$A$24,Dienste!$C$24,IF(K17=Dienste!$A$25,Dienste!$C$25,IF(K17=Dienste!$A$26,Dienste!$C$26,IF(K17=Dienste!$A$27,Dienste!$C$27,IF(K17=Dienste!$A$28,Dienste!$C$28,IF(K17=Dienste!#REF!,Dienste!#REF!,IF(K17=Dienste!#REF!,Dienste!#REF!,IF(K17=Dienste!#REF!,Dienste!#REF!,IF(K17=Dienste!#REF!,Dienste!#REF!,IF(K17=Dienste!$A$33,Dienste!$C$33,IF(K17=Dienste!$A$34,Dienste!$C$34,IF(K17=Dienste!$A$35,Dienste!$C$35,IF(K17=Dienste!$A$36,Dienste!$C$36,)))))))))))))))))))))))))))))))))))</f>
        <v>0</v>
      </c>
      <c r="BF17" s="27">
        <f>IF(L17=Dienste!$A$2,Dienste!$C$2,IF(L17=Dienste!$A$3,Dienste!$C$3,IF(L17=Dienste!$A$4,Dienste!$C$4,IF(L17=Dienste!$A$5,Dienste!$C$5,IF(L17=Dienste!$A$6,Dienste!$C$6,IF(L17=Dienste!$A$7,Dienste!$C$7,IF(L17=Dienste!$A$8,Dienste!$C$8,IF(L17=Dienste!$A$9,Dienste!$C$9,IF(L17=Dienste!$A$10,Dienste!$C$10,IF(L17=Dienste!$A$11,Dienste!$C$11,IF(L17=Dienste!$A$12,Dienste!$C$12,IF(L17=Dienste!$A$13,Dienste!$C$13,IF(L17=Dienste!$A$14,Dienste!$C$14,IF(L17=Dienste!$A$15,Dienste!$C$15,IF(L17=Dienste!$A$16,Dienste!$C$16,IF(L17=Dienste!$A$17,Dienste!$C$17,IF(L17=Dienste!$A$18,Dienste!$C$18,IF(L17=Dienste!$A$19,Dienste!$C$19,IF(L17=Dienste!$A$20,Dienste!$C$20,IF(L17=Dienste!$A$21,Dienste!$C$21,IF(L17=Dienste!$A$22,Dienste!$C$22,IF(L17=Dienste!$A$23,Dienste!$C$23,IF(L17=Dienste!$A$24,Dienste!$C$24,IF(L17=Dienste!$A$25,Dienste!$C$25,IF(L17=Dienste!$A$26,Dienste!$C$26,IF(L17=Dienste!$A$27,Dienste!$C$27,IF(L17=Dienste!$A$28,Dienste!$C$28,IF(L17=Dienste!#REF!,Dienste!#REF!,IF(L17=Dienste!#REF!,Dienste!#REF!,IF(L17=Dienste!#REF!,Dienste!#REF!,IF(L17=Dienste!#REF!,Dienste!#REF!,IF(L17=Dienste!$A$33,Dienste!$C$33,IF(L17=Dienste!$A$34,Dienste!$C$34,IF(L17=Dienste!$A$35,Dienste!$C$35,IF(L17=Dienste!$A$36,Dienste!$C$36,)))))))))))))))))))))))))))))))))))</f>
        <v>0</v>
      </c>
      <c r="BG17" s="27">
        <f>IF(M17=Dienste!$A$2,Dienste!$C$2,IF(M17=Dienste!$A$3,Dienste!$C$3,IF(M17=Dienste!$A$4,Dienste!$C$4,IF(M17=Dienste!$A$5,Dienste!$C$5,IF(M17=Dienste!$A$6,Dienste!$C$6,IF(M17=Dienste!$A$7,Dienste!$C$7,IF(M17=Dienste!$A$8,Dienste!$C$8,IF(M17=Dienste!$A$9,Dienste!$C$9,IF(M17=Dienste!$A$10,Dienste!$C$10,IF(M17=Dienste!$A$11,Dienste!$C$11,IF(M17=Dienste!$A$12,Dienste!$C$12,IF(M17=Dienste!$A$13,Dienste!$C$13,IF(M17=Dienste!$A$14,Dienste!$C$14,IF(M17=Dienste!$A$15,Dienste!$C$15,IF(M17=Dienste!$A$16,Dienste!$C$16,IF(M17=Dienste!$A$17,Dienste!$C$17,IF(M17=Dienste!$A$18,Dienste!$C$18,IF(M17=Dienste!$A$19,Dienste!$C$19,IF(M17=Dienste!$A$20,Dienste!$C$20,IF(M17=Dienste!$A$21,Dienste!$C$21,IF(M17=Dienste!$A$22,Dienste!$C$22,IF(M17=Dienste!$A$23,Dienste!$C$23,IF(M17=Dienste!$A$24,Dienste!$C$24,IF(M17=Dienste!$A$25,Dienste!$C$25,IF(M17=Dienste!$A$26,Dienste!$C$26,IF(M17=Dienste!$A$27,Dienste!$C$27,IF(M17=Dienste!$A$28,Dienste!$C$28,IF(M17=Dienste!#REF!,Dienste!#REF!,IF(M17=Dienste!#REF!,Dienste!#REF!,IF(M17=Dienste!#REF!,Dienste!#REF!,IF(M17=Dienste!#REF!,Dienste!#REF!,IF(M17=Dienste!$A$33,Dienste!$C$33,IF(M17=Dienste!$A$34,Dienste!$C$34,IF(M17=Dienste!$A$35,Dienste!$C$35,IF(M17=Dienste!$A$36,Dienste!$C$36,)))))))))))))))))))))))))))))))))))</f>
        <v>8</v>
      </c>
      <c r="BH17" s="27">
        <f>IF(N17=Dienste!$A$2,Dienste!$C$2,IF(N17=Dienste!$A$3,Dienste!$C$3,IF(N17=Dienste!$A$4,Dienste!$C$4,IF(N17=Dienste!$A$5,Dienste!$C$5,IF(N17=Dienste!$A$6,Dienste!$C$6,IF(N17=Dienste!$A$7,Dienste!$C$7,IF(N17=Dienste!$A$8,Dienste!$C$8,IF(N17=Dienste!$A$9,Dienste!$C$9,IF(N17=Dienste!$A$10,Dienste!$C$10,IF(N17=Dienste!$A$11,Dienste!$C$11,IF(N17=Dienste!$A$12,Dienste!$C$12,IF(N17=Dienste!$A$13,Dienste!$C$13,IF(N17=Dienste!$A$14,Dienste!$C$14,IF(N17=Dienste!$A$15,Dienste!$C$15,IF(N17=Dienste!$A$16,Dienste!$C$16,IF(N17=Dienste!$A$17,Dienste!$C$17,IF(N17=Dienste!$A$18,Dienste!$C$18,IF(N17=Dienste!$A$19,Dienste!$C$19,IF(N17=Dienste!$A$20,Dienste!$C$20,IF(N17=Dienste!$A$21,Dienste!$C$21,IF(N17=Dienste!$A$22,Dienste!$C$22,IF(N17=Dienste!$A$23,Dienste!$C$23,IF(N17=Dienste!$A$24,Dienste!$C$24,IF(N17=Dienste!$A$25,Dienste!$C$25,IF(N17=Dienste!$A$26,Dienste!$C$26,IF(N17=Dienste!$A$27,Dienste!$C$27,IF(N17=Dienste!$A$28,Dienste!$C$28,IF(N17=Dienste!#REF!,Dienste!#REF!,IF(N17=Dienste!#REF!,Dienste!#REF!,IF(N17=Dienste!#REF!,Dienste!#REF!,IF(N17=Dienste!#REF!,Dienste!#REF!,IF(N17=Dienste!$A$33,Dienste!$C$33,IF(N17=Dienste!$A$34,Dienste!$C$34,IF(N17=Dienste!$A$35,Dienste!$C$35,IF(N17=Dienste!$A$36,Dienste!$C$36,)))))))))))))))))))))))))))))))))))</f>
        <v>8</v>
      </c>
      <c r="BI17" s="27">
        <f>IF(O17=Dienste!$A$2,Dienste!$C$2,IF(O17=Dienste!$A$3,Dienste!$C$3,IF(O17=Dienste!$A$4,Dienste!$C$4,IF(O17=Dienste!$A$5,Dienste!$C$5,IF(O17=Dienste!$A$6,Dienste!$C$6,IF(O17=Dienste!$A$7,Dienste!$C$7,IF(O17=Dienste!$A$8,Dienste!$C$8,IF(O17=Dienste!$A$9,Dienste!$C$9,IF(O17=Dienste!$A$10,Dienste!$C$10,IF(O17=Dienste!$A$11,Dienste!$C$11,IF(O17=Dienste!$A$12,Dienste!$C$12,IF(O17=Dienste!$A$13,Dienste!$C$13,IF(O17=Dienste!$A$14,Dienste!$C$14,IF(O17=Dienste!$A$15,Dienste!$C$15,IF(O17=Dienste!$A$16,Dienste!$C$16,IF(O17=Dienste!$A$17,Dienste!$C$17,IF(O17=Dienste!$A$18,Dienste!$C$18,IF(O17=Dienste!$A$19,Dienste!$C$19,IF(O17=Dienste!$A$20,Dienste!$C$20,IF(O17=Dienste!$A$21,Dienste!$C$21,IF(O17=Dienste!$A$22,Dienste!$C$22,IF(O17=Dienste!$A$23,Dienste!$C$23,IF(O17=Dienste!$A$24,Dienste!$C$24,IF(O17=Dienste!$A$25,Dienste!$C$25,IF(O17=Dienste!$A$26,Dienste!$C$26,IF(O17=Dienste!$A$27,Dienste!$C$27,IF(O17=Dienste!$A$28,Dienste!$C$28,IF(O17=Dienste!#REF!,Dienste!#REF!,IF(O17=Dienste!#REF!,Dienste!#REF!,IF(O17=Dienste!#REF!,Dienste!#REF!,IF(O17=Dienste!#REF!,Dienste!#REF!,IF(O17=Dienste!$A$33,Dienste!$C$33,IF(O17=Dienste!$A$34,Dienste!$C$34,IF(O17=Dienste!$A$35,Dienste!$C$35,IF(O17=Dienste!$A$36,Dienste!$C$36,)))))))))))))))))))))))))))))))))))</f>
        <v>8</v>
      </c>
      <c r="BJ17" s="27">
        <f>IF(P17=Dienste!$A$2,Dienste!$C$2,IF(P17=Dienste!$A$3,Dienste!$C$3,IF(P17=Dienste!$A$4,Dienste!$C$4,IF(P17=Dienste!$A$5,Dienste!$C$5,IF(P17=Dienste!$A$6,Dienste!$C$6,IF(P17=Dienste!$A$7,Dienste!$C$7,IF(P17=Dienste!$A$8,Dienste!$C$8,IF(P17=Dienste!$A$9,Dienste!$C$9,IF(P17=Dienste!$A$10,Dienste!$C$10,IF(P17=Dienste!$A$11,Dienste!$C$11,IF(P17=Dienste!$A$12,Dienste!$C$12,IF(P17=Dienste!$A$13,Dienste!$C$13,IF(P17=Dienste!$A$14,Dienste!$C$14,IF(P17=Dienste!$A$15,Dienste!$C$15,IF(P17=Dienste!$A$16,Dienste!$C$16,IF(P17=Dienste!$A$17,Dienste!$C$17,IF(P17=Dienste!$A$18,Dienste!$C$18,IF(P17=Dienste!$A$19,Dienste!$C$19,IF(P17=Dienste!$A$20,Dienste!$C$20,IF(P17=Dienste!$A$21,Dienste!$C$21,IF(P17=Dienste!$A$22,Dienste!$C$22,IF(P17=Dienste!$A$23,Dienste!$C$23,IF(P17=Dienste!$A$24,Dienste!$C$24,IF(P17=Dienste!$A$25,Dienste!$C$25,IF(P17=Dienste!$A$26,Dienste!$C$26,IF(P17=Dienste!$A$27,Dienste!$C$27,IF(P17=Dienste!$A$28,Dienste!$C$28,IF(P17=Dienste!#REF!,Dienste!#REF!,IF(P17=Dienste!#REF!,Dienste!#REF!,IF(P17=Dienste!#REF!,Dienste!#REF!,IF(P17=Dienste!#REF!,Dienste!#REF!,IF(P17=Dienste!$A$33,Dienste!$C$33,IF(P17=Dienste!$A$34,Dienste!$C$34,IF(P17=Dienste!$A$35,Dienste!$C$35,IF(P17=Dienste!$A$36,Dienste!$C$36,)))))))))))))))))))))))))))))))))))</f>
        <v>0</v>
      </c>
      <c r="BK17" s="27">
        <f>IF(Q17=Dienste!$A$2,Dienste!$C$2,IF(Q17=Dienste!$A$3,Dienste!$C$3,IF(Q17=Dienste!$A$4,Dienste!$C$4,IF(Q17=Dienste!$A$5,Dienste!$C$5,IF(Q17=Dienste!$A$6,Dienste!$C$6,IF(Q17=Dienste!$A$7,Dienste!$C$7,IF(Q17=Dienste!$A$8,Dienste!$C$8,IF(Q17=Dienste!$A$9,Dienste!$C$9,IF(Q17=Dienste!$A$10,Dienste!$C$10,IF(Q17=Dienste!$A$11,Dienste!$C$11,IF(Q17=Dienste!$A$12,Dienste!$C$12,IF(Q17=Dienste!$A$13,Dienste!$C$13,IF(Q17=Dienste!$A$14,Dienste!$C$14,IF(Q17=Dienste!$A$15,Dienste!$C$15,IF(Q17=Dienste!$A$16,Dienste!$C$16,IF(Q17=Dienste!$A$17,Dienste!$C$17,IF(Q17=Dienste!$A$18,Dienste!$C$18,IF(Q17=Dienste!$A$19,Dienste!$C$19,IF(Q17=Dienste!$A$20,Dienste!$C$20,IF(Q17=Dienste!$A$21,Dienste!$C$21,IF(Q17=Dienste!$A$22,Dienste!$C$22,IF(Q17=Dienste!$A$23,Dienste!$C$23,IF(Q17=Dienste!$A$24,Dienste!$C$24,IF(Q17=Dienste!$A$25,Dienste!$C$25,IF(Q17=Dienste!$A$26,Dienste!$C$26,IF(Q17=Dienste!$A$27,Dienste!$C$27,IF(Q17=Dienste!$A$28,Dienste!$C$28,IF(Q17=Dienste!#REF!,Dienste!#REF!,IF(Q17=Dienste!#REF!,Dienste!#REF!,IF(Q17=Dienste!#REF!,Dienste!#REF!,IF(Q17=Dienste!#REF!,Dienste!#REF!,IF(Q17=Dienste!$A$33,Dienste!$C$33,IF(Q17=Dienste!$A$34,Dienste!$C$34,IF(Q17=Dienste!$A$35,Dienste!$C$35,IF(Q17=Dienste!$A$36,Dienste!$C$36,)))))))))))))))))))))))))))))))))))</f>
        <v>8</v>
      </c>
      <c r="BL17" s="27">
        <f>IF(R17=Dienste!$A$2,Dienste!$C$2,IF(R17=Dienste!$A$3,Dienste!$C$3,IF(R17=Dienste!$A$4,Dienste!$C$4,IF(R17=Dienste!$A$5,Dienste!$C$5,IF(R17=Dienste!$A$6,Dienste!$C$6,IF(R17=Dienste!$A$7,Dienste!$C$7,IF(R17=Dienste!$A$8,Dienste!$C$8,IF(R17=Dienste!$A$9,Dienste!$C$9,IF(R17=Dienste!$A$10,Dienste!$C$10,IF(R17=Dienste!$A$11,Dienste!$C$11,IF(R17=Dienste!$A$12,Dienste!$C$12,IF(R17=Dienste!$A$13,Dienste!$C$13,IF(R17=Dienste!$A$14,Dienste!$C$14,IF(R17=Dienste!$A$15,Dienste!$C$15,IF(R17=Dienste!$A$16,Dienste!$C$16,IF(R17=Dienste!$A$17,Dienste!$C$17,IF(R17=Dienste!$A$18,Dienste!$C$18,IF(R17=Dienste!$A$19,Dienste!$C$19,IF(R17=Dienste!$A$20,Dienste!$C$20,IF(R17=Dienste!$A$21,Dienste!$C$21,IF(R17=Dienste!$A$22,Dienste!$C$22,IF(R17=Dienste!$A$23,Dienste!$C$23,IF(R17=Dienste!$A$24,Dienste!$C$24,IF(R17=Dienste!$A$25,Dienste!$C$25,IF(R17=Dienste!$A$26,Dienste!$C$26,IF(R17=Dienste!$A$27,Dienste!$C$27,IF(R17=Dienste!$A$28,Dienste!$C$28,IF(R17=Dienste!#REF!,Dienste!#REF!,IF(R17=Dienste!#REF!,Dienste!#REF!,IF(R17=Dienste!#REF!,Dienste!#REF!,IF(R17=Dienste!#REF!,Dienste!#REF!,IF(R17=Dienste!$A$33,Dienste!$C$33,IF(R17=Dienste!$A$34,Dienste!$C$34,IF(R17=Dienste!$A$35,Dienste!$C$35,IF(R17=Dienste!$A$36,Dienste!$C$36,)))))))))))))))))))))))))))))))))))</f>
        <v>0</v>
      </c>
      <c r="BM17" s="27">
        <f>IF(S17=Dienste!$A$2,Dienste!$C$2,IF(S17=Dienste!$A$3,Dienste!$C$3,IF(S17=Dienste!$A$4,Dienste!$C$4,IF(S17=Dienste!$A$5,Dienste!$C$5,IF(S17=Dienste!$A$6,Dienste!$C$6,IF(S17=Dienste!$A$7,Dienste!$C$7,IF(S17=Dienste!$A$8,Dienste!$C$8,IF(S17=Dienste!$A$9,Dienste!$C$9,IF(S17=Dienste!$A$10,Dienste!$C$10,IF(S17=Dienste!$A$11,Dienste!$C$11,IF(S17=Dienste!$A$12,Dienste!$C$12,IF(S17=Dienste!$A$13,Dienste!$C$13,IF(S17=Dienste!$A$14,Dienste!$C$14,IF(S17=Dienste!$A$15,Dienste!$C$15,IF(S17=Dienste!$A$16,Dienste!$C$16,IF(S17=Dienste!$A$17,Dienste!$C$17,IF(S17=Dienste!$A$18,Dienste!$C$18,IF(S17=Dienste!$A$19,Dienste!$C$19,IF(S17=Dienste!$A$20,Dienste!$C$20,IF(S17=Dienste!$A$21,Dienste!$C$21,IF(S17=Dienste!$A$22,Dienste!$C$22,IF(S17=Dienste!$A$23,Dienste!$C$23,IF(S17=Dienste!$A$24,Dienste!$C$24,IF(S17=Dienste!$A$25,Dienste!$C$25,IF(S17=Dienste!$A$26,Dienste!$C$26,IF(S17=Dienste!$A$27,Dienste!$C$27,IF(S17=Dienste!$A$28,Dienste!$C$28,IF(S17=Dienste!#REF!,Dienste!#REF!,IF(S17=Dienste!#REF!,Dienste!#REF!,IF(S17=Dienste!#REF!,Dienste!#REF!,IF(S17=Dienste!#REF!,Dienste!#REF!,IF(S17=Dienste!$A$33,Dienste!$C$33,IF(S17=Dienste!$A$34,Dienste!$C$34,IF(S17=Dienste!$A$35,Dienste!$C$35,IF(S17=Dienste!$A$36,Dienste!$C$36,)))))))))))))))))))))))))))))))))))</f>
        <v>0</v>
      </c>
      <c r="BN17" s="27">
        <f>IF(T17=Dienste!$A$2,Dienste!$C$2,IF(T17=Dienste!$A$3,Dienste!$C$3,IF(T17=Dienste!$A$4,Dienste!$C$4,IF(T17=Dienste!$A$5,Dienste!$C$5,IF(T17=Dienste!$A$6,Dienste!$C$6,IF(T17=Dienste!$A$7,Dienste!$C$7,IF(T17=Dienste!$A$8,Dienste!$C$8,IF(T17=Dienste!$A$9,Dienste!$C$9,IF(T17=Dienste!$A$10,Dienste!$C$10,IF(T17=Dienste!$A$11,Dienste!$C$11,IF(T17=Dienste!$A$12,Dienste!$C$12,IF(T17=Dienste!$A$13,Dienste!$C$13,IF(T17=Dienste!$A$14,Dienste!$C$14,IF(T17=Dienste!$A$15,Dienste!$C$15,IF(T17=Dienste!$A$16,Dienste!$C$16,IF(T17=Dienste!$A$17,Dienste!$C$17,IF(T17=Dienste!$A$18,Dienste!$C$18,IF(T17=Dienste!$A$19,Dienste!$C$19,IF(T17=Dienste!$A$20,Dienste!$C$20,IF(T17=Dienste!$A$21,Dienste!$C$21,IF(T17=Dienste!$A$22,Dienste!$C$22,IF(T17=Dienste!$A$23,Dienste!$C$23,IF(T17=Dienste!$A$24,Dienste!$C$24,IF(T17=Dienste!$A$25,Dienste!$C$25,IF(T17=Dienste!$A$26,Dienste!$C$26,IF(T17=Dienste!$A$27,Dienste!$C$27,IF(T17=Dienste!$A$28,Dienste!$C$28,IF(T17=Dienste!#REF!,Dienste!#REF!,IF(T17=Dienste!#REF!,Dienste!#REF!,IF(T17=Dienste!#REF!,Dienste!#REF!,IF(T17=Dienste!#REF!,Dienste!#REF!,IF(T17=Dienste!$A$33,Dienste!$C$33,IF(T17=Dienste!$A$34,Dienste!$C$34,IF(T17=Dienste!$A$35,Dienste!$C$35,IF(T17=Dienste!$A$36,Dienste!$C$36,)))))))))))))))))))))))))))))))))))</f>
        <v>8</v>
      </c>
      <c r="BO17" s="27">
        <f>IF(U17=Dienste!$A$2,Dienste!$C$2,IF(U17=Dienste!$A$3,Dienste!$C$3,IF(U17=Dienste!$A$4,Dienste!$C$4,IF(U17=Dienste!$A$5,Dienste!$C$5,IF(U17=Dienste!$A$6,Dienste!$C$6,IF(U17=Dienste!$A$7,Dienste!$C$7,IF(U17=Dienste!$A$8,Dienste!$C$8,IF(U17=Dienste!$A$9,Dienste!$C$9,IF(U17=Dienste!$A$10,Dienste!$C$10,IF(U17=Dienste!$A$11,Dienste!$C$11,IF(U17=Dienste!$A$12,Dienste!$C$12,IF(U17=Dienste!$A$13,Dienste!$C$13,IF(U17=Dienste!$A$14,Dienste!$C$14,IF(U17=Dienste!$A$15,Dienste!$C$15,IF(U17=Dienste!$A$16,Dienste!$C$16,IF(U17=Dienste!$A$17,Dienste!$C$17,IF(U17=Dienste!$A$18,Dienste!$C$18,IF(U17=Dienste!$A$19,Dienste!$C$19,IF(U17=Dienste!$A$20,Dienste!$C$20,IF(U17=Dienste!$A$21,Dienste!$C$21,IF(U17=Dienste!$A$22,Dienste!$C$22,IF(U17=Dienste!$A$23,Dienste!$C$23,IF(U17=Dienste!$A$24,Dienste!$C$24,IF(U17=Dienste!$A$25,Dienste!$C$25,IF(U17=Dienste!$A$26,Dienste!$C$26,IF(U17=Dienste!$A$27,Dienste!$C$27,IF(U17=Dienste!$A$28,Dienste!$C$28,IF(U17=Dienste!#REF!,Dienste!#REF!,IF(U17=Dienste!#REF!,Dienste!#REF!,IF(U17=Dienste!#REF!,Dienste!#REF!,IF(U17=Dienste!#REF!,Dienste!#REF!,IF(U17=Dienste!$A$33,Dienste!$C$33,IF(U17=Dienste!$A$34,Dienste!$C$34,IF(U17=Dienste!$A$35,Dienste!$C$35,IF(U17=Dienste!$A$36,Dienste!$C$36,)))))))))))))))))))))))))))))))))))</f>
        <v>8</v>
      </c>
      <c r="BP17" s="27">
        <f>IF(V17=Dienste!$A$2,Dienste!$C$2,IF(V17=Dienste!$A$3,Dienste!$C$3,IF(V17=Dienste!$A$4,Dienste!$C$4,IF(V17=Dienste!$A$5,Dienste!$C$5,IF(V17=Dienste!$A$6,Dienste!$C$6,IF(V17=Dienste!$A$7,Dienste!$C$7,IF(V17=Dienste!$A$8,Dienste!$C$8,IF(V17=Dienste!$A$9,Dienste!$C$9,IF(V17=Dienste!$A$10,Dienste!$C$10,IF(V17=Dienste!$A$11,Dienste!$C$11,IF(V17=Dienste!$A$12,Dienste!$C$12,IF(V17=Dienste!$A$13,Dienste!$C$13,IF(V17=Dienste!$A$14,Dienste!$C$14,IF(V17=Dienste!$A$15,Dienste!$C$15,IF(V17=Dienste!$A$16,Dienste!$C$16,IF(V17=Dienste!$A$17,Dienste!$C$17,IF(V17=Dienste!$A$18,Dienste!$C$18,IF(V17=Dienste!$A$19,Dienste!$C$19,IF(V17=Dienste!$A$20,Dienste!$C$20,IF(V17=Dienste!$A$21,Dienste!$C$21,IF(V17=Dienste!$A$22,Dienste!$C$22,IF(V17=Dienste!$A$23,Dienste!$C$23,IF(V17=Dienste!$A$24,Dienste!$C$24,IF(V17=Dienste!$A$25,Dienste!$C$25,IF(V17=Dienste!$A$26,Dienste!$C$26,IF(V17=Dienste!$A$27,Dienste!$C$27,IF(V17=Dienste!$A$28,Dienste!$C$28,IF(V17=Dienste!#REF!,Dienste!#REF!,IF(V17=Dienste!#REF!,Dienste!#REF!,IF(V17=Dienste!#REF!,Dienste!#REF!,IF(V17=Dienste!#REF!,Dienste!#REF!,IF(V17=Dienste!$A$33,Dienste!$C$33,IF(V17=Dienste!$A$34,Dienste!$C$34,IF(V17=Dienste!$A$35,Dienste!$C$35,IF(V17=Dienste!$A$36,Dienste!$C$36,)))))))))))))))))))))))))))))))))))</f>
        <v>8</v>
      </c>
      <c r="BQ17" s="27">
        <f>IF(W17=Dienste!$A$2,Dienste!$C$2,IF(W17=Dienste!$A$3,Dienste!$C$3,IF(W17=Dienste!$A$4,Dienste!$C$4,IF(W17=Dienste!$A$5,Dienste!$C$5,IF(W17=Dienste!$A$6,Dienste!$C$6,IF(W17=Dienste!$A$7,Dienste!$C$7,IF(W17=Dienste!$A$8,Dienste!$C$8,IF(W17=Dienste!$A$9,Dienste!$C$9,IF(W17=Dienste!$A$10,Dienste!$C$10,IF(W17=Dienste!$A$11,Dienste!$C$11,IF(W17=Dienste!$A$12,Dienste!$C$12,IF(W17=Dienste!$A$13,Dienste!$C$13,IF(W17=Dienste!$A$14,Dienste!$C$14,IF(W17=Dienste!$A$15,Dienste!$C$15,IF(W17=Dienste!$A$16,Dienste!$C$16,IF(W17=Dienste!$A$17,Dienste!$C$17,IF(W17=Dienste!$A$18,Dienste!$C$18,IF(W17=Dienste!$A$19,Dienste!$C$19,IF(W17=Dienste!$A$20,Dienste!$C$20,IF(W17=Dienste!$A$21,Dienste!$C$21,IF(W17=Dienste!$A$22,Dienste!$C$22,IF(W17=Dienste!$A$23,Dienste!$C$23,IF(W17=Dienste!$A$24,Dienste!$C$24,IF(W17=Dienste!$A$25,Dienste!$C$25,IF(W17=Dienste!$A$26,Dienste!$C$26,IF(W17=Dienste!$A$27,Dienste!$C$27,IF(W17=Dienste!$A$28,Dienste!$C$28,IF(W17=Dienste!#REF!,Dienste!#REF!,IF(W17=Dienste!#REF!,Dienste!#REF!,IF(W17=Dienste!#REF!,Dienste!#REF!,IF(W17=Dienste!#REF!,Dienste!#REF!,IF(W17=Dienste!$A$33,Dienste!$C$33,IF(W17=Dienste!$A$34,Dienste!$C$34,IF(W17=Dienste!$A$35,Dienste!$C$35,IF(W17=Dienste!$A$36,Dienste!$C$36,)))))))))))))))))))))))))))))))))))</f>
        <v>0</v>
      </c>
      <c r="BR17" s="27">
        <f>IF(X17=Dienste!$A$2,Dienste!$C$2,IF(X17=Dienste!$A$3,Dienste!$C$3,IF(X17=Dienste!$A$4,Dienste!$C$4,IF(X17=Dienste!$A$5,Dienste!$C$5,IF(X17=Dienste!$A$6,Dienste!$C$6,IF(X17=Dienste!$A$7,Dienste!$C$7,IF(X17=Dienste!$A$8,Dienste!$C$8,IF(X17=Dienste!$A$9,Dienste!$C$9,IF(X17=Dienste!$A$10,Dienste!$C$10,IF(X17=Dienste!$A$11,Dienste!$C$11,IF(X17=Dienste!$A$12,Dienste!$C$12,IF(X17=Dienste!$A$13,Dienste!$C$13,IF(X17=Dienste!$A$14,Dienste!$C$14,IF(X17=Dienste!$A$15,Dienste!$C$15,IF(X17=Dienste!$A$16,Dienste!$C$16,IF(X17=Dienste!$A$17,Dienste!$C$17,IF(X17=Dienste!$A$18,Dienste!$C$18,IF(X17=Dienste!$A$19,Dienste!$C$19,IF(X17=Dienste!$A$20,Dienste!$C$20,IF(X17=Dienste!$A$21,Dienste!$C$21,IF(X17=Dienste!$A$22,Dienste!$C$22,IF(X17=Dienste!$A$23,Dienste!$C$23,IF(X17=Dienste!$A$24,Dienste!$C$24,IF(X17=Dienste!$A$25,Dienste!$C$25,IF(X17=Dienste!$A$26,Dienste!$C$26,IF(X17=Dienste!$A$27,Dienste!$C$27,IF(X17=Dienste!$A$28,Dienste!$C$28,IF(X17=Dienste!#REF!,Dienste!#REF!,IF(X17=Dienste!#REF!,Dienste!#REF!,IF(X17=Dienste!#REF!,Dienste!#REF!,IF(X17=Dienste!#REF!,Dienste!#REF!,IF(X17=Dienste!$A$33,Dienste!$C$33,IF(X17=Dienste!$A$34,Dienste!$C$34,IF(X17=Dienste!$A$35,Dienste!$C$35,IF(X17=Dienste!$A$36,Dienste!$C$36,)))))))))))))))))))))))))))))))))))</f>
        <v>8</v>
      </c>
      <c r="BS17" s="27">
        <f>IF(Y17=Dienste!$A$2,Dienste!$C$2,IF(Y17=Dienste!$A$3,Dienste!$C$3,IF(Y17=Dienste!$A$4,Dienste!$C$4,IF(Y17=Dienste!$A$5,Dienste!$C$5,IF(Y17=Dienste!$A$6,Dienste!$C$6,IF(Y17=Dienste!$A$7,Dienste!$C$7,IF(Y17=Dienste!$A$8,Dienste!$C$8,IF(Y17=Dienste!$A$9,Dienste!$C$9,IF(Y17=Dienste!$A$10,Dienste!$C$10,IF(Y17=Dienste!$A$11,Dienste!$C$11,IF(Y17=Dienste!$A$12,Dienste!$C$12,IF(Y17=Dienste!$A$13,Dienste!$C$13,IF(Y17=Dienste!$A$14,Dienste!$C$14,IF(Y17=Dienste!$A$15,Dienste!$C$15,IF(Y17=Dienste!$A$16,Dienste!$C$16,IF(Y17=Dienste!$A$17,Dienste!$C$17,IF(Y17=Dienste!$A$18,Dienste!$C$18,IF(Y17=Dienste!$A$19,Dienste!$C$19,IF(Y17=Dienste!$A$20,Dienste!$C$20,IF(Y17=Dienste!$A$21,Dienste!$C$21,IF(Y17=Dienste!$A$22,Dienste!$C$22,IF(Y17=Dienste!$A$23,Dienste!$C$23,IF(Y17=Dienste!$A$24,Dienste!$C$24,IF(Y17=Dienste!$A$25,Dienste!$C$25,IF(Y17=Dienste!$A$26,Dienste!$C$26,IF(Y17=Dienste!$A$27,Dienste!$C$27,IF(Y17=Dienste!$A$28,Dienste!$C$28,IF(Y17=Dienste!#REF!,Dienste!#REF!,IF(Y17=Dienste!#REF!,Dienste!#REF!,IF(Y17=Dienste!#REF!,Dienste!#REF!,IF(Y17=Dienste!#REF!,Dienste!#REF!,IF(Y17=Dienste!$A$33,Dienste!$C$33,IF(Y17=Dienste!$A$34,Dienste!$C$34,IF(Y17=Dienste!$A$35,Dienste!$C$35,IF(Y17=Dienste!$A$36,Dienste!$C$36,)))))))))))))))))))))))))))))))))))</f>
        <v>0</v>
      </c>
      <c r="BT17" s="27">
        <f>IF(Z17=Dienste!$A$2,Dienste!$C$2,IF(Z17=Dienste!$A$3,Dienste!$C$3,IF(Z17=Dienste!$A$4,Dienste!$C$4,IF(Z17=Dienste!$A$5,Dienste!$C$5,IF(Z17=Dienste!$A$6,Dienste!$C$6,IF(Z17=Dienste!$A$7,Dienste!$C$7,IF(Z17=Dienste!$A$8,Dienste!$C$8,IF(Z17=Dienste!$A$9,Dienste!$C$9,IF(Z17=Dienste!$A$10,Dienste!$C$10,IF(Z17=Dienste!$A$11,Dienste!$C$11,IF(Z17=Dienste!$A$12,Dienste!$C$12,IF(Z17=Dienste!$A$13,Dienste!$C$13,IF(Z17=Dienste!$A$14,Dienste!$C$14,IF(Z17=Dienste!$A$15,Dienste!$C$15,IF(Z17=Dienste!$A$16,Dienste!$C$16,IF(Z17=Dienste!$A$17,Dienste!$C$17,IF(Z17=Dienste!$A$18,Dienste!$C$18,IF(Z17=Dienste!$A$19,Dienste!$C$19,IF(Z17=Dienste!$A$20,Dienste!$C$20,IF(Z17=Dienste!$A$21,Dienste!$C$21,IF(Z17=Dienste!$A$22,Dienste!$C$22,IF(Z17=Dienste!$A$23,Dienste!$C$23,IF(Z17=Dienste!$A$24,Dienste!$C$24,IF(Z17=Dienste!$A$25,Dienste!$C$25,IF(Z17=Dienste!$A$26,Dienste!$C$26,IF(Z17=Dienste!$A$27,Dienste!$C$27,IF(Z17=Dienste!$A$28,Dienste!$C$28,IF(Z17=Dienste!#REF!,Dienste!#REF!,IF(Z17=Dienste!#REF!,Dienste!#REF!,IF(Z17=Dienste!#REF!,Dienste!#REF!,IF(Z17=Dienste!#REF!,Dienste!#REF!,IF(Z17=Dienste!$A$33,Dienste!$C$33,IF(Z17=Dienste!$A$34,Dienste!$C$34,IF(Z17=Dienste!$A$35,Dienste!$C$35,IF(Z17=Dienste!$A$36,Dienste!$C$36,)))))))))))))))))))))))))))))))))))</f>
        <v>0</v>
      </c>
      <c r="BU17" s="27">
        <f>IF(AA17=Dienste!$A$2,Dienste!$C$2,IF(AA17=Dienste!$A$3,Dienste!$C$3,IF(AA17=Dienste!$A$4,Dienste!$C$4,IF(AA17=Dienste!$A$5,Dienste!$C$5,IF(AA17=Dienste!$A$6,Dienste!$C$6,IF(AA17=Dienste!$A$7,Dienste!$C$7,IF(AA17=Dienste!$A$8,Dienste!$C$8,IF(AA17=Dienste!$A$9,Dienste!$C$9,IF(AA17=Dienste!$A$10,Dienste!$C$10,IF(AA17=Dienste!$A$11,Dienste!$C$11,IF(AA17=Dienste!$A$12,Dienste!$C$12,IF(AA17=Dienste!$A$13,Dienste!$C$13,IF(AA17=Dienste!$A$14,Dienste!$C$14,IF(AA17=Dienste!$A$15,Dienste!$C$15,IF(AA17=Dienste!$A$16,Dienste!$C$16,IF(AA17=Dienste!$A$17,Dienste!$C$17,IF(AA17=Dienste!$A$18,Dienste!$C$18,IF(AA17=Dienste!$A$19,Dienste!$C$19,IF(AA17=Dienste!$A$20,Dienste!$C$20,IF(AA17=Dienste!$A$21,Dienste!$C$21,IF(AA17=Dienste!$A$22,Dienste!$C$22,IF(AA17=Dienste!$A$23,Dienste!$C$23,IF(AA17=Dienste!$A$24,Dienste!$C$24,IF(AA17=Dienste!$A$25,Dienste!$C$25,IF(AA17=Dienste!$A$26,Dienste!$C$26,IF(AA17=Dienste!$A$27,Dienste!$C$27,IF(AA17=Dienste!$A$28,Dienste!$C$28,IF(AA17=Dienste!#REF!,Dienste!#REF!,IF(AA17=Dienste!#REF!,Dienste!#REF!,IF(AA17=Dienste!#REF!,Dienste!#REF!,IF(AA17=Dienste!#REF!,Dienste!#REF!,IF(AA17=Dienste!$A$33,Dienste!$C$33,IF(AA17=Dienste!$A$34,Dienste!$C$34,IF(AA17=Dienste!$A$35,Dienste!$C$35,IF(AA17=Dienste!$A$36,Dienste!$C$36,)))))))))))))))))))))))))))))))))))</f>
        <v>8</v>
      </c>
      <c r="BV17" s="27">
        <f>IF(AB17=Dienste!$A$2,Dienste!$C$2,IF(AB17=Dienste!$A$3,Dienste!$C$3,IF(AB17=Dienste!$A$4,Dienste!$C$4,IF(AB17=Dienste!$A$5,Dienste!$C$5,IF(AB17=Dienste!$A$6,Dienste!$C$6,IF(AB17=Dienste!$A$7,Dienste!$C$7,IF(AB17=Dienste!$A$8,Dienste!$C$8,IF(AB17=Dienste!$A$9,Dienste!$C$9,IF(AB17=Dienste!$A$10,Dienste!$C$10,IF(AB17=Dienste!$A$11,Dienste!$C$11,IF(AB17=Dienste!$A$12,Dienste!$C$12,IF(AB17=Dienste!$A$13,Dienste!$C$13,IF(AB17=Dienste!$A$14,Dienste!$C$14,IF(AB17=Dienste!$A$15,Dienste!$C$15,IF(AB17=Dienste!$A$16,Dienste!$C$16,IF(AB17=Dienste!$A$17,Dienste!$C$17,IF(AB17=Dienste!$A$18,Dienste!$C$18,IF(AB17=Dienste!$A$19,Dienste!$C$19,IF(AB17=Dienste!$A$20,Dienste!$C$20,IF(AB17=Dienste!$A$21,Dienste!$C$21,IF(AB17=Dienste!$A$22,Dienste!$C$22,IF(AB17=Dienste!$A$23,Dienste!$C$23,IF(AB17=Dienste!$A$24,Dienste!$C$24,IF(AB17=Dienste!$A$25,Dienste!$C$25,IF(AB17=Dienste!$A$26,Dienste!$C$26,IF(AB17=Dienste!$A$27,Dienste!$C$27,IF(AB17=Dienste!$A$28,Dienste!$C$28,IF(AB17=Dienste!#REF!,Dienste!#REF!,IF(AB17=Dienste!#REF!,Dienste!#REF!,IF(AB17=Dienste!#REF!,Dienste!#REF!,IF(AB17=Dienste!#REF!,Dienste!#REF!,IF(AB17=Dienste!$A$33,Dienste!$C$33,IF(AB17=Dienste!$A$34,Dienste!$C$34,IF(AB17=Dienste!$A$35,Dienste!$C$35,IF(AB17=Dienste!$A$36,Dienste!$C$36,)))))))))))))))))))))))))))))))))))</f>
        <v>8</v>
      </c>
      <c r="BW17" s="27">
        <f>IF(AC17=Dienste!$A$2,Dienste!$C$2,IF(AC17=Dienste!$A$3,Dienste!$C$3,IF(AC17=Dienste!$A$4,Dienste!$C$4,IF(AC17=Dienste!$A$5,Dienste!$C$5,IF(AC17=Dienste!$A$6,Dienste!$C$6,IF(AC17=Dienste!$A$7,Dienste!$C$7,IF(AC17=Dienste!$A$8,Dienste!$C$8,IF(AC17=Dienste!$A$9,Dienste!$C$9,IF(AC17=Dienste!$A$10,Dienste!$C$10,IF(AC17=Dienste!$A$11,Dienste!$C$11,IF(AC17=Dienste!$A$12,Dienste!$C$12,IF(AC17=Dienste!$A$13,Dienste!$C$13,IF(AC17=Dienste!$A$14,Dienste!$C$14,IF(AC17=Dienste!$A$15,Dienste!$C$15,IF(AC17=Dienste!$A$16,Dienste!$C$16,IF(AC17=Dienste!$A$17,Dienste!$C$17,IF(AC17=Dienste!$A$18,Dienste!$C$18,IF(AC17=Dienste!$A$19,Dienste!$C$19,IF(AC17=Dienste!$A$20,Dienste!$C$20,IF(AC17=Dienste!$A$21,Dienste!$C$21,IF(AC17=Dienste!$A$22,Dienste!$C$22,IF(AC17=Dienste!$A$23,Dienste!$C$23,IF(AC17=Dienste!$A$24,Dienste!$C$24,IF(AC17=Dienste!$A$25,Dienste!$C$25,IF(AC17=Dienste!$A$26,Dienste!$C$26,IF(AC17=Dienste!$A$27,Dienste!$C$27,IF(AC17=Dienste!$A$28,Dienste!$C$28,IF(AC17=Dienste!#REF!,Dienste!#REF!,IF(AC17=Dienste!#REF!,Dienste!#REF!,IF(AC17=Dienste!#REF!,Dienste!#REF!,IF(AC17=Dienste!#REF!,Dienste!#REF!,IF(AC17=Dienste!$A$33,Dienste!$C$33,IF(AC17=Dienste!$A$34,Dienste!$C$34,IF(AC17=Dienste!$A$35,Dienste!$C$35,IF(AC17=Dienste!$A$36,Dienste!$C$36,)))))))))))))))))))))))))))))))))))</f>
        <v>8</v>
      </c>
      <c r="BX17" s="27">
        <f>IF(AD17=Dienste!$A$2,Dienste!$C$2,IF(AD17=Dienste!$A$3,Dienste!$C$3,IF(AD17=Dienste!$A$4,Dienste!$C$4,IF(AD17=Dienste!$A$5,Dienste!$C$5,IF(AD17=Dienste!$A$6,Dienste!$C$6,IF(AD17=Dienste!$A$7,Dienste!$C$7,IF(AD17=Dienste!$A$8,Dienste!$C$8,IF(AD17=Dienste!$A$9,Dienste!$C$9,IF(AD17=Dienste!$A$10,Dienste!$C$10,IF(AD17=Dienste!$A$11,Dienste!$C$11,IF(AD17=Dienste!$A$12,Dienste!$C$12,IF(AD17=Dienste!$A$13,Dienste!$C$13,IF(AD17=Dienste!$A$14,Dienste!$C$14,IF(AD17=Dienste!$A$15,Dienste!$C$15,IF(AD17=Dienste!$A$16,Dienste!$C$16,IF(AD17=Dienste!$A$17,Dienste!$C$17,IF(AD17=Dienste!$A$18,Dienste!$C$18,IF(AD17=Dienste!$A$19,Dienste!$C$19,IF(AD17=Dienste!$A$20,Dienste!$C$20,IF(AD17=Dienste!$A$21,Dienste!$C$21,IF(AD17=Dienste!$A$22,Dienste!$C$22,IF(AD17=Dienste!$A$23,Dienste!$C$23,IF(AD17=Dienste!$A$24,Dienste!$C$24,IF(AD17=Dienste!$A$25,Dienste!$C$25,IF(AD17=Dienste!$A$26,Dienste!$C$26,IF(AD17=Dienste!$A$27,Dienste!$C$27,IF(AD17=Dienste!$A$28,Dienste!$C$28,IF(AD17=Dienste!#REF!,Dienste!#REF!,IF(AD17=Dienste!#REF!,Dienste!#REF!,IF(AD17=Dienste!#REF!,Dienste!#REF!,IF(AD17=Dienste!#REF!,Dienste!#REF!,IF(AD17=Dienste!$A$33,Dienste!$C$33,IF(AD17=Dienste!$A$34,Dienste!$C$34,IF(AD17=Dienste!$A$35,Dienste!$C$35,IF(AD17=Dienste!$A$36,Dienste!$C$36,)))))))))))))))))))))))))))))))))))</f>
        <v>0</v>
      </c>
      <c r="BY17" s="27">
        <f>IF(AE17=Dienste!$A$2,Dienste!$C$2,IF(AE17=Dienste!$A$3,Dienste!$C$3,IF(AE17=Dienste!$A$4,Dienste!$C$4,IF(AE17=Dienste!$A$5,Dienste!$C$5,IF(AE17=Dienste!$A$6,Dienste!$C$6,IF(AE17=Dienste!$A$7,Dienste!$C$7,IF(AE17=Dienste!$A$8,Dienste!$C$8,IF(AE17=Dienste!$A$9,Dienste!$C$9,IF(AE17=Dienste!$A$10,Dienste!$C$10,IF(AE17=Dienste!$A$11,Dienste!$C$11,IF(AE17=Dienste!$A$12,Dienste!$C$12,IF(AE17=Dienste!$A$13,Dienste!$C$13,IF(AE17=Dienste!$A$14,Dienste!$C$14,IF(AE17=Dienste!$A$15,Dienste!$C$15,IF(AE17=Dienste!$A$16,Dienste!$C$16,IF(AE17=Dienste!$A$17,Dienste!$C$17,IF(AE17=Dienste!$A$18,Dienste!$C$18,IF(AE17=Dienste!$A$19,Dienste!$C$19,IF(AE17=Dienste!$A$20,Dienste!$C$20,IF(AE17=Dienste!$A$21,Dienste!$C$21,IF(AE17=Dienste!$A$22,Dienste!$C$22,IF(AE17=Dienste!$A$23,Dienste!$C$23,IF(AE17=Dienste!$A$24,Dienste!$C$24,IF(AE17=Dienste!$A$25,Dienste!$C$25,IF(AE17=Dienste!$A$26,Dienste!$C$26,IF(AE17=Dienste!$A$27,Dienste!$C$27,IF(AE17=Dienste!$A$28,Dienste!$C$28,IF(AE17=Dienste!#REF!,Dienste!#REF!,IF(AE17=Dienste!#REF!,Dienste!#REF!,IF(AE17=Dienste!#REF!,Dienste!#REF!,IF(AE17=Dienste!#REF!,Dienste!#REF!,IF(AE17=Dienste!$A$33,Dienste!$C$33,IF(AE17=Dienste!$A$34,Dienste!$C$34,IF(AE17=Dienste!$A$35,Dienste!$C$35,IF(AE17=Dienste!$A$36,Dienste!$C$36,)))))))))))))))))))))))))))))))))))</f>
        <v>8</v>
      </c>
      <c r="BZ17" s="27">
        <f>IF(AF17=Dienste!$A$2,Dienste!$C$2,IF(AF17=Dienste!$A$3,Dienste!$C$3,IF(AF17=Dienste!$A$4,Dienste!$C$4,IF(AF17=Dienste!$A$5,Dienste!$C$5,IF(AF17=Dienste!$A$6,Dienste!$C$6,IF(AF17=Dienste!$A$7,Dienste!$C$7,IF(AF17=Dienste!$A$8,Dienste!$C$8,IF(AF17=Dienste!$A$9,Dienste!$C$9,IF(AF17=Dienste!$A$10,Dienste!$C$10,IF(AF17=Dienste!$A$11,Dienste!$C$11,IF(AF17=Dienste!$A$12,Dienste!$C$12,IF(AF17=Dienste!$A$13,Dienste!$C$13,IF(AF17=Dienste!$A$14,Dienste!$C$14,IF(AF17=Dienste!$A$15,Dienste!$C$15,IF(AF17=Dienste!$A$16,Dienste!$C$16,IF(AF17=Dienste!$A$17,Dienste!$C$17,IF(AF17=Dienste!$A$18,Dienste!$C$18,IF(AF17=Dienste!$A$19,Dienste!$C$19,IF(AF17=Dienste!$A$20,Dienste!$C$20,IF(AF17=Dienste!$A$21,Dienste!$C$21,IF(AF17=Dienste!$A$22,Dienste!$C$22,IF(AF17=Dienste!$A$23,Dienste!$C$23,IF(AF17=Dienste!$A$24,Dienste!$C$24,IF(AF17=Dienste!$A$25,Dienste!$C$25,IF(AF17=Dienste!$A$26,Dienste!$C$26,IF(AF17=Dienste!$A$27,Dienste!$C$27,IF(AF17=Dienste!$A$28,Dienste!$C$28,IF(AF17=Dienste!#REF!,Dienste!#REF!,IF(AF17=Dienste!#REF!,Dienste!#REF!,IF(AF17=Dienste!#REF!,Dienste!#REF!,IF(AF17=Dienste!#REF!,Dienste!#REF!,IF(AF17=Dienste!$A$33,Dienste!$C$33,IF(AF17=Dienste!$A$34,Dienste!$C$34,IF(AF17=Dienste!$A$35,Dienste!$C$35,IF(AF17=Dienste!$A$36,Dienste!$C$36,)))))))))))))))))))))))))))))))))))</f>
        <v>0</v>
      </c>
      <c r="CA17" s="27">
        <f>IF(AG17=Dienste!$A$2,Dienste!$C$2,IF(AG17=Dienste!$A$3,Dienste!$C$3,IF(AG17=Dienste!$A$4,Dienste!$C$4,IF(AG17=Dienste!$A$5,Dienste!$C$5,IF(AG17=Dienste!$A$6,Dienste!$C$6,IF(AG17=Dienste!$A$7,Dienste!$C$7,IF(AG17=Dienste!$A$8,Dienste!$C$8,IF(AG17=Dienste!$A$9,Dienste!$C$9,IF(AG17=Dienste!$A$10,Dienste!$C$10,IF(AG17=Dienste!$A$11,Dienste!$C$11,IF(AG17=Dienste!$A$12,Dienste!$C$12,IF(AG17=Dienste!$A$13,Dienste!$C$13,IF(AG17=Dienste!$A$14,Dienste!$C$14,IF(AG17=Dienste!$A$15,Dienste!$C$15,IF(AG17=Dienste!$A$16,Dienste!$C$16,IF(AG17=Dienste!$A$17,Dienste!$C$17,IF(AG17=Dienste!$A$18,Dienste!$C$18,IF(AG17=Dienste!$A$19,Dienste!$C$19,IF(AG17=Dienste!$A$20,Dienste!$C$20,IF(AG17=Dienste!$A$21,Dienste!$C$21,IF(AG17=Dienste!$A$22,Dienste!$C$22,IF(AG17=Dienste!$A$23,Dienste!$C$23,IF(AG17=Dienste!$A$24,Dienste!$C$24,IF(AG17=Dienste!$A$25,Dienste!$C$25,IF(AG17=Dienste!$A$26,Dienste!$C$26,IF(AG17=Dienste!$A$27,Dienste!$C$27,IF(AG17=Dienste!$A$28,Dienste!$C$28,IF(AG17=Dienste!#REF!,Dienste!#REF!,IF(AG17=Dienste!#REF!,Dienste!#REF!,IF(AG17=Dienste!#REF!,Dienste!#REF!,IF(AG17=Dienste!#REF!,Dienste!#REF!,IF(AG17=Dienste!$A$33,Dienste!$C$33,IF(AG17=Dienste!$A$34,Dienste!$C$34,IF(AG17=Dienste!$A$35,Dienste!$C$35,IF(AG17=Dienste!$A$36,Dienste!$C$36,)))))))))))))))))))))))))))))))))))</f>
        <v>0</v>
      </c>
      <c r="CB17" s="27">
        <f>IF(AH17=Dienste!$A$2,Dienste!$C$2,IF(AH17=Dienste!$A$3,Dienste!$C$3,IF(AH17=Dienste!$A$4,Dienste!$C$4,IF(AH17=Dienste!$A$5,Dienste!$C$5,IF(AH17=Dienste!$A$6,Dienste!$C$6,IF(AH17=Dienste!$A$7,Dienste!$C$7,IF(AH17=Dienste!$A$8,Dienste!$C$8,IF(AH17=Dienste!$A$9,Dienste!$C$9,IF(AH17=Dienste!$A$10,Dienste!$C$10,IF(AH17=Dienste!$A$11,Dienste!$C$11,IF(AH17=Dienste!$A$12,Dienste!$C$12,IF(AH17=Dienste!$A$13,Dienste!$C$13,IF(AH17=Dienste!$A$14,Dienste!$C$14,IF(AH17=Dienste!$A$15,Dienste!$C$15,IF(AH17=Dienste!$A$16,Dienste!$C$16,IF(AH17=Dienste!$A$17,Dienste!$C$17,IF(AH17=Dienste!$A$18,Dienste!$C$18,IF(AH17=Dienste!$A$19,Dienste!$C$19,IF(AH17=Dienste!$A$20,Dienste!$C$20,IF(AH17=Dienste!$A$21,Dienste!$C$21,IF(AH17=Dienste!$A$22,Dienste!$C$22,IF(AH17=Dienste!$A$23,Dienste!$C$23,IF(AH17=Dienste!$A$24,Dienste!$C$24,IF(AH17=Dienste!$A$25,Dienste!$C$25,IF(AH17=Dienste!$A$26,Dienste!$C$26,IF(AH17=Dienste!$A$27,Dienste!$C$27,IF(AH17=Dienste!$A$28,Dienste!$C$28,IF(AH17=Dienste!#REF!,Dienste!#REF!,IF(AH17=Dienste!#REF!,Dienste!#REF!,IF(AH17=Dienste!#REF!,Dienste!#REF!,IF(AH17=Dienste!#REF!,Dienste!#REF!,IF(AH17=Dienste!$A$33,Dienste!$C$33,IF(AH17=Dienste!$A$34,Dienste!$C$34,IF(AH17=Dienste!$A$35,Dienste!$C$35,IF(AH17=Dienste!$A$36,Dienste!$C$36,)))))))))))))))))))))))))))))))))))</f>
        <v>8</v>
      </c>
      <c r="CC17" s="27" t="e">
        <f>IF(AI17=Dienste!$A$2,Dienste!$C$2,IF(AI17=Dienste!$A$3,Dienste!$C$3,IF(AI17=Dienste!$A$4,Dienste!$C$4,IF(AI17=Dienste!$A$5,Dienste!$C$5,IF(AI17=Dienste!$A$6,Dienste!$C$6,IF(AI17=Dienste!$A$7,Dienste!$C$7,IF(AI17=Dienste!$A$8,Dienste!$C$8,IF(AI17=Dienste!$A$9,Dienste!$C$9,IF(AI17=Dienste!$A$10,Dienste!$C$10,IF(AI17=Dienste!$A$11,Dienste!$C$11,IF(AI17=Dienste!$A$12,Dienste!$C$12,IF(AI17=Dienste!$A$13,Dienste!$C$13,IF(AI17=Dienste!$A$14,Dienste!$C$14,IF(AI17=Dienste!$A$15,Dienste!$C$15,IF(AI17=Dienste!$A$16,Dienste!$C$16,IF(AI17=Dienste!$A$17,Dienste!$C$17,IF(AI17=Dienste!$A$18,Dienste!$C$18,IF(AI17=Dienste!$A$19,Dienste!$C$19,IF(AI17=Dienste!$A$20,Dienste!$C$20,IF(AI17=Dienste!$A$21,Dienste!$C$21,IF(AI17=Dienste!$A$22,Dienste!$C$22,IF(AI17=Dienste!$A$23,Dienste!$C$23,IF(AI17=Dienste!$A$24,Dienste!$C$24,IF(AI17=Dienste!$A$25,Dienste!$C$25,IF(AI17=Dienste!$A$26,Dienste!$C$26,IF(AI17=Dienste!$A$27,Dienste!$C$27,IF(AI17=Dienste!$A$28,Dienste!$C$28,IF(AI17=Dienste!#REF!,Dienste!#REF!,IF(AI17=Dienste!#REF!,Dienste!#REF!,IF(AI17=Dienste!#REF!,Dienste!#REF!,IF(AI17=Dienste!#REF!,Dienste!#REF!,IF(AI17=Dienste!$A$33,Dienste!$C$33,IF(AI17=Dienste!$A$34,Dienste!$C$34,IF(AI17=Dienste!$A$35,Dienste!$C$35,IF(AI17=Dienste!$A$36,Dienste!$C$36,)))))))))))))))))))))))))))))))))))</f>
        <v>#REF!</v>
      </c>
    </row>
    <row r="18" spans="1:81" x14ac:dyDescent="0.25">
      <c r="A18" s="109" t="s">
        <v>135</v>
      </c>
      <c r="B18" s="15" t="s">
        <v>231</v>
      </c>
      <c r="C18" s="15">
        <v>40</v>
      </c>
      <c r="D18" s="98">
        <v>0</v>
      </c>
      <c r="E18" s="104" t="s">
        <v>83</v>
      </c>
      <c r="F18" s="9" t="s">
        <v>31</v>
      </c>
      <c r="G18" s="9" t="s">
        <v>31</v>
      </c>
      <c r="H18" s="9" t="s">
        <v>53</v>
      </c>
      <c r="I18" s="9" t="s">
        <v>65</v>
      </c>
      <c r="J18" s="9" t="s">
        <v>32</v>
      </c>
      <c r="K18" s="9" t="s">
        <v>83</v>
      </c>
      <c r="L18" s="9" t="s">
        <v>53</v>
      </c>
      <c r="M18" s="9" t="s">
        <v>65</v>
      </c>
      <c r="N18" s="9" t="s">
        <v>83</v>
      </c>
      <c r="O18" s="9" t="s">
        <v>31</v>
      </c>
      <c r="P18" s="9" t="s">
        <v>53</v>
      </c>
      <c r="Q18" s="9" t="s">
        <v>65</v>
      </c>
      <c r="R18" s="9" t="s">
        <v>83</v>
      </c>
      <c r="S18" s="9" t="s">
        <v>83</v>
      </c>
      <c r="T18" s="9" t="s">
        <v>53</v>
      </c>
      <c r="U18" s="9" t="s">
        <v>65</v>
      </c>
      <c r="V18" s="9" t="s">
        <v>31</v>
      </c>
      <c r="W18" s="9" t="s">
        <v>31</v>
      </c>
      <c r="X18" s="9" t="s">
        <v>31</v>
      </c>
      <c r="Y18" s="9" t="s">
        <v>83</v>
      </c>
      <c r="Z18" s="9" t="s">
        <v>53</v>
      </c>
      <c r="AA18" s="9" t="s">
        <v>65</v>
      </c>
      <c r="AB18" s="9" t="s">
        <v>83</v>
      </c>
      <c r="AC18" s="9" t="s">
        <v>31</v>
      </c>
      <c r="AD18" s="9" t="s">
        <v>43</v>
      </c>
      <c r="AE18" s="9" t="s">
        <v>31</v>
      </c>
      <c r="AF18" s="9" t="s">
        <v>83</v>
      </c>
      <c r="AG18" s="9" t="s">
        <v>83</v>
      </c>
      <c r="AH18" s="9" t="s">
        <v>31</v>
      </c>
      <c r="AI18" s="15"/>
      <c r="AJ18" s="109">
        <v>17.45</v>
      </c>
      <c r="AK18" s="15">
        <v>168</v>
      </c>
      <c r="AL18" s="109">
        <v>173</v>
      </c>
      <c r="AM18" s="15">
        <v>22.45</v>
      </c>
      <c r="AN18" s="170">
        <v>5</v>
      </c>
      <c r="AO18" s="109">
        <v>4</v>
      </c>
      <c r="AP18" s="15">
        <v>5</v>
      </c>
      <c r="AQ18" s="98">
        <v>3</v>
      </c>
      <c r="AR18" s="109">
        <v>48</v>
      </c>
      <c r="AS18" s="15">
        <v>41.96153846153846</v>
      </c>
      <c r="AT18" s="98">
        <v>26</v>
      </c>
      <c r="AU18" s="96" t="e">
        <f t="shared" si="2"/>
        <v>#REF!</v>
      </c>
      <c r="AV18" s="27" t="e">
        <f t="shared" si="0"/>
        <v>#REF!</v>
      </c>
      <c r="AW18" s="58" t="e">
        <f t="shared" si="1"/>
        <v>#REF!</v>
      </c>
      <c r="AY18" s="27">
        <f>IF(E18=Dienste!$A$2,Dienste!$C$2,IF(E18=Dienste!$A$3,Dienste!$C$3,IF(E18=Dienste!$A$4,Dienste!$C$4,IF(E18=Dienste!$A$5,Dienste!$C$5,IF(E18=Dienste!$A$6,Dienste!$C$6,IF(E18=Dienste!$A$7,Dienste!$C$7,IF(E18=Dienste!$A$8,Dienste!$C$8,IF(E18=Dienste!$A$9,Dienste!$C$9,IF(E18=Dienste!$A$10,Dienste!$C$10,IF(E18=Dienste!$A$11,Dienste!$C$11,IF(E18=Dienste!$A$12,Dienste!$C$12,IF(E18=Dienste!$A$13,Dienste!$C$13,IF(E18=Dienste!$A$14,Dienste!$C$14,IF(E18=Dienste!$A$15,Dienste!$C$15,IF(E18=Dienste!$A$16,Dienste!$C$16,IF(E18=Dienste!$A$17,Dienste!$C$17,IF(E18=Dienste!$A$18,Dienste!$C$18,IF(E18=Dienste!$A$19,Dienste!$C$19,IF(E18=Dienste!$A$20,Dienste!$C$20,IF(E18=Dienste!$A$21,Dienste!$C$21,IF(E18=Dienste!$A$22,Dienste!$C$22,IF(E18=Dienste!$A$23,Dienste!$C$23,IF(E18=Dienste!$A$24,Dienste!$C$24,IF(E18=Dienste!$A$25,Dienste!$C$25,IF(E18=Dienste!$A$26,Dienste!$C$26,IF(E18=Dienste!$A$27,Dienste!$C$27,IF(E18=Dienste!$A$28,Dienste!$C$28,IF(E18=Dienste!#REF!,Dienste!#REF!,IF(E18=Dienste!#REF!,Dienste!#REF!,IF(E18=Dienste!#REF!,Dienste!#REF!,IF(E18=Dienste!#REF!,Dienste!#REF!,IF(E18=Dienste!$A$33,Dienste!$C$33,IF(E18=Dienste!$A$34,Dienste!$C$34,IF(E18=Dienste!$A$35,Dienste!$C$35,IF(E18=Dienste!$A$36,Dienste!$C$36,)))))))))))))))))))))))))))))))))))</f>
        <v>0</v>
      </c>
      <c r="AZ18" s="27">
        <f>IF(F18=Dienste!$A$2,Dienste!$C$2,IF(F18=Dienste!$A$3,Dienste!$C$3,IF(F18=Dienste!$A$4,Dienste!$C$4,IF(F18=Dienste!$A$5,Dienste!$C$5,IF(F18=Dienste!$A$6,Dienste!$C$6,IF(F18=Dienste!$A$7,Dienste!$C$7,IF(F18=Dienste!$A$8,Dienste!$C$8,IF(F18=Dienste!$A$9,Dienste!$C$9,IF(F18=Dienste!$A$10,Dienste!$C$10,IF(F18=Dienste!$A$11,Dienste!$C$11,IF(F18=Dienste!$A$12,Dienste!$C$12,IF(F18=Dienste!$A$13,Dienste!$C$13,IF(F18=Dienste!$A$14,Dienste!$C$14,IF(F18=Dienste!$A$15,Dienste!$C$15,IF(F18=Dienste!$A$16,Dienste!$C$16,IF(F18=Dienste!$A$17,Dienste!$C$17,IF(F18=Dienste!$A$18,Dienste!$C$18,IF(F18=Dienste!$A$19,Dienste!$C$19,IF(F18=Dienste!$A$20,Dienste!$C$20,IF(F18=Dienste!$A$21,Dienste!$C$21,IF(F18=Dienste!$A$22,Dienste!$C$22,IF(F18=Dienste!$A$23,Dienste!$C$23,IF(F18=Dienste!$A$24,Dienste!$C$24,IF(F18=Dienste!$A$25,Dienste!$C$25,IF(F18=Dienste!$A$26,Dienste!$C$26,IF(F18=Dienste!$A$27,Dienste!$C$27,IF(F18=Dienste!$A$28,Dienste!$C$28,IF(F18=Dienste!#REF!,Dienste!#REF!,IF(F18=Dienste!#REF!,Dienste!#REF!,IF(F18=Dienste!#REF!,Dienste!#REF!,IF(F18=Dienste!#REF!,Dienste!#REF!,IF(F18=Dienste!$A$33,Dienste!$C$33,IF(F18=Dienste!$A$34,Dienste!$C$34,IF(F18=Dienste!$A$35,Dienste!$C$35,IF(F18=Dienste!$A$36,Dienste!$C$36,)))))))))))))))))))))))))))))))))))</f>
        <v>8</v>
      </c>
      <c r="BA18" s="27">
        <f>IF(G18=Dienste!$A$2,Dienste!$C$2,IF(G18=Dienste!$A$3,Dienste!$C$3,IF(G18=Dienste!$A$4,Dienste!$C$4,IF(G18=Dienste!$A$5,Dienste!$C$5,IF(G18=Dienste!$A$6,Dienste!$C$6,IF(G18=Dienste!$A$7,Dienste!$C$7,IF(G18=Dienste!$A$8,Dienste!$C$8,IF(G18=Dienste!$A$9,Dienste!$C$9,IF(G18=Dienste!$A$10,Dienste!$C$10,IF(G18=Dienste!$A$11,Dienste!$C$11,IF(G18=Dienste!$A$12,Dienste!$C$12,IF(G18=Dienste!$A$13,Dienste!$C$13,IF(G18=Dienste!$A$14,Dienste!$C$14,IF(G18=Dienste!$A$15,Dienste!$C$15,IF(G18=Dienste!$A$16,Dienste!$C$16,IF(G18=Dienste!$A$17,Dienste!$C$17,IF(G18=Dienste!$A$18,Dienste!$C$18,IF(G18=Dienste!$A$19,Dienste!$C$19,IF(G18=Dienste!$A$20,Dienste!$C$20,IF(G18=Dienste!$A$21,Dienste!$C$21,IF(G18=Dienste!$A$22,Dienste!$C$22,IF(G18=Dienste!$A$23,Dienste!$C$23,IF(G18=Dienste!$A$24,Dienste!$C$24,IF(G18=Dienste!$A$25,Dienste!$C$25,IF(G18=Dienste!$A$26,Dienste!$C$26,IF(G18=Dienste!$A$27,Dienste!$C$27,IF(G18=Dienste!$A$28,Dienste!$C$28,IF(G18=Dienste!#REF!,Dienste!#REF!,IF(G18=Dienste!#REF!,Dienste!#REF!,IF(G18=Dienste!#REF!,Dienste!#REF!,IF(G18=Dienste!#REF!,Dienste!#REF!,IF(G18=Dienste!$A$33,Dienste!$C$33,IF(G18=Dienste!$A$34,Dienste!$C$34,IF(G18=Dienste!$A$35,Dienste!$C$35,IF(G18=Dienste!$A$36,Dienste!$C$36,)))))))))))))))))))))))))))))))))))</f>
        <v>8</v>
      </c>
      <c r="BB18" s="27">
        <f>IF(H18=Dienste!$A$2,Dienste!$C$2,IF(H18=Dienste!$A$3,Dienste!$C$3,IF(H18=Dienste!$A$4,Dienste!$C$4,IF(H18=Dienste!$A$5,Dienste!$C$5,IF(H18=Dienste!$A$6,Dienste!$C$6,IF(H18=Dienste!$A$7,Dienste!$C$7,IF(H18=Dienste!$A$8,Dienste!$C$8,IF(H18=Dienste!$A$9,Dienste!$C$9,IF(H18=Dienste!$A$10,Dienste!$C$10,IF(H18=Dienste!$A$11,Dienste!$C$11,IF(H18=Dienste!$A$12,Dienste!$C$12,IF(H18=Dienste!$A$13,Dienste!$C$13,IF(H18=Dienste!$A$14,Dienste!$C$14,IF(H18=Dienste!$A$15,Dienste!$C$15,IF(H18=Dienste!$A$16,Dienste!$C$16,IF(H18=Dienste!$A$17,Dienste!$C$17,IF(H18=Dienste!$A$18,Dienste!$C$18,IF(H18=Dienste!$A$19,Dienste!$C$19,IF(H18=Dienste!$A$20,Dienste!$C$20,IF(H18=Dienste!$A$21,Dienste!$C$21,IF(H18=Dienste!$A$22,Dienste!$C$22,IF(H18=Dienste!$A$23,Dienste!$C$23,IF(H18=Dienste!$A$24,Dienste!$C$24,IF(H18=Dienste!$A$25,Dienste!$C$25,IF(H18=Dienste!$A$26,Dienste!$C$26,IF(H18=Dienste!$A$27,Dienste!$C$27,IF(H18=Dienste!$A$28,Dienste!$C$28,IF(H18=Dienste!#REF!,Dienste!#REF!,IF(H18=Dienste!#REF!,Dienste!#REF!,IF(H18=Dienste!#REF!,Dienste!#REF!,IF(H18=Dienste!#REF!,Dienste!#REF!,IF(H18=Dienste!$A$33,Dienste!$C$33,IF(H18=Dienste!$A$34,Dienste!$C$34,IF(H18=Dienste!$A$35,Dienste!$C$35,IF(H18=Dienste!$A$36,Dienste!$C$36,)))))))))))))))))))))))))))))))))))</f>
        <v>9</v>
      </c>
      <c r="BC18" s="27">
        <f>IF(I18=Dienste!$A$2,Dienste!$C$2,IF(I18=Dienste!$A$3,Dienste!$C$3,IF(I18=Dienste!$A$4,Dienste!$C$4,IF(I18=Dienste!$A$5,Dienste!$C$5,IF(I18=Dienste!$A$6,Dienste!$C$6,IF(I18=Dienste!$A$7,Dienste!$C$7,IF(I18=Dienste!$A$8,Dienste!$C$8,IF(I18=Dienste!$A$9,Dienste!$C$9,IF(I18=Dienste!$A$10,Dienste!$C$10,IF(I18=Dienste!$A$11,Dienste!$C$11,IF(I18=Dienste!$A$12,Dienste!$C$12,IF(I18=Dienste!$A$13,Dienste!$C$13,IF(I18=Dienste!$A$14,Dienste!$C$14,IF(I18=Dienste!$A$15,Dienste!$C$15,IF(I18=Dienste!$A$16,Dienste!$C$16,IF(I18=Dienste!$A$17,Dienste!$C$17,IF(I18=Dienste!$A$18,Dienste!$C$18,IF(I18=Dienste!$A$19,Dienste!$C$19,IF(I18=Dienste!$A$20,Dienste!$C$20,IF(I18=Dienste!$A$21,Dienste!$C$21,IF(I18=Dienste!$A$22,Dienste!$C$22,IF(I18=Dienste!$A$23,Dienste!$C$23,IF(I18=Dienste!$A$24,Dienste!$C$24,IF(I18=Dienste!$A$25,Dienste!$C$25,IF(I18=Dienste!$A$26,Dienste!$C$26,IF(I18=Dienste!$A$27,Dienste!$C$27,IF(I18=Dienste!$A$28,Dienste!$C$28,IF(I18=Dienste!#REF!,Dienste!#REF!,IF(I18=Dienste!#REF!,Dienste!#REF!,IF(I18=Dienste!#REF!,Dienste!#REF!,IF(I18=Dienste!#REF!,Dienste!#REF!,IF(I18=Dienste!$A$33,Dienste!$C$33,IF(I18=Dienste!$A$34,Dienste!$C$34,IF(I18=Dienste!$A$35,Dienste!$C$35,IF(I18=Dienste!$A$36,Dienste!$C$36,)))))))))))))))))))))))))))))))))))</f>
        <v>8</v>
      </c>
      <c r="BD18" s="27">
        <f>IF(J18=Dienste!$A$2,Dienste!$C$2,IF(J18=Dienste!$A$3,Dienste!$C$3,IF(J18=Dienste!$A$4,Dienste!$C$4,IF(J18=Dienste!$A$5,Dienste!$C$5,IF(J18=Dienste!$A$6,Dienste!$C$6,IF(J18=Dienste!$A$7,Dienste!$C$7,IF(J18=Dienste!$A$8,Dienste!$C$8,IF(J18=Dienste!$A$9,Dienste!$C$9,IF(J18=Dienste!$A$10,Dienste!$C$10,IF(J18=Dienste!$A$11,Dienste!$C$11,IF(J18=Dienste!$A$12,Dienste!$C$12,IF(J18=Dienste!$A$13,Dienste!$C$13,IF(J18=Dienste!$A$14,Dienste!$C$14,IF(J18=Dienste!$A$15,Dienste!$C$15,IF(J18=Dienste!$A$16,Dienste!$C$16,IF(J18=Dienste!$A$17,Dienste!$C$17,IF(J18=Dienste!$A$18,Dienste!$C$18,IF(J18=Dienste!$A$19,Dienste!$C$19,IF(J18=Dienste!$A$20,Dienste!$C$20,IF(J18=Dienste!$A$21,Dienste!$C$21,IF(J18=Dienste!$A$22,Dienste!$C$22,IF(J18=Dienste!$A$23,Dienste!$C$23,IF(J18=Dienste!$A$24,Dienste!$C$24,IF(J18=Dienste!$A$25,Dienste!$C$25,IF(J18=Dienste!$A$26,Dienste!$C$26,IF(J18=Dienste!$A$27,Dienste!$C$27,IF(J18=Dienste!$A$28,Dienste!$C$28,IF(J18=Dienste!#REF!,Dienste!#REF!,IF(J18=Dienste!#REF!,Dienste!#REF!,IF(J18=Dienste!#REF!,Dienste!#REF!,IF(J18=Dienste!#REF!,Dienste!#REF!,IF(J18=Dienste!$A$33,Dienste!$C$33,IF(J18=Dienste!$A$34,Dienste!$C$34,IF(J18=Dienste!$A$35,Dienste!$C$35,IF(J18=Dienste!$A$36,Dienste!$C$36,)))))))))))))))))))))))))))))))))))</f>
        <v>8</v>
      </c>
      <c r="BE18" s="27">
        <f>IF(K18=Dienste!$A$2,Dienste!$C$2,IF(K18=Dienste!$A$3,Dienste!$C$3,IF(K18=Dienste!$A$4,Dienste!$C$4,IF(K18=Dienste!$A$5,Dienste!$C$5,IF(K18=Dienste!$A$6,Dienste!$C$6,IF(K18=Dienste!$A$7,Dienste!$C$7,IF(K18=Dienste!$A$8,Dienste!$C$8,IF(K18=Dienste!$A$9,Dienste!$C$9,IF(K18=Dienste!$A$10,Dienste!$C$10,IF(K18=Dienste!$A$11,Dienste!$C$11,IF(K18=Dienste!$A$12,Dienste!$C$12,IF(K18=Dienste!$A$13,Dienste!$C$13,IF(K18=Dienste!$A$14,Dienste!$C$14,IF(K18=Dienste!$A$15,Dienste!$C$15,IF(K18=Dienste!$A$16,Dienste!$C$16,IF(K18=Dienste!$A$17,Dienste!$C$17,IF(K18=Dienste!$A$18,Dienste!$C$18,IF(K18=Dienste!$A$19,Dienste!$C$19,IF(K18=Dienste!$A$20,Dienste!$C$20,IF(K18=Dienste!$A$21,Dienste!$C$21,IF(K18=Dienste!$A$22,Dienste!$C$22,IF(K18=Dienste!$A$23,Dienste!$C$23,IF(K18=Dienste!$A$24,Dienste!$C$24,IF(K18=Dienste!$A$25,Dienste!$C$25,IF(K18=Dienste!$A$26,Dienste!$C$26,IF(K18=Dienste!$A$27,Dienste!$C$27,IF(K18=Dienste!$A$28,Dienste!$C$28,IF(K18=Dienste!#REF!,Dienste!#REF!,IF(K18=Dienste!#REF!,Dienste!#REF!,IF(K18=Dienste!#REF!,Dienste!#REF!,IF(K18=Dienste!#REF!,Dienste!#REF!,IF(K18=Dienste!$A$33,Dienste!$C$33,IF(K18=Dienste!$A$34,Dienste!$C$34,IF(K18=Dienste!$A$35,Dienste!$C$35,IF(K18=Dienste!$A$36,Dienste!$C$36,)))))))))))))))))))))))))))))))))))</f>
        <v>0</v>
      </c>
      <c r="BF18" s="27">
        <f>IF(L18=Dienste!$A$2,Dienste!$C$2,IF(L18=Dienste!$A$3,Dienste!$C$3,IF(L18=Dienste!$A$4,Dienste!$C$4,IF(L18=Dienste!$A$5,Dienste!$C$5,IF(L18=Dienste!$A$6,Dienste!$C$6,IF(L18=Dienste!$A$7,Dienste!$C$7,IF(L18=Dienste!$A$8,Dienste!$C$8,IF(L18=Dienste!$A$9,Dienste!$C$9,IF(L18=Dienste!$A$10,Dienste!$C$10,IF(L18=Dienste!$A$11,Dienste!$C$11,IF(L18=Dienste!$A$12,Dienste!$C$12,IF(L18=Dienste!$A$13,Dienste!$C$13,IF(L18=Dienste!$A$14,Dienste!$C$14,IF(L18=Dienste!$A$15,Dienste!$C$15,IF(L18=Dienste!$A$16,Dienste!$C$16,IF(L18=Dienste!$A$17,Dienste!$C$17,IF(L18=Dienste!$A$18,Dienste!$C$18,IF(L18=Dienste!$A$19,Dienste!$C$19,IF(L18=Dienste!$A$20,Dienste!$C$20,IF(L18=Dienste!$A$21,Dienste!$C$21,IF(L18=Dienste!$A$22,Dienste!$C$22,IF(L18=Dienste!$A$23,Dienste!$C$23,IF(L18=Dienste!$A$24,Dienste!$C$24,IF(L18=Dienste!$A$25,Dienste!$C$25,IF(L18=Dienste!$A$26,Dienste!$C$26,IF(L18=Dienste!$A$27,Dienste!$C$27,IF(L18=Dienste!$A$28,Dienste!$C$28,IF(L18=Dienste!#REF!,Dienste!#REF!,IF(L18=Dienste!#REF!,Dienste!#REF!,IF(L18=Dienste!#REF!,Dienste!#REF!,IF(L18=Dienste!#REF!,Dienste!#REF!,IF(L18=Dienste!$A$33,Dienste!$C$33,IF(L18=Dienste!$A$34,Dienste!$C$34,IF(L18=Dienste!$A$35,Dienste!$C$35,IF(L18=Dienste!$A$36,Dienste!$C$36,)))))))))))))))))))))))))))))))))))</f>
        <v>9</v>
      </c>
      <c r="BG18" s="27">
        <f>IF(M18=Dienste!$A$2,Dienste!$C$2,IF(M18=Dienste!$A$3,Dienste!$C$3,IF(M18=Dienste!$A$4,Dienste!$C$4,IF(M18=Dienste!$A$5,Dienste!$C$5,IF(M18=Dienste!$A$6,Dienste!$C$6,IF(M18=Dienste!$A$7,Dienste!$C$7,IF(M18=Dienste!$A$8,Dienste!$C$8,IF(M18=Dienste!$A$9,Dienste!$C$9,IF(M18=Dienste!$A$10,Dienste!$C$10,IF(M18=Dienste!$A$11,Dienste!$C$11,IF(M18=Dienste!$A$12,Dienste!$C$12,IF(M18=Dienste!$A$13,Dienste!$C$13,IF(M18=Dienste!$A$14,Dienste!$C$14,IF(M18=Dienste!$A$15,Dienste!$C$15,IF(M18=Dienste!$A$16,Dienste!$C$16,IF(M18=Dienste!$A$17,Dienste!$C$17,IF(M18=Dienste!$A$18,Dienste!$C$18,IF(M18=Dienste!$A$19,Dienste!$C$19,IF(M18=Dienste!$A$20,Dienste!$C$20,IF(M18=Dienste!$A$21,Dienste!$C$21,IF(M18=Dienste!$A$22,Dienste!$C$22,IF(M18=Dienste!$A$23,Dienste!$C$23,IF(M18=Dienste!$A$24,Dienste!$C$24,IF(M18=Dienste!$A$25,Dienste!$C$25,IF(M18=Dienste!$A$26,Dienste!$C$26,IF(M18=Dienste!$A$27,Dienste!$C$27,IF(M18=Dienste!$A$28,Dienste!$C$28,IF(M18=Dienste!#REF!,Dienste!#REF!,IF(M18=Dienste!#REF!,Dienste!#REF!,IF(M18=Dienste!#REF!,Dienste!#REF!,IF(M18=Dienste!#REF!,Dienste!#REF!,IF(M18=Dienste!$A$33,Dienste!$C$33,IF(M18=Dienste!$A$34,Dienste!$C$34,IF(M18=Dienste!$A$35,Dienste!$C$35,IF(M18=Dienste!$A$36,Dienste!$C$36,)))))))))))))))))))))))))))))))))))</f>
        <v>8</v>
      </c>
      <c r="BH18" s="27">
        <f>IF(N18=Dienste!$A$2,Dienste!$C$2,IF(N18=Dienste!$A$3,Dienste!$C$3,IF(N18=Dienste!$A$4,Dienste!$C$4,IF(N18=Dienste!$A$5,Dienste!$C$5,IF(N18=Dienste!$A$6,Dienste!$C$6,IF(N18=Dienste!$A$7,Dienste!$C$7,IF(N18=Dienste!$A$8,Dienste!$C$8,IF(N18=Dienste!$A$9,Dienste!$C$9,IF(N18=Dienste!$A$10,Dienste!$C$10,IF(N18=Dienste!$A$11,Dienste!$C$11,IF(N18=Dienste!$A$12,Dienste!$C$12,IF(N18=Dienste!$A$13,Dienste!$C$13,IF(N18=Dienste!$A$14,Dienste!$C$14,IF(N18=Dienste!$A$15,Dienste!$C$15,IF(N18=Dienste!$A$16,Dienste!$C$16,IF(N18=Dienste!$A$17,Dienste!$C$17,IF(N18=Dienste!$A$18,Dienste!$C$18,IF(N18=Dienste!$A$19,Dienste!$C$19,IF(N18=Dienste!$A$20,Dienste!$C$20,IF(N18=Dienste!$A$21,Dienste!$C$21,IF(N18=Dienste!$A$22,Dienste!$C$22,IF(N18=Dienste!$A$23,Dienste!$C$23,IF(N18=Dienste!$A$24,Dienste!$C$24,IF(N18=Dienste!$A$25,Dienste!$C$25,IF(N18=Dienste!$A$26,Dienste!$C$26,IF(N18=Dienste!$A$27,Dienste!$C$27,IF(N18=Dienste!$A$28,Dienste!$C$28,IF(N18=Dienste!#REF!,Dienste!#REF!,IF(N18=Dienste!#REF!,Dienste!#REF!,IF(N18=Dienste!#REF!,Dienste!#REF!,IF(N18=Dienste!#REF!,Dienste!#REF!,IF(N18=Dienste!$A$33,Dienste!$C$33,IF(N18=Dienste!$A$34,Dienste!$C$34,IF(N18=Dienste!$A$35,Dienste!$C$35,IF(N18=Dienste!$A$36,Dienste!$C$36,)))))))))))))))))))))))))))))))))))</f>
        <v>0</v>
      </c>
      <c r="BI18" s="27">
        <f>IF(O18=Dienste!$A$2,Dienste!$C$2,IF(O18=Dienste!$A$3,Dienste!$C$3,IF(O18=Dienste!$A$4,Dienste!$C$4,IF(O18=Dienste!$A$5,Dienste!$C$5,IF(O18=Dienste!$A$6,Dienste!$C$6,IF(O18=Dienste!$A$7,Dienste!$C$7,IF(O18=Dienste!$A$8,Dienste!$C$8,IF(O18=Dienste!$A$9,Dienste!$C$9,IF(O18=Dienste!$A$10,Dienste!$C$10,IF(O18=Dienste!$A$11,Dienste!$C$11,IF(O18=Dienste!$A$12,Dienste!$C$12,IF(O18=Dienste!$A$13,Dienste!$C$13,IF(O18=Dienste!$A$14,Dienste!$C$14,IF(O18=Dienste!$A$15,Dienste!$C$15,IF(O18=Dienste!$A$16,Dienste!$C$16,IF(O18=Dienste!$A$17,Dienste!$C$17,IF(O18=Dienste!$A$18,Dienste!$C$18,IF(O18=Dienste!$A$19,Dienste!$C$19,IF(O18=Dienste!$A$20,Dienste!$C$20,IF(O18=Dienste!$A$21,Dienste!$C$21,IF(O18=Dienste!$A$22,Dienste!$C$22,IF(O18=Dienste!$A$23,Dienste!$C$23,IF(O18=Dienste!$A$24,Dienste!$C$24,IF(O18=Dienste!$A$25,Dienste!$C$25,IF(O18=Dienste!$A$26,Dienste!$C$26,IF(O18=Dienste!$A$27,Dienste!$C$27,IF(O18=Dienste!$A$28,Dienste!$C$28,IF(O18=Dienste!#REF!,Dienste!#REF!,IF(O18=Dienste!#REF!,Dienste!#REF!,IF(O18=Dienste!#REF!,Dienste!#REF!,IF(O18=Dienste!#REF!,Dienste!#REF!,IF(O18=Dienste!$A$33,Dienste!$C$33,IF(O18=Dienste!$A$34,Dienste!$C$34,IF(O18=Dienste!$A$35,Dienste!$C$35,IF(O18=Dienste!$A$36,Dienste!$C$36,)))))))))))))))))))))))))))))))))))</f>
        <v>8</v>
      </c>
      <c r="BJ18" s="27">
        <f>IF(P18=Dienste!$A$2,Dienste!$C$2,IF(P18=Dienste!$A$3,Dienste!$C$3,IF(P18=Dienste!$A$4,Dienste!$C$4,IF(P18=Dienste!$A$5,Dienste!$C$5,IF(P18=Dienste!$A$6,Dienste!$C$6,IF(P18=Dienste!$A$7,Dienste!$C$7,IF(P18=Dienste!$A$8,Dienste!$C$8,IF(P18=Dienste!$A$9,Dienste!$C$9,IF(P18=Dienste!$A$10,Dienste!$C$10,IF(P18=Dienste!$A$11,Dienste!$C$11,IF(P18=Dienste!$A$12,Dienste!$C$12,IF(P18=Dienste!$A$13,Dienste!$C$13,IF(P18=Dienste!$A$14,Dienste!$C$14,IF(P18=Dienste!$A$15,Dienste!$C$15,IF(P18=Dienste!$A$16,Dienste!$C$16,IF(P18=Dienste!$A$17,Dienste!$C$17,IF(P18=Dienste!$A$18,Dienste!$C$18,IF(P18=Dienste!$A$19,Dienste!$C$19,IF(P18=Dienste!$A$20,Dienste!$C$20,IF(P18=Dienste!$A$21,Dienste!$C$21,IF(P18=Dienste!$A$22,Dienste!$C$22,IF(P18=Dienste!$A$23,Dienste!$C$23,IF(P18=Dienste!$A$24,Dienste!$C$24,IF(P18=Dienste!$A$25,Dienste!$C$25,IF(P18=Dienste!$A$26,Dienste!$C$26,IF(P18=Dienste!$A$27,Dienste!$C$27,IF(P18=Dienste!$A$28,Dienste!$C$28,IF(P18=Dienste!#REF!,Dienste!#REF!,IF(P18=Dienste!#REF!,Dienste!#REF!,IF(P18=Dienste!#REF!,Dienste!#REF!,IF(P18=Dienste!#REF!,Dienste!#REF!,IF(P18=Dienste!$A$33,Dienste!$C$33,IF(P18=Dienste!$A$34,Dienste!$C$34,IF(P18=Dienste!$A$35,Dienste!$C$35,IF(P18=Dienste!$A$36,Dienste!$C$36,)))))))))))))))))))))))))))))))))))</f>
        <v>9</v>
      </c>
      <c r="BK18" s="27">
        <f>IF(Q18=Dienste!$A$2,Dienste!$C$2,IF(Q18=Dienste!$A$3,Dienste!$C$3,IF(Q18=Dienste!$A$4,Dienste!$C$4,IF(Q18=Dienste!$A$5,Dienste!$C$5,IF(Q18=Dienste!$A$6,Dienste!$C$6,IF(Q18=Dienste!$A$7,Dienste!$C$7,IF(Q18=Dienste!$A$8,Dienste!$C$8,IF(Q18=Dienste!$A$9,Dienste!$C$9,IF(Q18=Dienste!$A$10,Dienste!$C$10,IF(Q18=Dienste!$A$11,Dienste!$C$11,IF(Q18=Dienste!$A$12,Dienste!$C$12,IF(Q18=Dienste!$A$13,Dienste!$C$13,IF(Q18=Dienste!$A$14,Dienste!$C$14,IF(Q18=Dienste!$A$15,Dienste!$C$15,IF(Q18=Dienste!$A$16,Dienste!$C$16,IF(Q18=Dienste!$A$17,Dienste!$C$17,IF(Q18=Dienste!$A$18,Dienste!$C$18,IF(Q18=Dienste!$A$19,Dienste!$C$19,IF(Q18=Dienste!$A$20,Dienste!$C$20,IF(Q18=Dienste!$A$21,Dienste!$C$21,IF(Q18=Dienste!$A$22,Dienste!$C$22,IF(Q18=Dienste!$A$23,Dienste!$C$23,IF(Q18=Dienste!$A$24,Dienste!$C$24,IF(Q18=Dienste!$A$25,Dienste!$C$25,IF(Q18=Dienste!$A$26,Dienste!$C$26,IF(Q18=Dienste!$A$27,Dienste!$C$27,IF(Q18=Dienste!$A$28,Dienste!$C$28,IF(Q18=Dienste!#REF!,Dienste!#REF!,IF(Q18=Dienste!#REF!,Dienste!#REF!,IF(Q18=Dienste!#REF!,Dienste!#REF!,IF(Q18=Dienste!#REF!,Dienste!#REF!,IF(Q18=Dienste!$A$33,Dienste!$C$33,IF(Q18=Dienste!$A$34,Dienste!$C$34,IF(Q18=Dienste!$A$35,Dienste!$C$35,IF(Q18=Dienste!$A$36,Dienste!$C$36,)))))))))))))))))))))))))))))))))))</f>
        <v>8</v>
      </c>
      <c r="BL18" s="27">
        <f>IF(R18=Dienste!$A$2,Dienste!$C$2,IF(R18=Dienste!$A$3,Dienste!$C$3,IF(R18=Dienste!$A$4,Dienste!$C$4,IF(R18=Dienste!$A$5,Dienste!$C$5,IF(R18=Dienste!$A$6,Dienste!$C$6,IF(R18=Dienste!$A$7,Dienste!$C$7,IF(R18=Dienste!$A$8,Dienste!$C$8,IF(R18=Dienste!$A$9,Dienste!$C$9,IF(R18=Dienste!$A$10,Dienste!$C$10,IF(R18=Dienste!$A$11,Dienste!$C$11,IF(R18=Dienste!$A$12,Dienste!$C$12,IF(R18=Dienste!$A$13,Dienste!$C$13,IF(R18=Dienste!$A$14,Dienste!$C$14,IF(R18=Dienste!$A$15,Dienste!$C$15,IF(R18=Dienste!$A$16,Dienste!$C$16,IF(R18=Dienste!$A$17,Dienste!$C$17,IF(R18=Dienste!$A$18,Dienste!$C$18,IF(R18=Dienste!$A$19,Dienste!$C$19,IF(R18=Dienste!$A$20,Dienste!$C$20,IF(R18=Dienste!$A$21,Dienste!$C$21,IF(R18=Dienste!$A$22,Dienste!$C$22,IF(R18=Dienste!$A$23,Dienste!$C$23,IF(R18=Dienste!$A$24,Dienste!$C$24,IF(R18=Dienste!$A$25,Dienste!$C$25,IF(R18=Dienste!$A$26,Dienste!$C$26,IF(R18=Dienste!$A$27,Dienste!$C$27,IF(R18=Dienste!$A$28,Dienste!$C$28,IF(R18=Dienste!#REF!,Dienste!#REF!,IF(R18=Dienste!#REF!,Dienste!#REF!,IF(R18=Dienste!#REF!,Dienste!#REF!,IF(R18=Dienste!#REF!,Dienste!#REF!,IF(R18=Dienste!$A$33,Dienste!$C$33,IF(R18=Dienste!$A$34,Dienste!$C$34,IF(R18=Dienste!$A$35,Dienste!$C$35,IF(R18=Dienste!$A$36,Dienste!$C$36,)))))))))))))))))))))))))))))))))))</f>
        <v>0</v>
      </c>
      <c r="BM18" s="27">
        <f>IF(S18=Dienste!$A$2,Dienste!$C$2,IF(S18=Dienste!$A$3,Dienste!$C$3,IF(S18=Dienste!$A$4,Dienste!$C$4,IF(S18=Dienste!$A$5,Dienste!$C$5,IF(S18=Dienste!$A$6,Dienste!$C$6,IF(S18=Dienste!$A$7,Dienste!$C$7,IF(S18=Dienste!$A$8,Dienste!$C$8,IF(S18=Dienste!$A$9,Dienste!$C$9,IF(S18=Dienste!$A$10,Dienste!$C$10,IF(S18=Dienste!$A$11,Dienste!$C$11,IF(S18=Dienste!$A$12,Dienste!$C$12,IF(S18=Dienste!$A$13,Dienste!$C$13,IF(S18=Dienste!$A$14,Dienste!$C$14,IF(S18=Dienste!$A$15,Dienste!$C$15,IF(S18=Dienste!$A$16,Dienste!$C$16,IF(S18=Dienste!$A$17,Dienste!$C$17,IF(S18=Dienste!$A$18,Dienste!$C$18,IF(S18=Dienste!$A$19,Dienste!$C$19,IF(S18=Dienste!$A$20,Dienste!$C$20,IF(S18=Dienste!$A$21,Dienste!$C$21,IF(S18=Dienste!$A$22,Dienste!$C$22,IF(S18=Dienste!$A$23,Dienste!$C$23,IF(S18=Dienste!$A$24,Dienste!$C$24,IF(S18=Dienste!$A$25,Dienste!$C$25,IF(S18=Dienste!$A$26,Dienste!$C$26,IF(S18=Dienste!$A$27,Dienste!$C$27,IF(S18=Dienste!$A$28,Dienste!$C$28,IF(S18=Dienste!#REF!,Dienste!#REF!,IF(S18=Dienste!#REF!,Dienste!#REF!,IF(S18=Dienste!#REF!,Dienste!#REF!,IF(S18=Dienste!#REF!,Dienste!#REF!,IF(S18=Dienste!$A$33,Dienste!$C$33,IF(S18=Dienste!$A$34,Dienste!$C$34,IF(S18=Dienste!$A$35,Dienste!$C$35,IF(S18=Dienste!$A$36,Dienste!$C$36,)))))))))))))))))))))))))))))))))))</f>
        <v>0</v>
      </c>
      <c r="BN18" s="27">
        <f>IF(T18=Dienste!$A$2,Dienste!$C$2,IF(T18=Dienste!$A$3,Dienste!$C$3,IF(T18=Dienste!$A$4,Dienste!$C$4,IF(T18=Dienste!$A$5,Dienste!$C$5,IF(T18=Dienste!$A$6,Dienste!$C$6,IF(T18=Dienste!$A$7,Dienste!$C$7,IF(T18=Dienste!$A$8,Dienste!$C$8,IF(T18=Dienste!$A$9,Dienste!$C$9,IF(T18=Dienste!$A$10,Dienste!$C$10,IF(T18=Dienste!$A$11,Dienste!$C$11,IF(T18=Dienste!$A$12,Dienste!$C$12,IF(T18=Dienste!$A$13,Dienste!$C$13,IF(T18=Dienste!$A$14,Dienste!$C$14,IF(T18=Dienste!$A$15,Dienste!$C$15,IF(T18=Dienste!$A$16,Dienste!$C$16,IF(T18=Dienste!$A$17,Dienste!$C$17,IF(T18=Dienste!$A$18,Dienste!$C$18,IF(T18=Dienste!$A$19,Dienste!$C$19,IF(T18=Dienste!$A$20,Dienste!$C$20,IF(T18=Dienste!$A$21,Dienste!$C$21,IF(T18=Dienste!$A$22,Dienste!$C$22,IF(T18=Dienste!$A$23,Dienste!$C$23,IF(T18=Dienste!$A$24,Dienste!$C$24,IF(T18=Dienste!$A$25,Dienste!$C$25,IF(T18=Dienste!$A$26,Dienste!$C$26,IF(T18=Dienste!$A$27,Dienste!$C$27,IF(T18=Dienste!$A$28,Dienste!$C$28,IF(T18=Dienste!#REF!,Dienste!#REF!,IF(T18=Dienste!#REF!,Dienste!#REF!,IF(T18=Dienste!#REF!,Dienste!#REF!,IF(T18=Dienste!#REF!,Dienste!#REF!,IF(T18=Dienste!$A$33,Dienste!$C$33,IF(T18=Dienste!$A$34,Dienste!$C$34,IF(T18=Dienste!$A$35,Dienste!$C$35,IF(T18=Dienste!$A$36,Dienste!$C$36,)))))))))))))))))))))))))))))))))))</f>
        <v>9</v>
      </c>
      <c r="BO18" s="27">
        <f>IF(U18=Dienste!$A$2,Dienste!$C$2,IF(U18=Dienste!$A$3,Dienste!$C$3,IF(U18=Dienste!$A$4,Dienste!$C$4,IF(U18=Dienste!$A$5,Dienste!$C$5,IF(U18=Dienste!$A$6,Dienste!$C$6,IF(U18=Dienste!$A$7,Dienste!$C$7,IF(U18=Dienste!$A$8,Dienste!$C$8,IF(U18=Dienste!$A$9,Dienste!$C$9,IF(U18=Dienste!$A$10,Dienste!$C$10,IF(U18=Dienste!$A$11,Dienste!$C$11,IF(U18=Dienste!$A$12,Dienste!$C$12,IF(U18=Dienste!$A$13,Dienste!$C$13,IF(U18=Dienste!$A$14,Dienste!$C$14,IF(U18=Dienste!$A$15,Dienste!$C$15,IF(U18=Dienste!$A$16,Dienste!$C$16,IF(U18=Dienste!$A$17,Dienste!$C$17,IF(U18=Dienste!$A$18,Dienste!$C$18,IF(U18=Dienste!$A$19,Dienste!$C$19,IF(U18=Dienste!$A$20,Dienste!$C$20,IF(U18=Dienste!$A$21,Dienste!$C$21,IF(U18=Dienste!$A$22,Dienste!$C$22,IF(U18=Dienste!$A$23,Dienste!$C$23,IF(U18=Dienste!$A$24,Dienste!$C$24,IF(U18=Dienste!$A$25,Dienste!$C$25,IF(U18=Dienste!$A$26,Dienste!$C$26,IF(U18=Dienste!$A$27,Dienste!$C$27,IF(U18=Dienste!$A$28,Dienste!$C$28,IF(U18=Dienste!#REF!,Dienste!#REF!,IF(U18=Dienste!#REF!,Dienste!#REF!,IF(U18=Dienste!#REF!,Dienste!#REF!,IF(U18=Dienste!#REF!,Dienste!#REF!,IF(U18=Dienste!$A$33,Dienste!$C$33,IF(U18=Dienste!$A$34,Dienste!$C$34,IF(U18=Dienste!$A$35,Dienste!$C$35,IF(U18=Dienste!$A$36,Dienste!$C$36,)))))))))))))))))))))))))))))))))))</f>
        <v>8</v>
      </c>
      <c r="BP18" s="27">
        <f>IF(V18=Dienste!$A$2,Dienste!$C$2,IF(V18=Dienste!$A$3,Dienste!$C$3,IF(V18=Dienste!$A$4,Dienste!$C$4,IF(V18=Dienste!$A$5,Dienste!$C$5,IF(V18=Dienste!$A$6,Dienste!$C$6,IF(V18=Dienste!$A$7,Dienste!$C$7,IF(V18=Dienste!$A$8,Dienste!$C$8,IF(V18=Dienste!$A$9,Dienste!$C$9,IF(V18=Dienste!$A$10,Dienste!$C$10,IF(V18=Dienste!$A$11,Dienste!$C$11,IF(V18=Dienste!$A$12,Dienste!$C$12,IF(V18=Dienste!$A$13,Dienste!$C$13,IF(V18=Dienste!$A$14,Dienste!$C$14,IF(V18=Dienste!$A$15,Dienste!$C$15,IF(V18=Dienste!$A$16,Dienste!$C$16,IF(V18=Dienste!$A$17,Dienste!$C$17,IF(V18=Dienste!$A$18,Dienste!$C$18,IF(V18=Dienste!$A$19,Dienste!$C$19,IF(V18=Dienste!$A$20,Dienste!$C$20,IF(V18=Dienste!$A$21,Dienste!$C$21,IF(V18=Dienste!$A$22,Dienste!$C$22,IF(V18=Dienste!$A$23,Dienste!$C$23,IF(V18=Dienste!$A$24,Dienste!$C$24,IF(V18=Dienste!$A$25,Dienste!$C$25,IF(V18=Dienste!$A$26,Dienste!$C$26,IF(V18=Dienste!$A$27,Dienste!$C$27,IF(V18=Dienste!$A$28,Dienste!$C$28,IF(V18=Dienste!#REF!,Dienste!#REF!,IF(V18=Dienste!#REF!,Dienste!#REF!,IF(V18=Dienste!#REF!,Dienste!#REF!,IF(V18=Dienste!#REF!,Dienste!#REF!,IF(V18=Dienste!$A$33,Dienste!$C$33,IF(V18=Dienste!$A$34,Dienste!$C$34,IF(V18=Dienste!$A$35,Dienste!$C$35,IF(V18=Dienste!$A$36,Dienste!$C$36,)))))))))))))))))))))))))))))))))))</f>
        <v>8</v>
      </c>
      <c r="BQ18" s="27">
        <f>IF(W18=Dienste!$A$2,Dienste!$C$2,IF(W18=Dienste!$A$3,Dienste!$C$3,IF(W18=Dienste!$A$4,Dienste!$C$4,IF(W18=Dienste!$A$5,Dienste!$C$5,IF(W18=Dienste!$A$6,Dienste!$C$6,IF(W18=Dienste!$A$7,Dienste!$C$7,IF(W18=Dienste!$A$8,Dienste!$C$8,IF(W18=Dienste!$A$9,Dienste!$C$9,IF(W18=Dienste!$A$10,Dienste!$C$10,IF(W18=Dienste!$A$11,Dienste!$C$11,IF(W18=Dienste!$A$12,Dienste!$C$12,IF(W18=Dienste!$A$13,Dienste!$C$13,IF(W18=Dienste!$A$14,Dienste!$C$14,IF(W18=Dienste!$A$15,Dienste!$C$15,IF(W18=Dienste!$A$16,Dienste!$C$16,IF(W18=Dienste!$A$17,Dienste!$C$17,IF(W18=Dienste!$A$18,Dienste!$C$18,IF(W18=Dienste!$A$19,Dienste!$C$19,IF(W18=Dienste!$A$20,Dienste!$C$20,IF(W18=Dienste!$A$21,Dienste!$C$21,IF(W18=Dienste!$A$22,Dienste!$C$22,IF(W18=Dienste!$A$23,Dienste!$C$23,IF(W18=Dienste!$A$24,Dienste!$C$24,IF(W18=Dienste!$A$25,Dienste!$C$25,IF(W18=Dienste!$A$26,Dienste!$C$26,IF(W18=Dienste!$A$27,Dienste!$C$27,IF(W18=Dienste!$A$28,Dienste!$C$28,IF(W18=Dienste!#REF!,Dienste!#REF!,IF(W18=Dienste!#REF!,Dienste!#REF!,IF(W18=Dienste!#REF!,Dienste!#REF!,IF(W18=Dienste!#REF!,Dienste!#REF!,IF(W18=Dienste!$A$33,Dienste!$C$33,IF(W18=Dienste!$A$34,Dienste!$C$34,IF(W18=Dienste!$A$35,Dienste!$C$35,IF(W18=Dienste!$A$36,Dienste!$C$36,)))))))))))))))))))))))))))))))))))</f>
        <v>8</v>
      </c>
      <c r="BR18" s="27">
        <f>IF(X18=Dienste!$A$2,Dienste!$C$2,IF(X18=Dienste!$A$3,Dienste!$C$3,IF(X18=Dienste!$A$4,Dienste!$C$4,IF(X18=Dienste!$A$5,Dienste!$C$5,IF(X18=Dienste!$A$6,Dienste!$C$6,IF(X18=Dienste!$A$7,Dienste!$C$7,IF(X18=Dienste!$A$8,Dienste!$C$8,IF(X18=Dienste!$A$9,Dienste!$C$9,IF(X18=Dienste!$A$10,Dienste!$C$10,IF(X18=Dienste!$A$11,Dienste!$C$11,IF(X18=Dienste!$A$12,Dienste!$C$12,IF(X18=Dienste!$A$13,Dienste!$C$13,IF(X18=Dienste!$A$14,Dienste!$C$14,IF(X18=Dienste!$A$15,Dienste!$C$15,IF(X18=Dienste!$A$16,Dienste!$C$16,IF(X18=Dienste!$A$17,Dienste!$C$17,IF(X18=Dienste!$A$18,Dienste!$C$18,IF(X18=Dienste!$A$19,Dienste!$C$19,IF(X18=Dienste!$A$20,Dienste!$C$20,IF(X18=Dienste!$A$21,Dienste!$C$21,IF(X18=Dienste!$A$22,Dienste!$C$22,IF(X18=Dienste!$A$23,Dienste!$C$23,IF(X18=Dienste!$A$24,Dienste!$C$24,IF(X18=Dienste!$A$25,Dienste!$C$25,IF(X18=Dienste!$A$26,Dienste!$C$26,IF(X18=Dienste!$A$27,Dienste!$C$27,IF(X18=Dienste!$A$28,Dienste!$C$28,IF(X18=Dienste!#REF!,Dienste!#REF!,IF(X18=Dienste!#REF!,Dienste!#REF!,IF(X18=Dienste!#REF!,Dienste!#REF!,IF(X18=Dienste!#REF!,Dienste!#REF!,IF(X18=Dienste!$A$33,Dienste!$C$33,IF(X18=Dienste!$A$34,Dienste!$C$34,IF(X18=Dienste!$A$35,Dienste!$C$35,IF(X18=Dienste!$A$36,Dienste!$C$36,)))))))))))))))))))))))))))))))))))</f>
        <v>8</v>
      </c>
      <c r="BS18" s="27">
        <f>IF(Y18=Dienste!$A$2,Dienste!$C$2,IF(Y18=Dienste!$A$3,Dienste!$C$3,IF(Y18=Dienste!$A$4,Dienste!$C$4,IF(Y18=Dienste!$A$5,Dienste!$C$5,IF(Y18=Dienste!$A$6,Dienste!$C$6,IF(Y18=Dienste!$A$7,Dienste!$C$7,IF(Y18=Dienste!$A$8,Dienste!$C$8,IF(Y18=Dienste!$A$9,Dienste!$C$9,IF(Y18=Dienste!$A$10,Dienste!$C$10,IF(Y18=Dienste!$A$11,Dienste!$C$11,IF(Y18=Dienste!$A$12,Dienste!$C$12,IF(Y18=Dienste!$A$13,Dienste!$C$13,IF(Y18=Dienste!$A$14,Dienste!$C$14,IF(Y18=Dienste!$A$15,Dienste!$C$15,IF(Y18=Dienste!$A$16,Dienste!$C$16,IF(Y18=Dienste!$A$17,Dienste!$C$17,IF(Y18=Dienste!$A$18,Dienste!$C$18,IF(Y18=Dienste!$A$19,Dienste!$C$19,IF(Y18=Dienste!$A$20,Dienste!$C$20,IF(Y18=Dienste!$A$21,Dienste!$C$21,IF(Y18=Dienste!$A$22,Dienste!$C$22,IF(Y18=Dienste!$A$23,Dienste!$C$23,IF(Y18=Dienste!$A$24,Dienste!$C$24,IF(Y18=Dienste!$A$25,Dienste!$C$25,IF(Y18=Dienste!$A$26,Dienste!$C$26,IF(Y18=Dienste!$A$27,Dienste!$C$27,IF(Y18=Dienste!$A$28,Dienste!$C$28,IF(Y18=Dienste!#REF!,Dienste!#REF!,IF(Y18=Dienste!#REF!,Dienste!#REF!,IF(Y18=Dienste!#REF!,Dienste!#REF!,IF(Y18=Dienste!#REF!,Dienste!#REF!,IF(Y18=Dienste!$A$33,Dienste!$C$33,IF(Y18=Dienste!$A$34,Dienste!$C$34,IF(Y18=Dienste!$A$35,Dienste!$C$35,IF(Y18=Dienste!$A$36,Dienste!$C$36,)))))))))))))))))))))))))))))))))))</f>
        <v>0</v>
      </c>
      <c r="BT18" s="27">
        <f>IF(Z18=Dienste!$A$2,Dienste!$C$2,IF(Z18=Dienste!$A$3,Dienste!$C$3,IF(Z18=Dienste!$A$4,Dienste!$C$4,IF(Z18=Dienste!$A$5,Dienste!$C$5,IF(Z18=Dienste!$A$6,Dienste!$C$6,IF(Z18=Dienste!$A$7,Dienste!$C$7,IF(Z18=Dienste!$A$8,Dienste!$C$8,IF(Z18=Dienste!$A$9,Dienste!$C$9,IF(Z18=Dienste!$A$10,Dienste!$C$10,IF(Z18=Dienste!$A$11,Dienste!$C$11,IF(Z18=Dienste!$A$12,Dienste!$C$12,IF(Z18=Dienste!$A$13,Dienste!$C$13,IF(Z18=Dienste!$A$14,Dienste!$C$14,IF(Z18=Dienste!$A$15,Dienste!$C$15,IF(Z18=Dienste!$A$16,Dienste!$C$16,IF(Z18=Dienste!$A$17,Dienste!$C$17,IF(Z18=Dienste!$A$18,Dienste!$C$18,IF(Z18=Dienste!$A$19,Dienste!$C$19,IF(Z18=Dienste!$A$20,Dienste!$C$20,IF(Z18=Dienste!$A$21,Dienste!$C$21,IF(Z18=Dienste!$A$22,Dienste!$C$22,IF(Z18=Dienste!$A$23,Dienste!$C$23,IF(Z18=Dienste!$A$24,Dienste!$C$24,IF(Z18=Dienste!$A$25,Dienste!$C$25,IF(Z18=Dienste!$A$26,Dienste!$C$26,IF(Z18=Dienste!$A$27,Dienste!$C$27,IF(Z18=Dienste!$A$28,Dienste!$C$28,IF(Z18=Dienste!#REF!,Dienste!#REF!,IF(Z18=Dienste!#REF!,Dienste!#REF!,IF(Z18=Dienste!#REF!,Dienste!#REF!,IF(Z18=Dienste!#REF!,Dienste!#REF!,IF(Z18=Dienste!$A$33,Dienste!$C$33,IF(Z18=Dienste!$A$34,Dienste!$C$34,IF(Z18=Dienste!$A$35,Dienste!$C$35,IF(Z18=Dienste!$A$36,Dienste!$C$36,)))))))))))))))))))))))))))))))))))</f>
        <v>9</v>
      </c>
      <c r="BU18" s="27">
        <f>IF(AA18=Dienste!$A$2,Dienste!$C$2,IF(AA18=Dienste!$A$3,Dienste!$C$3,IF(AA18=Dienste!$A$4,Dienste!$C$4,IF(AA18=Dienste!$A$5,Dienste!$C$5,IF(AA18=Dienste!$A$6,Dienste!$C$6,IF(AA18=Dienste!$A$7,Dienste!$C$7,IF(AA18=Dienste!$A$8,Dienste!$C$8,IF(AA18=Dienste!$A$9,Dienste!$C$9,IF(AA18=Dienste!$A$10,Dienste!$C$10,IF(AA18=Dienste!$A$11,Dienste!$C$11,IF(AA18=Dienste!$A$12,Dienste!$C$12,IF(AA18=Dienste!$A$13,Dienste!$C$13,IF(AA18=Dienste!$A$14,Dienste!$C$14,IF(AA18=Dienste!$A$15,Dienste!$C$15,IF(AA18=Dienste!$A$16,Dienste!$C$16,IF(AA18=Dienste!$A$17,Dienste!$C$17,IF(AA18=Dienste!$A$18,Dienste!$C$18,IF(AA18=Dienste!$A$19,Dienste!$C$19,IF(AA18=Dienste!$A$20,Dienste!$C$20,IF(AA18=Dienste!$A$21,Dienste!$C$21,IF(AA18=Dienste!$A$22,Dienste!$C$22,IF(AA18=Dienste!$A$23,Dienste!$C$23,IF(AA18=Dienste!$A$24,Dienste!$C$24,IF(AA18=Dienste!$A$25,Dienste!$C$25,IF(AA18=Dienste!$A$26,Dienste!$C$26,IF(AA18=Dienste!$A$27,Dienste!$C$27,IF(AA18=Dienste!$A$28,Dienste!$C$28,IF(AA18=Dienste!#REF!,Dienste!#REF!,IF(AA18=Dienste!#REF!,Dienste!#REF!,IF(AA18=Dienste!#REF!,Dienste!#REF!,IF(AA18=Dienste!#REF!,Dienste!#REF!,IF(AA18=Dienste!$A$33,Dienste!$C$33,IF(AA18=Dienste!$A$34,Dienste!$C$34,IF(AA18=Dienste!$A$35,Dienste!$C$35,IF(AA18=Dienste!$A$36,Dienste!$C$36,)))))))))))))))))))))))))))))))))))</f>
        <v>8</v>
      </c>
      <c r="BV18" s="27">
        <f>IF(AB18=Dienste!$A$2,Dienste!$C$2,IF(AB18=Dienste!$A$3,Dienste!$C$3,IF(AB18=Dienste!$A$4,Dienste!$C$4,IF(AB18=Dienste!$A$5,Dienste!$C$5,IF(AB18=Dienste!$A$6,Dienste!$C$6,IF(AB18=Dienste!$A$7,Dienste!$C$7,IF(AB18=Dienste!$A$8,Dienste!$C$8,IF(AB18=Dienste!$A$9,Dienste!$C$9,IF(AB18=Dienste!$A$10,Dienste!$C$10,IF(AB18=Dienste!$A$11,Dienste!$C$11,IF(AB18=Dienste!$A$12,Dienste!$C$12,IF(AB18=Dienste!$A$13,Dienste!$C$13,IF(AB18=Dienste!$A$14,Dienste!$C$14,IF(AB18=Dienste!$A$15,Dienste!$C$15,IF(AB18=Dienste!$A$16,Dienste!$C$16,IF(AB18=Dienste!$A$17,Dienste!$C$17,IF(AB18=Dienste!$A$18,Dienste!$C$18,IF(AB18=Dienste!$A$19,Dienste!$C$19,IF(AB18=Dienste!$A$20,Dienste!$C$20,IF(AB18=Dienste!$A$21,Dienste!$C$21,IF(AB18=Dienste!$A$22,Dienste!$C$22,IF(AB18=Dienste!$A$23,Dienste!$C$23,IF(AB18=Dienste!$A$24,Dienste!$C$24,IF(AB18=Dienste!$A$25,Dienste!$C$25,IF(AB18=Dienste!$A$26,Dienste!$C$26,IF(AB18=Dienste!$A$27,Dienste!$C$27,IF(AB18=Dienste!$A$28,Dienste!$C$28,IF(AB18=Dienste!#REF!,Dienste!#REF!,IF(AB18=Dienste!#REF!,Dienste!#REF!,IF(AB18=Dienste!#REF!,Dienste!#REF!,IF(AB18=Dienste!#REF!,Dienste!#REF!,IF(AB18=Dienste!$A$33,Dienste!$C$33,IF(AB18=Dienste!$A$34,Dienste!$C$34,IF(AB18=Dienste!$A$35,Dienste!$C$35,IF(AB18=Dienste!$A$36,Dienste!$C$36,)))))))))))))))))))))))))))))))))))</f>
        <v>0</v>
      </c>
      <c r="BW18" s="27">
        <f>IF(AC18=Dienste!$A$2,Dienste!$C$2,IF(AC18=Dienste!$A$3,Dienste!$C$3,IF(AC18=Dienste!$A$4,Dienste!$C$4,IF(AC18=Dienste!$A$5,Dienste!$C$5,IF(AC18=Dienste!$A$6,Dienste!$C$6,IF(AC18=Dienste!$A$7,Dienste!$C$7,IF(AC18=Dienste!$A$8,Dienste!$C$8,IF(AC18=Dienste!$A$9,Dienste!$C$9,IF(AC18=Dienste!$A$10,Dienste!$C$10,IF(AC18=Dienste!$A$11,Dienste!$C$11,IF(AC18=Dienste!$A$12,Dienste!$C$12,IF(AC18=Dienste!$A$13,Dienste!$C$13,IF(AC18=Dienste!$A$14,Dienste!$C$14,IF(AC18=Dienste!$A$15,Dienste!$C$15,IF(AC18=Dienste!$A$16,Dienste!$C$16,IF(AC18=Dienste!$A$17,Dienste!$C$17,IF(AC18=Dienste!$A$18,Dienste!$C$18,IF(AC18=Dienste!$A$19,Dienste!$C$19,IF(AC18=Dienste!$A$20,Dienste!$C$20,IF(AC18=Dienste!$A$21,Dienste!$C$21,IF(AC18=Dienste!$A$22,Dienste!$C$22,IF(AC18=Dienste!$A$23,Dienste!$C$23,IF(AC18=Dienste!$A$24,Dienste!$C$24,IF(AC18=Dienste!$A$25,Dienste!$C$25,IF(AC18=Dienste!$A$26,Dienste!$C$26,IF(AC18=Dienste!$A$27,Dienste!$C$27,IF(AC18=Dienste!$A$28,Dienste!$C$28,IF(AC18=Dienste!#REF!,Dienste!#REF!,IF(AC18=Dienste!#REF!,Dienste!#REF!,IF(AC18=Dienste!#REF!,Dienste!#REF!,IF(AC18=Dienste!#REF!,Dienste!#REF!,IF(AC18=Dienste!$A$33,Dienste!$C$33,IF(AC18=Dienste!$A$34,Dienste!$C$34,IF(AC18=Dienste!$A$35,Dienste!$C$35,IF(AC18=Dienste!$A$36,Dienste!$C$36,)))))))))))))))))))))))))))))))))))</f>
        <v>8</v>
      </c>
      <c r="BX18" s="27">
        <f>IF(AD18=Dienste!$A$2,Dienste!$C$2,IF(AD18=Dienste!$A$3,Dienste!$C$3,IF(AD18=Dienste!$A$4,Dienste!$C$4,IF(AD18=Dienste!$A$5,Dienste!$C$5,IF(AD18=Dienste!$A$6,Dienste!$C$6,IF(AD18=Dienste!$A$7,Dienste!$C$7,IF(AD18=Dienste!$A$8,Dienste!$C$8,IF(AD18=Dienste!$A$9,Dienste!$C$9,IF(AD18=Dienste!$A$10,Dienste!$C$10,IF(AD18=Dienste!$A$11,Dienste!$C$11,IF(AD18=Dienste!$A$12,Dienste!$C$12,IF(AD18=Dienste!$A$13,Dienste!$C$13,IF(AD18=Dienste!$A$14,Dienste!$C$14,IF(AD18=Dienste!$A$15,Dienste!$C$15,IF(AD18=Dienste!$A$16,Dienste!$C$16,IF(AD18=Dienste!$A$17,Dienste!$C$17,IF(AD18=Dienste!$A$18,Dienste!$C$18,IF(AD18=Dienste!$A$19,Dienste!$C$19,IF(AD18=Dienste!$A$20,Dienste!$C$20,IF(AD18=Dienste!$A$21,Dienste!$C$21,IF(AD18=Dienste!$A$22,Dienste!$C$22,IF(AD18=Dienste!$A$23,Dienste!$C$23,IF(AD18=Dienste!$A$24,Dienste!$C$24,IF(AD18=Dienste!$A$25,Dienste!$C$25,IF(AD18=Dienste!$A$26,Dienste!$C$26,IF(AD18=Dienste!$A$27,Dienste!$C$27,IF(AD18=Dienste!$A$28,Dienste!$C$28,IF(AD18=Dienste!#REF!,Dienste!#REF!,IF(AD18=Dienste!#REF!,Dienste!#REF!,IF(AD18=Dienste!#REF!,Dienste!#REF!,IF(AD18=Dienste!#REF!,Dienste!#REF!,IF(AD18=Dienste!$A$33,Dienste!$C$33,IF(AD18=Dienste!$A$34,Dienste!$C$34,IF(AD18=Dienste!$A$35,Dienste!$C$35,IF(AD18=Dienste!$A$36,Dienste!$C$36,)))))))))))))))))))))))))))))))))))</f>
        <v>8</v>
      </c>
      <c r="BY18" s="27">
        <f>IF(AE18=Dienste!$A$2,Dienste!$C$2,IF(AE18=Dienste!$A$3,Dienste!$C$3,IF(AE18=Dienste!$A$4,Dienste!$C$4,IF(AE18=Dienste!$A$5,Dienste!$C$5,IF(AE18=Dienste!$A$6,Dienste!$C$6,IF(AE18=Dienste!$A$7,Dienste!$C$7,IF(AE18=Dienste!$A$8,Dienste!$C$8,IF(AE18=Dienste!$A$9,Dienste!$C$9,IF(AE18=Dienste!$A$10,Dienste!$C$10,IF(AE18=Dienste!$A$11,Dienste!$C$11,IF(AE18=Dienste!$A$12,Dienste!$C$12,IF(AE18=Dienste!$A$13,Dienste!$C$13,IF(AE18=Dienste!$A$14,Dienste!$C$14,IF(AE18=Dienste!$A$15,Dienste!$C$15,IF(AE18=Dienste!$A$16,Dienste!$C$16,IF(AE18=Dienste!$A$17,Dienste!$C$17,IF(AE18=Dienste!$A$18,Dienste!$C$18,IF(AE18=Dienste!$A$19,Dienste!$C$19,IF(AE18=Dienste!$A$20,Dienste!$C$20,IF(AE18=Dienste!$A$21,Dienste!$C$21,IF(AE18=Dienste!$A$22,Dienste!$C$22,IF(AE18=Dienste!$A$23,Dienste!$C$23,IF(AE18=Dienste!$A$24,Dienste!$C$24,IF(AE18=Dienste!$A$25,Dienste!$C$25,IF(AE18=Dienste!$A$26,Dienste!$C$26,IF(AE18=Dienste!$A$27,Dienste!$C$27,IF(AE18=Dienste!$A$28,Dienste!$C$28,IF(AE18=Dienste!#REF!,Dienste!#REF!,IF(AE18=Dienste!#REF!,Dienste!#REF!,IF(AE18=Dienste!#REF!,Dienste!#REF!,IF(AE18=Dienste!#REF!,Dienste!#REF!,IF(AE18=Dienste!$A$33,Dienste!$C$33,IF(AE18=Dienste!$A$34,Dienste!$C$34,IF(AE18=Dienste!$A$35,Dienste!$C$35,IF(AE18=Dienste!$A$36,Dienste!$C$36,)))))))))))))))))))))))))))))))))))</f>
        <v>8</v>
      </c>
      <c r="BZ18" s="27">
        <f>IF(AF18=Dienste!$A$2,Dienste!$C$2,IF(AF18=Dienste!$A$3,Dienste!$C$3,IF(AF18=Dienste!$A$4,Dienste!$C$4,IF(AF18=Dienste!$A$5,Dienste!$C$5,IF(AF18=Dienste!$A$6,Dienste!$C$6,IF(AF18=Dienste!$A$7,Dienste!$C$7,IF(AF18=Dienste!$A$8,Dienste!$C$8,IF(AF18=Dienste!$A$9,Dienste!$C$9,IF(AF18=Dienste!$A$10,Dienste!$C$10,IF(AF18=Dienste!$A$11,Dienste!$C$11,IF(AF18=Dienste!$A$12,Dienste!$C$12,IF(AF18=Dienste!$A$13,Dienste!$C$13,IF(AF18=Dienste!$A$14,Dienste!$C$14,IF(AF18=Dienste!$A$15,Dienste!$C$15,IF(AF18=Dienste!$A$16,Dienste!$C$16,IF(AF18=Dienste!$A$17,Dienste!$C$17,IF(AF18=Dienste!$A$18,Dienste!$C$18,IF(AF18=Dienste!$A$19,Dienste!$C$19,IF(AF18=Dienste!$A$20,Dienste!$C$20,IF(AF18=Dienste!$A$21,Dienste!$C$21,IF(AF18=Dienste!$A$22,Dienste!$C$22,IF(AF18=Dienste!$A$23,Dienste!$C$23,IF(AF18=Dienste!$A$24,Dienste!$C$24,IF(AF18=Dienste!$A$25,Dienste!$C$25,IF(AF18=Dienste!$A$26,Dienste!$C$26,IF(AF18=Dienste!$A$27,Dienste!$C$27,IF(AF18=Dienste!$A$28,Dienste!$C$28,IF(AF18=Dienste!#REF!,Dienste!#REF!,IF(AF18=Dienste!#REF!,Dienste!#REF!,IF(AF18=Dienste!#REF!,Dienste!#REF!,IF(AF18=Dienste!#REF!,Dienste!#REF!,IF(AF18=Dienste!$A$33,Dienste!$C$33,IF(AF18=Dienste!$A$34,Dienste!$C$34,IF(AF18=Dienste!$A$35,Dienste!$C$35,IF(AF18=Dienste!$A$36,Dienste!$C$36,)))))))))))))))))))))))))))))))))))</f>
        <v>0</v>
      </c>
      <c r="CA18" s="27">
        <f>IF(AG18=Dienste!$A$2,Dienste!$C$2,IF(AG18=Dienste!$A$3,Dienste!$C$3,IF(AG18=Dienste!$A$4,Dienste!$C$4,IF(AG18=Dienste!$A$5,Dienste!$C$5,IF(AG18=Dienste!$A$6,Dienste!$C$6,IF(AG18=Dienste!$A$7,Dienste!$C$7,IF(AG18=Dienste!$A$8,Dienste!$C$8,IF(AG18=Dienste!$A$9,Dienste!$C$9,IF(AG18=Dienste!$A$10,Dienste!$C$10,IF(AG18=Dienste!$A$11,Dienste!$C$11,IF(AG18=Dienste!$A$12,Dienste!$C$12,IF(AG18=Dienste!$A$13,Dienste!$C$13,IF(AG18=Dienste!$A$14,Dienste!$C$14,IF(AG18=Dienste!$A$15,Dienste!$C$15,IF(AG18=Dienste!$A$16,Dienste!$C$16,IF(AG18=Dienste!$A$17,Dienste!$C$17,IF(AG18=Dienste!$A$18,Dienste!$C$18,IF(AG18=Dienste!$A$19,Dienste!$C$19,IF(AG18=Dienste!$A$20,Dienste!$C$20,IF(AG18=Dienste!$A$21,Dienste!$C$21,IF(AG18=Dienste!$A$22,Dienste!$C$22,IF(AG18=Dienste!$A$23,Dienste!$C$23,IF(AG18=Dienste!$A$24,Dienste!$C$24,IF(AG18=Dienste!$A$25,Dienste!$C$25,IF(AG18=Dienste!$A$26,Dienste!$C$26,IF(AG18=Dienste!$A$27,Dienste!$C$27,IF(AG18=Dienste!$A$28,Dienste!$C$28,IF(AG18=Dienste!#REF!,Dienste!#REF!,IF(AG18=Dienste!#REF!,Dienste!#REF!,IF(AG18=Dienste!#REF!,Dienste!#REF!,IF(AG18=Dienste!#REF!,Dienste!#REF!,IF(AG18=Dienste!$A$33,Dienste!$C$33,IF(AG18=Dienste!$A$34,Dienste!$C$34,IF(AG18=Dienste!$A$35,Dienste!$C$35,IF(AG18=Dienste!$A$36,Dienste!$C$36,)))))))))))))))))))))))))))))))))))</f>
        <v>0</v>
      </c>
      <c r="CB18" s="27">
        <f>IF(AH18=Dienste!$A$2,Dienste!$C$2,IF(AH18=Dienste!$A$3,Dienste!$C$3,IF(AH18=Dienste!$A$4,Dienste!$C$4,IF(AH18=Dienste!$A$5,Dienste!$C$5,IF(AH18=Dienste!$A$6,Dienste!$C$6,IF(AH18=Dienste!$A$7,Dienste!$C$7,IF(AH18=Dienste!$A$8,Dienste!$C$8,IF(AH18=Dienste!$A$9,Dienste!$C$9,IF(AH18=Dienste!$A$10,Dienste!$C$10,IF(AH18=Dienste!$A$11,Dienste!$C$11,IF(AH18=Dienste!$A$12,Dienste!$C$12,IF(AH18=Dienste!$A$13,Dienste!$C$13,IF(AH18=Dienste!$A$14,Dienste!$C$14,IF(AH18=Dienste!$A$15,Dienste!$C$15,IF(AH18=Dienste!$A$16,Dienste!$C$16,IF(AH18=Dienste!$A$17,Dienste!$C$17,IF(AH18=Dienste!$A$18,Dienste!$C$18,IF(AH18=Dienste!$A$19,Dienste!$C$19,IF(AH18=Dienste!$A$20,Dienste!$C$20,IF(AH18=Dienste!$A$21,Dienste!$C$21,IF(AH18=Dienste!$A$22,Dienste!$C$22,IF(AH18=Dienste!$A$23,Dienste!$C$23,IF(AH18=Dienste!$A$24,Dienste!$C$24,IF(AH18=Dienste!$A$25,Dienste!$C$25,IF(AH18=Dienste!$A$26,Dienste!$C$26,IF(AH18=Dienste!$A$27,Dienste!$C$27,IF(AH18=Dienste!$A$28,Dienste!$C$28,IF(AH18=Dienste!#REF!,Dienste!#REF!,IF(AH18=Dienste!#REF!,Dienste!#REF!,IF(AH18=Dienste!#REF!,Dienste!#REF!,IF(AH18=Dienste!#REF!,Dienste!#REF!,IF(AH18=Dienste!$A$33,Dienste!$C$33,IF(AH18=Dienste!$A$34,Dienste!$C$34,IF(AH18=Dienste!$A$35,Dienste!$C$35,IF(AH18=Dienste!$A$36,Dienste!$C$36,)))))))))))))))))))))))))))))))))))</f>
        <v>8</v>
      </c>
      <c r="CC18" s="27" t="e">
        <f>IF(AI18=Dienste!$A$2,Dienste!$C$2,IF(AI18=Dienste!$A$3,Dienste!$C$3,IF(AI18=Dienste!$A$4,Dienste!$C$4,IF(AI18=Dienste!$A$5,Dienste!$C$5,IF(AI18=Dienste!$A$6,Dienste!$C$6,IF(AI18=Dienste!$A$7,Dienste!$C$7,IF(AI18=Dienste!$A$8,Dienste!$C$8,IF(AI18=Dienste!$A$9,Dienste!$C$9,IF(AI18=Dienste!$A$10,Dienste!$C$10,IF(AI18=Dienste!$A$11,Dienste!$C$11,IF(AI18=Dienste!$A$12,Dienste!$C$12,IF(AI18=Dienste!$A$13,Dienste!$C$13,IF(AI18=Dienste!$A$14,Dienste!$C$14,IF(AI18=Dienste!$A$15,Dienste!$C$15,IF(AI18=Dienste!$A$16,Dienste!$C$16,IF(AI18=Dienste!$A$17,Dienste!$C$17,IF(AI18=Dienste!$A$18,Dienste!$C$18,IF(AI18=Dienste!$A$19,Dienste!$C$19,IF(AI18=Dienste!$A$20,Dienste!$C$20,IF(AI18=Dienste!$A$21,Dienste!$C$21,IF(AI18=Dienste!$A$22,Dienste!$C$22,IF(AI18=Dienste!$A$23,Dienste!$C$23,IF(AI18=Dienste!$A$24,Dienste!$C$24,IF(AI18=Dienste!$A$25,Dienste!$C$25,IF(AI18=Dienste!$A$26,Dienste!$C$26,IF(AI18=Dienste!$A$27,Dienste!$C$27,IF(AI18=Dienste!$A$28,Dienste!$C$28,IF(AI18=Dienste!#REF!,Dienste!#REF!,IF(AI18=Dienste!#REF!,Dienste!#REF!,IF(AI18=Dienste!#REF!,Dienste!#REF!,IF(AI18=Dienste!#REF!,Dienste!#REF!,IF(AI18=Dienste!$A$33,Dienste!$C$33,IF(AI18=Dienste!$A$34,Dienste!$C$34,IF(AI18=Dienste!$A$35,Dienste!$C$35,IF(AI18=Dienste!$A$36,Dienste!$C$36,)))))))))))))))))))))))))))))))))))</f>
        <v>#REF!</v>
      </c>
    </row>
    <row r="19" spans="1:81" x14ac:dyDescent="0.25">
      <c r="A19" s="109" t="s">
        <v>136</v>
      </c>
      <c r="B19" s="15" t="s">
        <v>230</v>
      </c>
      <c r="C19" s="15">
        <v>40</v>
      </c>
      <c r="D19" s="98">
        <v>1</v>
      </c>
      <c r="E19" s="104" t="s">
        <v>83</v>
      </c>
      <c r="F19" s="9" t="s">
        <v>31</v>
      </c>
      <c r="G19" s="9" t="s">
        <v>31</v>
      </c>
      <c r="H19" s="9" t="s">
        <v>26</v>
      </c>
      <c r="I19" s="9" t="s">
        <v>26</v>
      </c>
      <c r="J19" s="9" t="s">
        <v>31</v>
      </c>
      <c r="K19" s="9" t="s">
        <v>83</v>
      </c>
      <c r="L19" s="9" t="s">
        <v>372</v>
      </c>
      <c r="M19" s="9" t="s">
        <v>65</v>
      </c>
      <c r="N19" s="9" t="s">
        <v>26</v>
      </c>
      <c r="O19" s="9" t="s">
        <v>26</v>
      </c>
      <c r="P19" s="9" t="s">
        <v>31</v>
      </c>
      <c r="Q19" s="9" t="s">
        <v>17</v>
      </c>
      <c r="R19" s="9" t="s">
        <v>83</v>
      </c>
      <c r="S19" s="9" t="s">
        <v>83</v>
      </c>
      <c r="T19" s="9" t="s">
        <v>31</v>
      </c>
      <c r="U19" s="9" t="s">
        <v>31</v>
      </c>
      <c r="V19" s="9" t="s">
        <v>26</v>
      </c>
      <c r="W19" s="9" t="s">
        <v>6</v>
      </c>
      <c r="X19" s="9" t="s">
        <v>32</v>
      </c>
      <c r="Y19" s="9" t="s">
        <v>35</v>
      </c>
      <c r="Z19" s="9" t="s">
        <v>372</v>
      </c>
      <c r="AA19" s="9" t="s">
        <v>65</v>
      </c>
      <c r="AB19" s="9" t="s">
        <v>6</v>
      </c>
      <c r="AC19" s="9" t="s">
        <v>26</v>
      </c>
      <c r="AD19" s="9" t="s">
        <v>17</v>
      </c>
      <c r="AE19" s="9" t="s">
        <v>65</v>
      </c>
      <c r="AF19" s="9" t="s">
        <v>83</v>
      </c>
      <c r="AG19" s="9" t="s">
        <v>83</v>
      </c>
      <c r="AH19" s="9" t="s">
        <v>31</v>
      </c>
      <c r="AI19" s="15"/>
      <c r="AJ19" s="109">
        <v>14</v>
      </c>
      <c r="AK19" s="15">
        <v>168</v>
      </c>
      <c r="AL19" s="109">
        <v>168</v>
      </c>
      <c r="AM19" s="15">
        <v>14</v>
      </c>
      <c r="AN19" s="170">
        <v>0</v>
      </c>
      <c r="AO19" s="109">
        <v>47.5</v>
      </c>
      <c r="AP19" s="15">
        <v>4</v>
      </c>
      <c r="AQ19" s="98">
        <v>2</v>
      </c>
      <c r="AR19" s="109">
        <v>60</v>
      </c>
      <c r="AS19" s="15">
        <v>43.442307692307693</v>
      </c>
      <c r="AT19" s="98">
        <v>26</v>
      </c>
      <c r="AU19" s="96" t="e">
        <f t="shared" si="2"/>
        <v>#REF!</v>
      </c>
      <c r="AV19" s="27" t="e">
        <f t="shared" si="0"/>
        <v>#REF!</v>
      </c>
      <c r="AW19" s="58" t="e">
        <f t="shared" si="1"/>
        <v>#REF!</v>
      </c>
      <c r="AY19" s="27">
        <f>IF(E19=Dienste!$A$2,Dienste!$C$2,IF(E19=Dienste!$A$3,Dienste!$C$3,IF(E19=Dienste!$A$4,Dienste!$C$4,IF(E19=Dienste!$A$5,Dienste!$C$5,IF(E19=Dienste!$A$6,Dienste!$C$6,IF(E19=Dienste!$A$7,Dienste!$C$7,IF(E19=Dienste!$A$8,Dienste!$C$8,IF(E19=Dienste!$A$9,Dienste!$C$9,IF(E19=Dienste!$A$10,Dienste!$C$10,IF(E19=Dienste!$A$11,Dienste!$C$11,IF(E19=Dienste!$A$12,Dienste!$C$12,IF(E19=Dienste!$A$13,Dienste!$C$13,IF(E19=Dienste!$A$14,Dienste!$C$14,IF(E19=Dienste!$A$15,Dienste!$C$15,IF(E19=Dienste!$A$16,Dienste!$C$16,IF(E19=Dienste!$A$17,Dienste!$C$17,IF(E19=Dienste!$A$18,Dienste!$C$18,IF(E19=Dienste!$A$19,Dienste!$C$19,IF(E19=Dienste!$A$20,Dienste!$C$20,IF(E19=Dienste!$A$21,Dienste!$C$21,IF(E19=Dienste!$A$22,Dienste!$C$22,IF(E19=Dienste!$A$23,Dienste!$C$23,IF(E19=Dienste!$A$24,Dienste!$C$24,IF(E19=Dienste!$A$25,Dienste!$C$25,IF(E19=Dienste!$A$26,Dienste!$C$26,IF(E19=Dienste!$A$27,Dienste!$C$27,IF(E19=Dienste!$A$28,Dienste!$C$28,IF(E19=Dienste!#REF!,Dienste!#REF!,IF(E19=Dienste!#REF!,Dienste!#REF!,IF(E19=Dienste!#REF!,Dienste!#REF!,IF(E19=Dienste!#REF!,Dienste!#REF!,IF(E19=Dienste!$A$33,Dienste!$C$33,IF(E19=Dienste!$A$34,Dienste!$C$34,IF(E19=Dienste!$A$35,Dienste!$C$35,IF(E19=Dienste!$A$36,Dienste!$C$36,)))))))))))))))))))))))))))))))))))</f>
        <v>0</v>
      </c>
      <c r="AZ19" s="27">
        <f>IF(F19=Dienste!$A$2,Dienste!$C$2,IF(F19=Dienste!$A$3,Dienste!$C$3,IF(F19=Dienste!$A$4,Dienste!$C$4,IF(F19=Dienste!$A$5,Dienste!$C$5,IF(F19=Dienste!$A$6,Dienste!$C$6,IF(F19=Dienste!$A$7,Dienste!$C$7,IF(F19=Dienste!$A$8,Dienste!$C$8,IF(F19=Dienste!$A$9,Dienste!$C$9,IF(F19=Dienste!$A$10,Dienste!$C$10,IF(F19=Dienste!$A$11,Dienste!$C$11,IF(F19=Dienste!$A$12,Dienste!$C$12,IF(F19=Dienste!$A$13,Dienste!$C$13,IF(F19=Dienste!$A$14,Dienste!$C$14,IF(F19=Dienste!$A$15,Dienste!$C$15,IF(F19=Dienste!$A$16,Dienste!$C$16,IF(F19=Dienste!$A$17,Dienste!$C$17,IF(F19=Dienste!$A$18,Dienste!$C$18,IF(F19=Dienste!$A$19,Dienste!$C$19,IF(F19=Dienste!$A$20,Dienste!$C$20,IF(F19=Dienste!$A$21,Dienste!$C$21,IF(F19=Dienste!$A$22,Dienste!$C$22,IF(F19=Dienste!$A$23,Dienste!$C$23,IF(F19=Dienste!$A$24,Dienste!$C$24,IF(F19=Dienste!$A$25,Dienste!$C$25,IF(F19=Dienste!$A$26,Dienste!$C$26,IF(F19=Dienste!$A$27,Dienste!$C$27,IF(F19=Dienste!$A$28,Dienste!$C$28,IF(F19=Dienste!#REF!,Dienste!#REF!,IF(F19=Dienste!#REF!,Dienste!#REF!,IF(F19=Dienste!#REF!,Dienste!#REF!,IF(F19=Dienste!#REF!,Dienste!#REF!,IF(F19=Dienste!$A$33,Dienste!$C$33,IF(F19=Dienste!$A$34,Dienste!$C$34,IF(F19=Dienste!$A$35,Dienste!$C$35,IF(F19=Dienste!$A$36,Dienste!$C$36,)))))))))))))))))))))))))))))))))))</f>
        <v>8</v>
      </c>
      <c r="BA19" s="27">
        <f>IF(G19=Dienste!$A$2,Dienste!$C$2,IF(G19=Dienste!$A$3,Dienste!$C$3,IF(G19=Dienste!$A$4,Dienste!$C$4,IF(G19=Dienste!$A$5,Dienste!$C$5,IF(G19=Dienste!$A$6,Dienste!$C$6,IF(G19=Dienste!$A$7,Dienste!$C$7,IF(G19=Dienste!$A$8,Dienste!$C$8,IF(G19=Dienste!$A$9,Dienste!$C$9,IF(G19=Dienste!$A$10,Dienste!$C$10,IF(G19=Dienste!$A$11,Dienste!$C$11,IF(G19=Dienste!$A$12,Dienste!$C$12,IF(G19=Dienste!$A$13,Dienste!$C$13,IF(G19=Dienste!$A$14,Dienste!$C$14,IF(G19=Dienste!$A$15,Dienste!$C$15,IF(G19=Dienste!$A$16,Dienste!$C$16,IF(G19=Dienste!$A$17,Dienste!$C$17,IF(G19=Dienste!$A$18,Dienste!$C$18,IF(G19=Dienste!$A$19,Dienste!$C$19,IF(G19=Dienste!$A$20,Dienste!$C$20,IF(G19=Dienste!$A$21,Dienste!$C$21,IF(G19=Dienste!$A$22,Dienste!$C$22,IF(G19=Dienste!$A$23,Dienste!$C$23,IF(G19=Dienste!$A$24,Dienste!$C$24,IF(G19=Dienste!$A$25,Dienste!$C$25,IF(G19=Dienste!$A$26,Dienste!$C$26,IF(G19=Dienste!$A$27,Dienste!$C$27,IF(G19=Dienste!$A$28,Dienste!$C$28,IF(G19=Dienste!#REF!,Dienste!#REF!,IF(G19=Dienste!#REF!,Dienste!#REF!,IF(G19=Dienste!#REF!,Dienste!#REF!,IF(G19=Dienste!#REF!,Dienste!#REF!,IF(G19=Dienste!$A$33,Dienste!$C$33,IF(G19=Dienste!$A$34,Dienste!$C$34,IF(G19=Dienste!$A$35,Dienste!$C$35,IF(G19=Dienste!$A$36,Dienste!$C$36,)))))))))))))))))))))))))))))))))))</f>
        <v>8</v>
      </c>
      <c r="BB19" s="27">
        <f>IF(H19=Dienste!$A$2,Dienste!$C$2,IF(H19=Dienste!$A$3,Dienste!$C$3,IF(H19=Dienste!$A$4,Dienste!$C$4,IF(H19=Dienste!$A$5,Dienste!$C$5,IF(H19=Dienste!$A$6,Dienste!$C$6,IF(H19=Dienste!$A$7,Dienste!$C$7,IF(H19=Dienste!$A$8,Dienste!$C$8,IF(H19=Dienste!$A$9,Dienste!$C$9,IF(H19=Dienste!$A$10,Dienste!$C$10,IF(H19=Dienste!$A$11,Dienste!$C$11,IF(H19=Dienste!$A$12,Dienste!$C$12,IF(H19=Dienste!$A$13,Dienste!$C$13,IF(H19=Dienste!$A$14,Dienste!$C$14,IF(H19=Dienste!$A$15,Dienste!$C$15,IF(H19=Dienste!$A$16,Dienste!$C$16,IF(H19=Dienste!$A$17,Dienste!$C$17,IF(H19=Dienste!$A$18,Dienste!$C$18,IF(H19=Dienste!$A$19,Dienste!$C$19,IF(H19=Dienste!$A$20,Dienste!$C$20,IF(H19=Dienste!$A$21,Dienste!$C$21,IF(H19=Dienste!$A$22,Dienste!$C$22,IF(H19=Dienste!$A$23,Dienste!$C$23,IF(H19=Dienste!$A$24,Dienste!$C$24,IF(H19=Dienste!$A$25,Dienste!$C$25,IF(H19=Dienste!$A$26,Dienste!$C$26,IF(H19=Dienste!$A$27,Dienste!$C$27,IF(H19=Dienste!$A$28,Dienste!$C$28,IF(H19=Dienste!#REF!,Dienste!#REF!,IF(H19=Dienste!#REF!,Dienste!#REF!,IF(H19=Dienste!#REF!,Dienste!#REF!,IF(H19=Dienste!#REF!,Dienste!#REF!,IF(H19=Dienste!$A$33,Dienste!$C$33,IF(H19=Dienste!$A$34,Dienste!$C$34,IF(H19=Dienste!$A$35,Dienste!$C$35,IF(H19=Dienste!$A$36,Dienste!$C$36,)))))))))))))))))))))))))))))))))))</f>
        <v>8</v>
      </c>
      <c r="BC19" s="27">
        <f>IF(I19=Dienste!$A$2,Dienste!$C$2,IF(I19=Dienste!$A$3,Dienste!$C$3,IF(I19=Dienste!$A$4,Dienste!$C$4,IF(I19=Dienste!$A$5,Dienste!$C$5,IF(I19=Dienste!$A$6,Dienste!$C$6,IF(I19=Dienste!$A$7,Dienste!$C$7,IF(I19=Dienste!$A$8,Dienste!$C$8,IF(I19=Dienste!$A$9,Dienste!$C$9,IF(I19=Dienste!$A$10,Dienste!$C$10,IF(I19=Dienste!$A$11,Dienste!$C$11,IF(I19=Dienste!$A$12,Dienste!$C$12,IF(I19=Dienste!$A$13,Dienste!$C$13,IF(I19=Dienste!$A$14,Dienste!$C$14,IF(I19=Dienste!$A$15,Dienste!$C$15,IF(I19=Dienste!$A$16,Dienste!$C$16,IF(I19=Dienste!$A$17,Dienste!$C$17,IF(I19=Dienste!$A$18,Dienste!$C$18,IF(I19=Dienste!$A$19,Dienste!$C$19,IF(I19=Dienste!$A$20,Dienste!$C$20,IF(I19=Dienste!$A$21,Dienste!$C$21,IF(I19=Dienste!$A$22,Dienste!$C$22,IF(I19=Dienste!$A$23,Dienste!$C$23,IF(I19=Dienste!$A$24,Dienste!$C$24,IF(I19=Dienste!$A$25,Dienste!$C$25,IF(I19=Dienste!$A$26,Dienste!$C$26,IF(I19=Dienste!$A$27,Dienste!$C$27,IF(I19=Dienste!$A$28,Dienste!$C$28,IF(I19=Dienste!#REF!,Dienste!#REF!,IF(I19=Dienste!#REF!,Dienste!#REF!,IF(I19=Dienste!#REF!,Dienste!#REF!,IF(I19=Dienste!#REF!,Dienste!#REF!,IF(I19=Dienste!$A$33,Dienste!$C$33,IF(I19=Dienste!$A$34,Dienste!$C$34,IF(I19=Dienste!$A$35,Dienste!$C$35,IF(I19=Dienste!$A$36,Dienste!$C$36,)))))))))))))))))))))))))))))))))))</f>
        <v>8</v>
      </c>
      <c r="BD19" s="27">
        <f>IF(J19=Dienste!$A$2,Dienste!$C$2,IF(J19=Dienste!$A$3,Dienste!$C$3,IF(J19=Dienste!$A$4,Dienste!$C$4,IF(J19=Dienste!$A$5,Dienste!$C$5,IF(J19=Dienste!$A$6,Dienste!$C$6,IF(J19=Dienste!$A$7,Dienste!$C$7,IF(J19=Dienste!$A$8,Dienste!$C$8,IF(J19=Dienste!$A$9,Dienste!$C$9,IF(J19=Dienste!$A$10,Dienste!$C$10,IF(J19=Dienste!$A$11,Dienste!$C$11,IF(J19=Dienste!$A$12,Dienste!$C$12,IF(J19=Dienste!$A$13,Dienste!$C$13,IF(J19=Dienste!$A$14,Dienste!$C$14,IF(J19=Dienste!$A$15,Dienste!$C$15,IF(J19=Dienste!$A$16,Dienste!$C$16,IF(J19=Dienste!$A$17,Dienste!$C$17,IF(J19=Dienste!$A$18,Dienste!$C$18,IF(J19=Dienste!$A$19,Dienste!$C$19,IF(J19=Dienste!$A$20,Dienste!$C$20,IF(J19=Dienste!$A$21,Dienste!$C$21,IF(J19=Dienste!$A$22,Dienste!$C$22,IF(J19=Dienste!$A$23,Dienste!$C$23,IF(J19=Dienste!$A$24,Dienste!$C$24,IF(J19=Dienste!$A$25,Dienste!$C$25,IF(J19=Dienste!$A$26,Dienste!$C$26,IF(J19=Dienste!$A$27,Dienste!$C$27,IF(J19=Dienste!$A$28,Dienste!$C$28,IF(J19=Dienste!#REF!,Dienste!#REF!,IF(J19=Dienste!#REF!,Dienste!#REF!,IF(J19=Dienste!#REF!,Dienste!#REF!,IF(J19=Dienste!#REF!,Dienste!#REF!,IF(J19=Dienste!$A$33,Dienste!$C$33,IF(J19=Dienste!$A$34,Dienste!$C$34,IF(J19=Dienste!$A$35,Dienste!$C$35,IF(J19=Dienste!$A$36,Dienste!$C$36,)))))))))))))))))))))))))))))))))))</f>
        <v>8</v>
      </c>
      <c r="BE19" s="27">
        <f>IF(K19=Dienste!$A$2,Dienste!$C$2,IF(K19=Dienste!$A$3,Dienste!$C$3,IF(K19=Dienste!$A$4,Dienste!$C$4,IF(K19=Dienste!$A$5,Dienste!$C$5,IF(K19=Dienste!$A$6,Dienste!$C$6,IF(K19=Dienste!$A$7,Dienste!$C$7,IF(K19=Dienste!$A$8,Dienste!$C$8,IF(K19=Dienste!$A$9,Dienste!$C$9,IF(K19=Dienste!$A$10,Dienste!$C$10,IF(K19=Dienste!$A$11,Dienste!$C$11,IF(K19=Dienste!$A$12,Dienste!$C$12,IF(K19=Dienste!$A$13,Dienste!$C$13,IF(K19=Dienste!$A$14,Dienste!$C$14,IF(K19=Dienste!$A$15,Dienste!$C$15,IF(K19=Dienste!$A$16,Dienste!$C$16,IF(K19=Dienste!$A$17,Dienste!$C$17,IF(K19=Dienste!$A$18,Dienste!$C$18,IF(K19=Dienste!$A$19,Dienste!$C$19,IF(K19=Dienste!$A$20,Dienste!$C$20,IF(K19=Dienste!$A$21,Dienste!$C$21,IF(K19=Dienste!$A$22,Dienste!$C$22,IF(K19=Dienste!$A$23,Dienste!$C$23,IF(K19=Dienste!$A$24,Dienste!$C$24,IF(K19=Dienste!$A$25,Dienste!$C$25,IF(K19=Dienste!$A$26,Dienste!$C$26,IF(K19=Dienste!$A$27,Dienste!$C$27,IF(K19=Dienste!$A$28,Dienste!$C$28,IF(K19=Dienste!#REF!,Dienste!#REF!,IF(K19=Dienste!#REF!,Dienste!#REF!,IF(K19=Dienste!#REF!,Dienste!#REF!,IF(K19=Dienste!#REF!,Dienste!#REF!,IF(K19=Dienste!$A$33,Dienste!$C$33,IF(K19=Dienste!$A$34,Dienste!$C$34,IF(K19=Dienste!$A$35,Dienste!$C$35,IF(K19=Dienste!$A$36,Dienste!$C$36,)))))))))))))))))))))))))))))))))))</f>
        <v>0</v>
      </c>
      <c r="BF19" s="27">
        <f>IF(L19=Dienste!$A$2,Dienste!$C$2,IF(L19=Dienste!$A$3,Dienste!$C$3,IF(L19=Dienste!$A$4,Dienste!$C$4,IF(L19=Dienste!$A$5,Dienste!$C$5,IF(L19=Dienste!$A$6,Dienste!$C$6,IF(L19=Dienste!$A$7,Dienste!$C$7,IF(L19=Dienste!$A$8,Dienste!$C$8,IF(L19=Dienste!$A$9,Dienste!$C$9,IF(L19=Dienste!$A$10,Dienste!$C$10,IF(L19=Dienste!$A$11,Dienste!$C$11,IF(L19=Dienste!$A$12,Dienste!$C$12,IF(L19=Dienste!$A$13,Dienste!$C$13,IF(L19=Dienste!$A$14,Dienste!$C$14,IF(L19=Dienste!$A$15,Dienste!$C$15,IF(L19=Dienste!$A$16,Dienste!$C$16,IF(L19=Dienste!$A$17,Dienste!$C$17,IF(L19=Dienste!$A$18,Dienste!$C$18,IF(L19=Dienste!$A$19,Dienste!$C$19,IF(L19=Dienste!$A$20,Dienste!$C$20,IF(L19=Dienste!$A$21,Dienste!$C$21,IF(L19=Dienste!$A$22,Dienste!$C$22,IF(L19=Dienste!$A$23,Dienste!$C$23,IF(L19=Dienste!$A$24,Dienste!$C$24,IF(L19=Dienste!$A$25,Dienste!$C$25,IF(L19=Dienste!$A$26,Dienste!$C$26,IF(L19=Dienste!$A$27,Dienste!$C$27,IF(L19=Dienste!$A$28,Dienste!$C$28,IF(L19=Dienste!#REF!,Dienste!#REF!,IF(L19=Dienste!#REF!,Dienste!#REF!,IF(L19=Dienste!#REF!,Dienste!#REF!,IF(L19=Dienste!#REF!,Dienste!#REF!,IF(L19=Dienste!$A$33,Dienste!$C$33,IF(L19=Dienste!$A$34,Dienste!$C$34,IF(L19=Dienste!$A$35,Dienste!$C$35,IF(L19=Dienste!$A$36,Dienste!$C$36,)))))))))))))))))))))))))))))))))))</f>
        <v>0</v>
      </c>
      <c r="BG19" s="27">
        <f>IF(M19=Dienste!$A$2,Dienste!$C$2,IF(M19=Dienste!$A$3,Dienste!$C$3,IF(M19=Dienste!$A$4,Dienste!$C$4,IF(M19=Dienste!$A$5,Dienste!$C$5,IF(M19=Dienste!$A$6,Dienste!$C$6,IF(M19=Dienste!$A$7,Dienste!$C$7,IF(M19=Dienste!$A$8,Dienste!$C$8,IF(M19=Dienste!$A$9,Dienste!$C$9,IF(M19=Dienste!$A$10,Dienste!$C$10,IF(M19=Dienste!$A$11,Dienste!$C$11,IF(M19=Dienste!$A$12,Dienste!$C$12,IF(M19=Dienste!$A$13,Dienste!$C$13,IF(M19=Dienste!$A$14,Dienste!$C$14,IF(M19=Dienste!$A$15,Dienste!$C$15,IF(M19=Dienste!$A$16,Dienste!$C$16,IF(M19=Dienste!$A$17,Dienste!$C$17,IF(M19=Dienste!$A$18,Dienste!$C$18,IF(M19=Dienste!$A$19,Dienste!$C$19,IF(M19=Dienste!$A$20,Dienste!$C$20,IF(M19=Dienste!$A$21,Dienste!$C$21,IF(M19=Dienste!$A$22,Dienste!$C$22,IF(M19=Dienste!$A$23,Dienste!$C$23,IF(M19=Dienste!$A$24,Dienste!$C$24,IF(M19=Dienste!$A$25,Dienste!$C$25,IF(M19=Dienste!$A$26,Dienste!$C$26,IF(M19=Dienste!$A$27,Dienste!$C$27,IF(M19=Dienste!$A$28,Dienste!$C$28,IF(M19=Dienste!#REF!,Dienste!#REF!,IF(M19=Dienste!#REF!,Dienste!#REF!,IF(M19=Dienste!#REF!,Dienste!#REF!,IF(M19=Dienste!#REF!,Dienste!#REF!,IF(M19=Dienste!$A$33,Dienste!$C$33,IF(M19=Dienste!$A$34,Dienste!$C$34,IF(M19=Dienste!$A$35,Dienste!$C$35,IF(M19=Dienste!$A$36,Dienste!$C$36,)))))))))))))))))))))))))))))))))))</f>
        <v>8</v>
      </c>
      <c r="BH19" s="27">
        <f>IF(N19=Dienste!$A$2,Dienste!$C$2,IF(N19=Dienste!$A$3,Dienste!$C$3,IF(N19=Dienste!$A$4,Dienste!$C$4,IF(N19=Dienste!$A$5,Dienste!$C$5,IF(N19=Dienste!$A$6,Dienste!$C$6,IF(N19=Dienste!$A$7,Dienste!$C$7,IF(N19=Dienste!$A$8,Dienste!$C$8,IF(N19=Dienste!$A$9,Dienste!$C$9,IF(N19=Dienste!$A$10,Dienste!$C$10,IF(N19=Dienste!$A$11,Dienste!$C$11,IF(N19=Dienste!$A$12,Dienste!$C$12,IF(N19=Dienste!$A$13,Dienste!$C$13,IF(N19=Dienste!$A$14,Dienste!$C$14,IF(N19=Dienste!$A$15,Dienste!$C$15,IF(N19=Dienste!$A$16,Dienste!$C$16,IF(N19=Dienste!$A$17,Dienste!$C$17,IF(N19=Dienste!$A$18,Dienste!$C$18,IF(N19=Dienste!$A$19,Dienste!$C$19,IF(N19=Dienste!$A$20,Dienste!$C$20,IF(N19=Dienste!$A$21,Dienste!$C$21,IF(N19=Dienste!$A$22,Dienste!$C$22,IF(N19=Dienste!$A$23,Dienste!$C$23,IF(N19=Dienste!$A$24,Dienste!$C$24,IF(N19=Dienste!$A$25,Dienste!$C$25,IF(N19=Dienste!$A$26,Dienste!$C$26,IF(N19=Dienste!$A$27,Dienste!$C$27,IF(N19=Dienste!$A$28,Dienste!$C$28,IF(N19=Dienste!#REF!,Dienste!#REF!,IF(N19=Dienste!#REF!,Dienste!#REF!,IF(N19=Dienste!#REF!,Dienste!#REF!,IF(N19=Dienste!#REF!,Dienste!#REF!,IF(N19=Dienste!$A$33,Dienste!$C$33,IF(N19=Dienste!$A$34,Dienste!$C$34,IF(N19=Dienste!$A$35,Dienste!$C$35,IF(N19=Dienste!$A$36,Dienste!$C$36,)))))))))))))))))))))))))))))))))))</f>
        <v>8</v>
      </c>
      <c r="BI19" s="27">
        <f>IF(O19=Dienste!$A$2,Dienste!$C$2,IF(O19=Dienste!$A$3,Dienste!$C$3,IF(O19=Dienste!$A$4,Dienste!$C$4,IF(O19=Dienste!$A$5,Dienste!$C$5,IF(O19=Dienste!$A$6,Dienste!$C$6,IF(O19=Dienste!$A$7,Dienste!$C$7,IF(O19=Dienste!$A$8,Dienste!$C$8,IF(O19=Dienste!$A$9,Dienste!$C$9,IF(O19=Dienste!$A$10,Dienste!$C$10,IF(O19=Dienste!$A$11,Dienste!$C$11,IF(O19=Dienste!$A$12,Dienste!$C$12,IF(O19=Dienste!$A$13,Dienste!$C$13,IF(O19=Dienste!$A$14,Dienste!$C$14,IF(O19=Dienste!$A$15,Dienste!$C$15,IF(O19=Dienste!$A$16,Dienste!$C$16,IF(O19=Dienste!$A$17,Dienste!$C$17,IF(O19=Dienste!$A$18,Dienste!$C$18,IF(O19=Dienste!$A$19,Dienste!$C$19,IF(O19=Dienste!$A$20,Dienste!$C$20,IF(O19=Dienste!$A$21,Dienste!$C$21,IF(O19=Dienste!$A$22,Dienste!$C$22,IF(O19=Dienste!$A$23,Dienste!$C$23,IF(O19=Dienste!$A$24,Dienste!$C$24,IF(O19=Dienste!$A$25,Dienste!$C$25,IF(O19=Dienste!$A$26,Dienste!$C$26,IF(O19=Dienste!$A$27,Dienste!$C$27,IF(O19=Dienste!$A$28,Dienste!$C$28,IF(O19=Dienste!#REF!,Dienste!#REF!,IF(O19=Dienste!#REF!,Dienste!#REF!,IF(O19=Dienste!#REF!,Dienste!#REF!,IF(O19=Dienste!#REF!,Dienste!#REF!,IF(O19=Dienste!$A$33,Dienste!$C$33,IF(O19=Dienste!$A$34,Dienste!$C$34,IF(O19=Dienste!$A$35,Dienste!$C$35,IF(O19=Dienste!$A$36,Dienste!$C$36,)))))))))))))))))))))))))))))))))))</f>
        <v>8</v>
      </c>
      <c r="BJ19" s="27">
        <f>IF(P19=Dienste!$A$2,Dienste!$C$2,IF(P19=Dienste!$A$3,Dienste!$C$3,IF(P19=Dienste!$A$4,Dienste!$C$4,IF(P19=Dienste!$A$5,Dienste!$C$5,IF(P19=Dienste!$A$6,Dienste!$C$6,IF(P19=Dienste!$A$7,Dienste!$C$7,IF(P19=Dienste!$A$8,Dienste!$C$8,IF(P19=Dienste!$A$9,Dienste!$C$9,IF(P19=Dienste!$A$10,Dienste!$C$10,IF(P19=Dienste!$A$11,Dienste!$C$11,IF(P19=Dienste!$A$12,Dienste!$C$12,IF(P19=Dienste!$A$13,Dienste!$C$13,IF(P19=Dienste!$A$14,Dienste!$C$14,IF(P19=Dienste!$A$15,Dienste!$C$15,IF(P19=Dienste!$A$16,Dienste!$C$16,IF(P19=Dienste!$A$17,Dienste!$C$17,IF(P19=Dienste!$A$18,Dienste!$C$18,IF(P19=Dienste!$A$19,Dienste!$C$19,IF(P19=Dienste!$A$20,Dienste!$C$20,IF(P19=Dienste!$A$21,Dienste!$C$21,IF(P19=Dienste!$A$22,Dienste!$C$22,IF(P19=Dienste!$A$23,Dienste!$C$23,IF(P19=Dienste!$A$24,Dienste!$C$24,IF(P19=Dienste!$A$25,Dienste!$C$25,IF(P19=Dienste!$A$26,Dienste!$C$26,IF(P19=Dienste!$A$27,Dienste!$C$27,IF(P19=Dienste!$A$28,Dienste!$C$28,IF(P19=Dienste!#REF!,Dienste!#REF!,IF(P19=Dienste!#REF!,Dienste!#REF!,IF(P19=Dienste!#REF!,Dienste!#REF!,IF(P19=Dienste!#REF!,Dienste!#REF!,IF(P19=Dienste!$A$33,Dienste!$C$33,IF(P19=Dienste!$A$34,Dienste!$C$34,IF(P19=Dienste!$A$35,Dienste!$C$35,IF(P19=Dienste!$A$36,Dienste!$C$36,)))))))))))))))))))))))))))))))))))</f>
        <v>8</v>
      </c>
      <c r="BK19" s="27">
        <f>IF(Q19=Dienste!$A$2,Dienste!$C$2,IF(Q19=Dienste!$A$3,Dienste!$C$3,IF(Q19=Dienste!$A$4,Dienste!$C$4,IF(Q19=Dienste!$A$5,Dienste!$C$5,IF(Q19=Dienste!$A$6,Dienste!$C$6,IF(Q19=Dienste!$A$7,Dienste!$C$7,IF(Q19=Dienste!$A$8,Dienste!$C$8,IF(Q19=Dienste!$A$9,Dienste!$C$9,IF(Q19=Dienste!$A$10,Dienste!$C$10,IF(Q19=Dienste!$A$11,Dienste!$C$11,IF(Q19=Dienste!$A$12,Dienste!$C$12,IF(Q19=Dienste!$A$13,Dienste!$C$13,IF(Q19=Dienste!$A$14,Dienste!$C$14,IF(Q19=Dienste!$A$15,Dienste!$C$15,IF(Q19=Dienste!$A$16,Dienste!$C$16,IF(Q19=Dienste!$A$17,Dienste!$C$17,IF(Q19=Dienste!$A$18,Dienste!$C$18,IF(Q19=Dienste!$A$19,Dienste!$C$19,IF(Q19=Dienste!$A$20,Dienste!$C$20,IF(Q19=Dienste!$A$21,Dienste!$C$21,IF(Q19=Dienste!$A$22,Dienste!$C$22,IF(Q19=Dienste!$A$23,Dienste!$C$23,IF(Q19=Dienste!$A$24,Dienste!$C$24,IF(Q19=Dienste!$A$25,Dienste!$C$25,IF(Q19=Dienste!$A$26,Dienste!$C$26,IF(Q19=Dienste!$A$27,Dienste!$C$27,IF(Q19=Dienste!$A$28,Dienste!$C$28,IF(Q19=Dienste!#REF!,Dienste!#REF!,IF(Q19=Dienste!#REF!,Dienste!#REF!,IF(Q19=Dienste!#REF!,Dienste!#REF!,IF(Q19=Dienste!#REF!,Dienste!#REF!,IF(Q19=Dienste!$A$33,Dienste!$C$33,IF(Q19=Dienste!$A$34,Dienste!$C$34,IF(Q19=Dienste!$A$35,Dienste!$C$35,IF(Q19=Dienste!$A$36,Dienste!$C$36,)))))))))))))))))))))))))))))))))))</f>
        <v>8</v>
      </c>
      <c r="BL19" s="27">
        <f>IF(R19=Dienste!$A$2,Dienste!$C$2,IF(R19=Dienste!$A$3,Dienste!$C$3,IF(R19=Dienste!$A$4,Dienste!$C$4,IF(R19=Dienste!$A$5,Dienste!$C$5,IF(R19=Dienste!$A$6,Dienste!$C$6,IF(R19=Dienste!$A$7,Dienste!$C$7,IF(R19=Dienste!$A$8,Dienste!$C$8,IF(R19=Dienste!$A$9,Dienste!$C$9,IF(R19=Dienste!$A$10,Dienste!$C$10,IF(R19=Dienste!$A$11,Dienste!$C$11,IF(R19=Dienste!$A$12,Dienste!$C$12,IF(R19=Dienste!$A$13,Dienste!$C$13,IF(R19=Dienste!$A$14,Dienste!$C$14,IF(R19=Dienste!$A$15,Dienste!$C$15,IF(R19=Dienste!$A$16,Dienste!$C$16,IF(R19=Dienste!$A$17,Dienste!$C$17,IF(R19=Dienste!$A$18,Dienste!$C$18,IF(R19=Dienste!$A$19,Dienste!$C$19,IF(R19=Dienste!$A$20,Dienste!$C$20,IF(R19=Dienste!$A$21,Dienste!$C$21,IF(R19=Dienste!$A$22,Dienste!$C$22,IF(R19=Dienste!$A$23,Dienste!$C$23,IF(R19=Dienste!$A$24,Dienste!$C$24,IF(R19=Dienste!$A$25,Dienste!$C$25,IF(R19=Dienste!$A$26,Dienste!$C$26,IF(R19=Dienste!$A$27,Dienste!$C$27,IF(R19=Dienste!$A$28,Dienste!$C$28,IF(R19=Dienste!#REF!,Dienste!#REF!,IF(R19=Dienste!#REF!,Dienste!#REF!,IF(R19=Dienste!#REF!,Dienste!#REF!,IF(R19=Dienste!#REF!,Dienste!#REF!,IF(R19=Dienste!$A$33,Dienste!$C$33,IF(R19=Dienste!$A$34,Dienste!$C$34,IF(R19=Dienste!$A$35,Dienste!$C$35,IF(R19=Dienste!$A$36,Dienste!$C$36,)))))))))))))))))))))))))))))))))))</f>
        <v>0</v>
      </c>
      <c r="BM19" s="27">
        <f>IF(S19=Dienste!$A$2,Dienste!$C$2,IF(S19=Dienste!$A$3,Dienste!$C$3,IF(S19=Dienste!$A$4,Dienste!$C$4,IF(S19=Dienste!$A$5,Dienste!$C$5,IF(S19=Dienste!$A$6,Dienste!$C$6,IF(S19=Dienste!$A$7,Dienste!$C$7,IF(S19=Dienste!$A$8,Dienste!$C$8,IF(S19=Dienste!$A$9,Dienste!$C$9,IF(S19=Dienste!$A$10,Dienste!$C$10,IF(S19=Dienste!$A$11,Dienste!$C$11,IF(S19=Dienste!$A$12,Dienste!$C$12,IF(S19=Dienste!$A$13,Dienste!$C$13,IF(S19=Dienste!$A$14,Dienste!$C$14,IF(S19=Dienste!$A$15,Dienste!$C$15,IF(S19=Dienste!$A$16,Dienste!$C$16,IF(S19=Dienste!$A$17,Dienste!$C$17,IF(S19=Dienste!$A$18,Dienste!$C$18,IF(S19=Dienste!$A$19,Dienste!$C$19,IF(S19=Dienste!$A$20,Dienste!$C$20,IF(S19=Dienste!$A$21,Dienste!$C$21,IF(S19=Dienste!$A$22,Dienste!$C$22,IF(S19=Dienste!$A$23,Dienste!$C$23,IF(S19=Dienste!$A$24,Dienste!$C$24,IF(S19=Dienste!$A$25,Dienste!$C$25,IF(S19=Dienste!$A$26,Dienste!$C$26,IF(S19=Dienste!$A$27,Dienste!$C$27,IF(S19=Dienste!$A$28,Dienste!$C$28,IF(S19=Dienste!#REF!,Dienste!#REF!,IF(S19=Dienste!#REF!,Dienste!#REF!,IF(S19=Dienste!#REF!,Dienste!#REF!,IF(S19=Dienste!#REF!,Dienste!#REF!,IF(S19=Dienste!$A$33,Dienste!$C$33,IF(S19=Dienste!$A$34,Dienste!$C$34,IF(S19=Dienste!$A$35,Dienste!$C$35,IF(S19=Dienste!$A$36,Dienste!$C$36,)))))))))))))))))))))))))))))))))))</f>
        <v>0</v>
      </c>
      <c r="BN19" s="27">
        <f>IF(T19=Dienste!$A$2,Dienste!$C$2,IF(T19=Dienste!$A$3,Dienste!$C$3,IF(T19=Dienste!$A$4,Dienste!$C$4,IF(T19=Dienste!$A$5,Dienste!$C$5,IF(T19=Dienste!$A$6,Dienste!$C$6,IF(T19=Dienste!$A$7,Dienste!$C$7,IF(T19=Dienste!$A$8,Dienste!$C$8,IF(T19=Dienste!$A$9,Dienste!$C$9,IF(T19=Dienste!$A$10,Dienste!$C$10,IF(T19=Dienste!$A$11,Dienste!$C$11,IF(T19=Dienste!$A$12,Dienste!$C$12,IF(T19=Dienste!$A$13,Dienste!$C$13,IF(T19=Dienste!$A$14,Dienste!$C$14,IF(T19=Dienste!$A$15,Dienste!$C$15,IF(T19=Dienste!$A$16,Dienste!$C$16,IF(T19=Dienste!$A$17,Dienste!$C$17,IF(T19=Dienste!$A$18,Dienste!$C$18,IF(T19=Dienste!$A$19,Dienste!$C$19,IF(T19=Dienste!$A$20,Dienste!$C$20,IF(T19=Dienste!$A$21,Dienste!$C$21,IF(T19=Dienste!$A$22,Dienste!$C$22,IF(T19=Dienste!$A$23,Dienste!$C$23,IF(T19=Dienste!$A$24,Dienste!$C$24,IF(T19=Dienste!$A$25,Dienste!$C$25,IF(T19=Dienste!$A$26,Dienste!$C$26,IF(T19=Dienste!$A$27,Dienste!$C$27,IF(T19=Dienste!$A$28,Dienste!$C$28,IF(T19=Dienste!#REF!,Dienste!#REF!,IF(T19=Dienste!#REF!,Dienste!#REF!,IF(T19=Dienste!#REF!,Dienste!#REF!,IF(T19=Dienste!#REF!,Dienste!#REF!,IF(T19=Dienste!$A$33,Dienste!$C$33,IF(T19=Dienste!$A$34,Dienste!$C$34,IF(T19=Dienste!$A$35,Dienste!$C$35,IF(T19=Dienste!$A$36,Dienste!$C$36,)))))))))))))))))))))))))))))))))))</f>
        <v>8</v>
      </c>
      <c r="BO19" s="27">
        <f>IF(U19=Dienste!$A$2,Dienste!$C$2,IF(U19=Dienste!$A$3,Dienste!$C$3,IF(U19=Dienste!$A$4,Dienste!$C$4,IF(U19=Dienste!$A$5,Dienste!$C$5,IF(U19=Dienste!$A$6,Dienste!$C$6,IF(U19=Dienste!$A$7,Dienste!$C$7,IF(U19=Dienste!$A$8,Dienste!$C$8,IF(U19=Dienste!$A$9,Dienste!$C$9,IF(U19=Dienste!$A$10,Dienste!$C$10,IF(U19=Dienste!$A$11,Dienste!$C$11,IF(U19=Dienste!$A$12,Dienste!$C$12,IF(U19=Dienste!$A$13,Dienste!$C$13,IF(U19=Dienste!$A$14,Dienste!$C$14,IF(U19=Dienste!$A$15,Dienste!$C$15,IF(U19=Dienste!$A$16,Dienste!$C$16,IF(U19=Dienste!$A$17,Dienste!$C$17,IF(U19=Dienste!$A$18,Dienste!$C$18,IF(U19=Dienste!$A$19,Dienste!$C$19,IF(U19=Dienste!$A$20,Dienste!$C$20,IF(U19=Dienste!$A$21,Dienste!$C$21,IF(U19=Dienste!$A$22,Dienste!$C$22,IF(U19=Dienste!$A$23,Dienste!$C$23,IF(U19=Dienste!$A$24,Dienste!$C$24,IF(U19=Dienste!$A$25,Dienste!$C$25,IF(U19=Dienste!$A$26,Dienste!$C$26,IF(U19=Dienste!$A$27,Dienste!$C$27,IF(U19=Dienste!$A$28,Dienste!$C$28,IF(U19=Dienste!#REF!,Dienste!#REF!,IF(U19=Dienste!#REF!,Dienste!#REF!,IF(U19=Dienste!#REF!,Dienste!#REF!,IF(U19=Dienste!#REF!,Dienste!#REF!,IF(U19=Dienste!$A$33,Dienste!$C$33,IF(U19=Dienste!$A$34,Dienste!$C$34,IF(U19=Dienste!$A$35,Dienste!$C$35,IF(U19=Dienste!$A$36,Dienste!$C$36,)))))))))))))))))))))))))))))))))))</f>
        <v>8</v>
      </c>
      <c r="BP19" s="27">
        <f>IF(V19=Dienste!$A$2,Dienste!$C$2,IF(V19=Dienste!$A$3,Dienste!$C$3,IF(V19=Dienste!$A$4,Dienste!$C$4,IF(V19=Dienste!$A$5,Dienste!$C$5,IF(V19=Dienste!$A$6,Dienste!$C$6,IF(V19=Dienste!$A$7,Dienste!$C$7,IF(V19=Dienste!$A$8,Dienste!$C$8,IF(V19=Dienste!$A$9,Dienste!$C$9,IF(V19=Dienste!$A$10,Dienste!$C$10,IF(V19=Dienste!$A$11,Dienste!$C$11,IF(V19=Dienste!$A$12,Dienste!$C$12,IF(V19=Dienste!$A$13,Dienste!$C$13,IF(V19=Dienste!$A$14,Dienste!$C$14,IF(V19=Dienste!$A$15,Dienste!$C$15,IF(V19=Dienste!$A$16,Dienste!$C$16,IF(V19=Dienste!$A$17,Dienste!$C$17,IF(V19=Dienste!$A$18,Dienste!$C$18,IF(V19=Dienste!$A$19,Dienste!$C$19,IF(V19=Dienste!$A$20,Dienste!$C$20,IF(V19=Dienste!$A$21,Dienste!$C$21,IF(V19=Dienste!$A$22,Dienste!$C$22,IF(V19=Dienste!$A$23,Dienste!$C$23,IF(V19=Dienste!$A$24,Dienste!$C$24,IF(V19=Dienste!$A$25,Dienste!$C$25,IF(V19=Dienste!$A$26,Dienste!$C$26,IF(V19=Dienste!$A$27,Dienste!$C$27,IF(V19=Dienste!$A$28,Dienste!$C$28,IF(V19=Dienste!#REF!,Dienste!#REF!,IF(V19=Dienste!#REF!,Dienste!#REF!,IF(V19=Dienste!#REF!,Dienste!#REF!,IF(V19=Dienste!#REF!,Dienste!#REF!,IF(V19=Dienste!$A$33,Dienste!$C$33,IF(V19=Dienste!$A$34,Dienste!$C$34,IF(V19=Dienste!$A$35,Dienste!$C$35,IF(V19=Dienste!$A$36,Dienste!$C$36,)))))))))))))))))))))))))))))))))))</f>
        <v>8</v>
      </c>
      <c r="BQ19" s="27">
        <f>IF(W19=Dienste!$A$2,Dienste!$C$2,IF(W19=Dienste!$A$3,Dienste!$C$3,IF(W19=Dienste!$A$4,Dienste!$C$4,IF(W19=Dienste!$A$5,Dienste!$C$5,IF(W19=Dienste!$A$6,Dienste!$C$6,IF(W19=Dienste!$A$7,Dienste!$C$7,IF(W19=Dienste!$A$8,Dienste!$C$8,IF(W19=Dienste!$A$9,Dienste!$C$9,IF(W19=Dienste!$A$10,Dienste!$C$10,IF(W19=Dienste!$A$11,Dienste!$C$11,IF(W19=Dienste!$A$12,Dienste!$C$12,IF(W19=Dienste!$A$13,Dienste!$C$13,IF(W19=Dienste!$A$14,Dienste!$C$14,IF(W19=Dienste!$A$15,Dienste!$C$15,IF(W19=Dienste!$A$16,Dienste!$C$16,IF(W19=Dienste!$A$17,Dienste!$C$17,IF(W19=Dienste!$A$18,Dienste!$C$18,IF(W19=Dienste!$A$19,Dienste!$C$19,IF(W19=Dienste!$A$20,Dienste!$C$20,IF(W19=Dienste!$A$21,Dienste!$C$21,IF(W19=Dienste!$A$22,Dienste!$C$22,IF(W19=Dienste!$A$23,Dienste!$C$23,IF(W19=Dienste!$A$24,Dienste!$C$24,IF(W19=Dienste!$A$25,Dienste!$C$25,IF(W19=Dienste!$A$26,Dienste!$C$26,IF(W19=Dienste!$A$27,Dienste!$C$27,IF(W19=Dienste!$A$28,Dienste!$C$28,IF(W19=Dienste!#REF!,Dienste!#REF!,IF(W19=Dienste!#REF!,Dienste!#REF!,IF(W19=Dienste!#REF!,Dienste!#REF!,IF(W19=Dienste!#REF!,Dienste!#REF!,IF(W19=Dienste!$A$33,Dienste!$C$33,IF(W19=Dienste!$A$34,Dienste!$C$34,IF(W19=Dienste!$A$35,Dienste!$C$35,IF(W19=Dienste!$A$36,Dienste!$C$36,)))))))))))))))))))))))))))))))))))</f>
        <v>8</v>
      </c>
      <c r="BR19" s="27">
        <f>IF(X19=Dienste!$A$2,Dienste!$C$2,IF(X19=Dienste!$A$3,Dienste!$C$3,IF(X19=Dienste!$A$4,Dienste!$C$4,IF(X19=Dienste!$A$5,Dienste!$C$5,IF(X19=Dienste!$A$6,Dienste!$C$6,IF(X19=Dienste!$A$7,Dienste!$C$7,IF(X19=Dienste!$A$8,Dienste!$C$8,IF(X19=Dienste!$A$9,Dienste!$C$9,IF(X19=Dienste!$A$10,Dienste!$C$10,IF(X19=Dienste!$A$11,Dienste!$C$11,IF(X19=Dienste!$A$12,Dienste!$C$12,IF(X19=Dienste!$A$13,Dienste!$C$13,IF(X19=Dienste!$A$14,Dienste!$C$14,IF(X19=Dienste!$A$15,Dienste!$C$15,IF(X19=Dienste!$A$16,Dienste!$C$16,IF(X19=Dienste!$A$17,Dienste!$C$17,IF(X19=Dienste!$A$18,Dienste!$C$18,IF(X19=Dienste!$A$19,Dienste!$C$19,IF(X19=Dienste!$A$20,Dienste!$C$20,IF(X19=Dienste!$A$21,Dienste!$C$21,IF(X19=Dienste!$A$22,Dienste!$C$22,IF(X19=Dienste!$A$23,Dienste!$C$23,IF(X19=Dienste!$A$24,Dienste!$C$24,IF(X19=Dienste!$A$25,Dienste!$C$25,IF(X19=Dienste!$A$26,Dienste!$C$26,IF(X19=Dienste!$A$27,Dienste!$C$27,IF(X19=Dienste!$A$28,Dienste!$C$28,IF(X19=Dienste!#REF!,Dienste!#REF!,IF(X19=Dienste!#REF!,Dienste!#REF!,IF(X19=Dienste!#REF!,Dienste!#REF!,IF(X19=Dienste!#REF!,Dienste!#REF!,IF(X19=Dienste!$A$33,Dienste!$C$33,IF(X19=Dienste!$A$34,Dienste!$C$34,IF(X19=Dienste!$A$35,Dienste!$C$35,IF(X19=Dienste!$A$36,Dienste!$C$36,)))))))))))))))))))))))))))))))))))</f>
        <v>8</v>
      </c>
      <c r="BS19" s="27">
        <f>IF(Y19=Dienste!$A$2,Dienste!$C$2,IF(Y19=Dienste!$A$3,Dienste!$C$3,IF(Y19=Dienste!$A$4,Dienste!$C$4,IF(Y19=Dienste!$A$5,Dienste!$C$5,IF(Y19=Dienste!$A$6,Dienste!$C$6,IF(Y19=Dienste!$A$7,Dienste!$C$7,IF(Y19=Dienste!$A$8,Dienste!$C$8,IF(Y19=Dienste!$A$9,Dienste!$C$9,IF(Y19=Dienste!$A$10,Dienste!$C$10,IF(Y19=Dienste!$A$11,Dienste!$C$11,IF(Y19=Dienste!$A$12,Dienste!$C$12,IF(Y19=Dienste!$A$13,Dienste!$C$13,IF(Y19=Dienste!$A$14,Dienste!$C$14,IF(Y19=Dienste!$A$15,Dienste!$C$15,IF(Y19=Dienste!$A$16,Dienste!$C$16,IF(Y19=Dienste!$A$17,Dienste!$C$17,IF(Y19=Dienste!$A$18,Dienste!$C$18,IF(Y19=Dienste!$A$19,Dienste!$C$19,IF(Y19=Dienste!$A$20,Dienste!$C$20,IF(Y19=Dienste!$A$21,Dienste!$C$21,IF(Y19=Dienste!$A$22,Dienste!$C$22,IF(Y19=Dienste!$A$23,Dienste!$C$23,IF(Y19=Dienste!$A$24,Dienste!$C$24,IF(Y19=Dienste!$A$25,Dienste!$C$25,IF(Y19=Dienste!$A$26,Dienste!$C$26,IF(Y19=Dienste!$A$27,Dienste!$C$27,IF(Y19=Dienste!$A$28,Dienste!$C$28,IF(Y19=Dienste!#REF!,Dienste!#REF!,IF(Y19=Dienste!#REF!,Dienste!#REF!,IF(Y19=Dienste!#REF!,Dienste!#REF!,IF(Y19=Dienste!#REF!,Dienste!#REF!,IF(Y19=Dienste!$A$33,Dienste!$C$33,IF(Y19=Dienste!$A$34,Dienste!$C$34,IF(Y19=Dienste!$A$35,Dienste!$C$35,IF(Y19=Dienste!$A$36,Dienste!$C$36,)))))))))))))))))))))))))))))))))))</f>
        <v>0</v>
      </c>
      <c r="BT19" s="27">
        <f>IF(Z19=Dienste!$A$2,Dienste!$C$2,IF(Z19=Dienste!$A$3,Dienste!$C$3,IF(Z19=Dienste!$A$4,Dienste!$C$4,IF(Z19=Dienste!$A$5,Dienste!$C$5,IF(Z19=Dienste!$A$6,Dienste!$C$6,IF(Z19=Dienste!$A$7,Dienste!$C$7,IF(Z19=Dienste!$A$8,Dienste!$C$8,IF(Z19=Dienste!$A$9,Dienste!$C$9,IF(Z19=Dienste!$A$10,Dienste!$C$10,IF(Z19=Dienste!$A$11,Dienste!$C$11,IF(Z19=Dienste!$A$12,Dienste!$C$12,IF(Z19=Dienste!$A$13,Dienste!$C$13,IF(Z19=Dienste!$A$14,Dienste!$C$14,IF(Z19=Dienste!$A$15,Dienste!$C$15,IF(Z19=Dienste!$A$16,Dienste!$C$16,IF(Z19=Dienste!$A$17,Dienste!$C$17,IF(Z19=Dienste!$A$18,Dienste!$C$18,IF(Z19=Dienste!$A$19,Dienste!$C$19,IF(Z19=Dienste!$A$20,Dienste!$C$20,IF(Z19=Dienste!$A$21,Dienste!$C$21,IF(Z19=Dienste!$A$22,Dienste!$C$22,IF(Z19=Dienste!$A$23,Dienste!$C$23,IF(Z19=Dienste!$A$24,Dienste!$C$24,IF(Z19=Dienste!$A$25,Dienste!$C$25,IF(Z19=Dienste!$A$26,Dienste!$C$26,IF(Z19=Dienste!$A$27,Dienste!$C$27,IF(Z19=Dienste!$A$28,Dienste!$C$28,IF(Z19=Dienste!#REF!,Dienste!#REF!,IF(Z19=Dienste!#REF!,Dienste!#REF!,IF(Z19=Dienste!#REF!,Dienste!#REF!,IF(Z19=Dienste!#REF!,Dienste!#REF!,IF(Z19=Dienste!$A$33,Dienste!$C$33,IF(Z19=Dienste!$A$34,Dienste!$C$34,IF(Z19=Dienste!$A$35,Dienste!$C$35,IF(Z19=Dienste!$A$36,Dienste!$C$36,)))))))))))))))))))))))))))))))))))</f>
        <v>0</v>
      </c>
      <c r="BU19" s="27">
        <f>IF(AA19=Dienste!$A$2,Dienste!$C$2,IF(AA19=Dienste!$A$3,Dienste!$C$3,IF(AA19=Dienste!$A$4,Dienste!$C$4,IF(AA19=Dienste!$A$5,Dienste!$C$5,IF(AA19=Dienste!$A$6,Dienste!$C$6,IF(AA19=Dienste!$A$7,Dienste!$C$7,IF(AA19=Dienste!$A$8,Dienste!$C$8,IF(AA19=Dienste!$A$9,Dienste!$C$9,IF(AA19=Dienste!$A$10,Dienste!$C$10,IF(AA19=Dienste!$A$11,Dienste!$C$11,IF(AA19=Dienste!$A$12,Dienste!$C$12,IF(AA19=Dienste!$A$13,Dienste!$C$13,IF(AA19=Dienste!$A$14,Dienste!$C$14,IF(AA19=Dienste!$A$15,Dienste!$C$15,IF(AA19=Dienste!$A$16,Dienste!$C$16,IF(AA19=Dienste!$A$17,Dienste!$C$17,IF(AA19=Dienste!$A$18,Dienste!$C$18,IF(AA19=Dienste!$A$19,Dienste!$C$19,IF(AA19=Dienste!$A$20,Dienste!$C$20,IF(AA19=Dienste!$A$21,Dienste!$C$21,IF(AA19=Dienste!$A$22,Dienste!$C$22,IF(AA19=Dienste!$A$23,Dienste!$C$23,IF(AA19=Dienste!$A$24,Dienste!$C$24,IF(AA19=Dienste!$A$25,Dienste!$C$25,IF(AA19=Dienste!$A$26,Dienste!$C$26,IF(AA19=Dienste!$A$27,Dienste!$C$27,IF(AA19=Dienste!$A$28,Dienste!$C$28,IF(AA19=Dienste!#REF!,Dienste!#REF!,IF(AA19=Dienste!#REF!,Dienste!#REF!,IF(AA19=Dienste!#REF!,Dienste!#REF!,IF(AA19=Dienste!#REF!,Dienste!#REF!,IF(AA19=Dienste!$A$33,Dienste!$C$33,IF(AA19=Dienste!$A$34,Dienste!$C$34,IF(AA19=Dienste!$A$35,Dienste!$C$35,IF(AA19=Dienste!$A$36,Dienste!$C$36,)))))))))))))))))))))))))))))))))))</f>
        <v>8</v>
      </c>
      <c r="BV19" s="27">
        <f>IF(AB19=Dienste!$A$2,Dienste!$C$2,IF(AB19=Dienste!$A$3,Dienste!$C$3,IF(AB19=Dienste!$A$4,Dienste!$C$4,IF(AB19=Dienste!$A$5,Dienste!$C$5,IF(AB19=Dienste!$A$6,Dienste!$C$6,IF(AB19=Dienste!$A$7,Dienste!$C$7,IF(AB19=Dienste!$A$8,Dienste!$C$8,IF(AB19=Dienste!$A$9,Dienste!$C$9,IF(AB19=Dienste!$A$10,Dienste!$C$10,IF(AB19=Dienste!$A$11,Dienste!$C$11,IF(AB19=Dienste!$A$12,Dienste!$C$12,IF(AB19=Dienste!$A$13,Dienste!$C$13,IF(AB19=Dienste!$A$14,Dienste!$C$14,IF(AB19=Dienste!$A$15,Dienste!$C$15,IF(AB19=Dienste!$A$16,Dienste!$C$16,IF(AB19=Dienste!$A$17,Dienste!$C$17,IF(AB19=Dienste!$A$18,Dienste!$C$18,IF(AB19=Dienste!$A$19,Dienste!$C$19,IF(AB19=Dienste!$A$20,Dienste!$C$20,IF(AB19=Dienste!$A$21,Dienste!$C$21,IF(AB19=Dienste!$A$22,Dienste!$C$22,IF(AB19=Dienste!$A$23,Dienste!$C$23,IF(AB19=Dienste!$A$24,Dienste!$C$24,IF(AB19=Dienste!$A$25,Dienste!$C$25,IF(AB19=Dienste!$A$26,Dienste!$C$26,IF(AB19=Dienste!$A$27,Dienste!$C$27,IF(AB19=Dienste!$A$28,Dienste!$C$28,IF(AB19=Dienste!#REF!,Dienste!#REF!,IF(AB19=Dienste!#REF!,Dienste!#REF!,IF(AB19=Dienste!#REF!,Dienste!#REF!,IF(AB19=Dienste!#REF!,Dienste!#REF!,IF(AB19=Dienste!$A$33,Dienste!$C$33,IF(AB19=Dienste!$A$34,Dienste!$C$34,IF(AB19=Dienste!$A$35,Dienste!$C$35,IF(AB19=Dienste!$A$36,Dienste!$C$36,)))))))))))))))))))))))))))))))))))</f>
        <v>8</v>
      </c>
      <c r="BW19" s="27">
        <f>IF(AC19=Dienste!$A$2,Dienste!$C$2,IF(AC19=Dienste!$A$3,Dienste!$C$3,IF(AC19=Dienste!$A$4,Dienste!$C$4,IF(AC19=Dienste!$A$5,Dienste!$C$5,IF(AC19=Dienste!$A$6,Dienste!$C$6,IF(AC19=Dienste!$A$7,Dienste!$C$7,IF(AC19=Dienste!$A$8,Dienste!$C$8,IF(AC19=Dienste!$A$9,Dienste!$C$9,IF(AC19=Dienste!$A$10,Dienste!$C$10,IF(AC19=Dienste!$A$11,Dienste!$C$11,IF(AC19=Dienste!$A$12,Dienste!$C$12,IF(AC19=Dienste!$A$13,Dienste!$C$13,IF(AC19=Dienste!$A$14,Dienste!$C$14,IF(AC19=Dienste!$A$15,Dienste!$C$15,IF(AC19=Dienste!$A$16,Dienste!$C$16,IF(AC19=Dienste!$A$17,Dienste!$C$17,IF(AC19=Dienste!$A$18,Dienste!$C$18,IF(AC19=Dienste!$A$19,Dienste!$C$19,IF(AC19=Dienste!$A$20,Dienste!$C$20,IF(AC19=Dienste!$A$21,Dienste!$C$21,IF(AC19=Dienste!$A$22,Dienste!$C$22,IF(AC19=Dienste!$A$23,Dienste!$C$23,IF(AC19=Dienste!$A$24,Dienste!$C$24,IF(AC19=Dienste!$A$25,Dienste!$C$25,IF(AC19=Dienste!$A$26,Dienste!$C$26,IF(AC19=Dienste!$A$27,Dienste!$C$27,IF(AC19=Dienste!$A$28,Dienste!$C$28,IF(AC19=Dienste!#REF!,Dienste!#REF!,IF(AC19=Dienste!#REF!,Dienste!#REF!,IF(AC19=Dienste!#REF!,Dienste!#REF!,IF(AC19=Dienste!#REF!,Dienste!#REF!,IF(AC19=Dienste!$A$33,Dienste!$C$33,IF(AC19=Dienste!$A$34,Dienste!$C$34,IF(AC19=Dienste!$A$35,Dienste!$C$35,IF(AC19=Dienste!$A$36,Dienste!$C$36,)))))))))))))))))))))))))))))))))))</f>
        <v>8</v>
      </c>
      <c r="BX19" s="27">
        <f>IF(AD19=Dienste!$A$2,Dienste!$C$2,IF(AD19=Dienste!$A$3,Dienste!$C$3,IF(AD19=Dienste!$A$4,Dienste!$C$4,IF(AD19=Dienste!$A$5,Dienste!$C$5,IF(AD19=Dienste!$A$6,Dienste!$C$6,IF(AD19=Dienste!$A$7,Dienste!$C$7,IF(AD19=Dienste!$A$8,Dienste!$C$8,IF(AD19=Dienste!$A$9,Dienste!$C$9,IF(AD19=Dienste!$A$10,Dienste!$C$10,IF(AD19=Dienste!$A$11,Dienste!$C$11,IF(AD19=Dienste!$A$12,Dienste!$C$12,IF(AD19=Dienste!$A$13,Dienste!$C$13,IF(AD19=Dienste!$A$14,Dienste!$C$14,IF(AD19=Dienste!$A$15,Dienste!$C$15,IF(AD19=Dienste!$A$16,Dienste!$C$16,IF(AD19=Dienste!$A$17,Dienste!$C$17,IF(AD19=Dienste!$A$18,Dienste!$C$18,IF(AD19=Dienste!$A$19,Dienste!$C$19,IF(AD19=Dienste!$A$20,Dienste!$C$20,IF(AD19=Dienste!$A$21,Dienste!$C$21,IF(AD19=Dienste!$A$22,Dienste!$C$22,IF(AD19=Dienste!$A$23,Dienste!$C$23,IF(AD19=Dienste!$A$24,Dienste!$C$24,IF(AD19=Dienste!$A$25,Dienste!$C$25,IF(AD19=Dienste!$A$26,Dienste!$C$26,IF(AD19=Dienste!$A$27,Dienste!$C$27,IF(AD19=Dienste!$A$28,Dienste!$C$28,IF(AD19=Dienste!#REF!,Dienste!#REF!,IF(AD19=Dienste!#REF!,Dienste!#REF!,IF(AD19=Dienste!#REF!,Dienste!#REF!,IF(AD19=Dienste!#REF!,Dienste!#REF!,IF(AD19=Dienste!$A$33,Dienste!$C$33,IF(AD19=Dienste!$A$34,Dienste!$C$34,IF(AD19=Dienste!$A$35,Dienste!$C$35,IF(AD19=Dienste!$A$36,Dienste!$C$36,)))))))))))))))))))))))))))))))))))</f>
        <v>8</v>
      </c>
      <c r="BY19" s="27">
        <f>IF(AE19=Dienste!$A$2,Dienste!$C$2,IF(AE19=Dienste!$A$3,Dienste!$C$3,IF(AE19=Dienste!$A$4,Dienste!$C$4,IF(AE19=Dienste!$A$5,Dienste!$C$5,IF(AE19=Dienste!$A$6,Dienste!$C$6,IF(AE19=Dienste!$A$7,Dienste!$C$7,IF(AE19=Dienste!$A$8,Dienste!$C$8,IF(AE19=Dienste!$A$9,Dienste!$C$9,IF(AE19=Dienste!$A$10,Dienste!$C$10,IF(AE19=Dienste!$A$11,Dienste!$C$11,IF(AE19=Dienste!$A$12,Dienste!$C$12,IF(AE19=Dienste!$A$13,Dienste!$C$13,IF(AE19=Dienste!$A$14,Dienste!$C$14,IF(AE19=Dienste!$A$15,Dienste!$C$15,IF(AE19=Dienste!$A$16,Dienste!$C$16,IF(AE19=Dienste!$A$17,Dienste!$C$17,IF(AE19=Dienste!$A$18,Dienste!$C$18,IF(AE19=Dienste!$A$19,Dienste!$C$19,IF(AE19=Dienste!$A$20,Dienste!$C$20,IF(AE19=Dienste!$A$21,Dienste!$C$21,IF(AE19=Dienste!$A$22,Dienste!$C$22,IF(AE19=Dienste!$A$23,Dienste!$C$23,IF(AE19=Dienste!$A$24,Dienste!$C$24,IF(AE19=Dienste!$A$25,Dienste!$C$25,IF(AE19=Dienste!$A$26,Dienste!$C$26,IF(AE19=Dienste!$A$27,Dienste!$C$27,IF(AE19=Dienste!$A$28,Dienste!$C$28,IF(AE19=Dienste!#REF!,Dienste!#REF!,IF(AE19=Dienste!#REF!,Dienste!#REF!,IF(AE19=Dienste!#REF!,Dienste!#REF!,IF(AE19=Dienste!#REF!,Dienste!#REF!,IF(AE19=Dienste!$A$33,Dienste!$C$33,IF(AE19=Dienste!$A$34,Dienste!$C$34,IF(AE19=Dienste!$A$35,Dienste!$C$35,IF(AE19=Dienste!$A$36,Dienste!$C$36,)))))))))))))))))))))))))))))))))))</f>
        <v>8</v>
      </c>
      <c r="BZ19" s="27">
        <f>IF(AF19=Dienste!$A$2,Dienste!$C$2,IF(AF19=Dienste!$A$3,Dienste!$C$3,IF(AF19=Dienste!$A$4,Dienste!$C$4,IF(AF19=Dienste!$A$5,Dienste!$C$5,IF(AF19=Dienste!$A$6,Dienste!$C$6,IF(AF19=Dienste!$A$7,Dienste!$C$7,IF(AF19=Dienste!$A$8,Dienste!$C$8,IF(AF19=Dienste!$A$9,Dienste!$C$9,IF(AF19=Dienste!$A$10,Dienste!$C$10,IF(AF19=Dienste!$A$11,Dienste!$C$11,IF(AF19=Dienste!$A$12,Dienste!$C$12,IF(AF19=Dienste!$A$13,Dienste!$C$13,IF(AF19=Dienste!$A$14,Dienste!$C$14,IF(AF19=Dienste!$A$15,Dienste!$C$15,IF(AF19=Dienste!$A$16,Dienste!$C$16,IF(AF19=Dienste!$A$17,Dienste!$C$17,IF(AF19=Dienste!$A$18,Dienste!$C$18,IF(AF19=Dienste!$A$19,Dienste!$C$19,IF(AF19=Dienste!$A$20,Dienste!$C$20,IF(AF19=Dienste!$A$21,Dienste!$C$21,IF(AF19=Dienste!$A$22,Dienste!$C$22,IF(AF19=Dienste!$A$23,Dienste!$C$23,IF(AF19=Dienste!$A$24,Dienste!$C$24,IF(AF19=Dienste!$A$25,Dienste!$C$25,IF(AF19=Dienste!$A$26,Dienste!$C$26,IF(AF19=Dienste!$A$27,Dienste!$C$27,IF(AF19=Dienste!$A$28,Dienste!$C$28,IF(AF19=Dienste!#REF!,Dienste!#REF!,IF(AF19=Dienste!#REF!,Dienste!#REF!,IF(AF19=Dienste!#REF!,Dienste!#REF!,IF(AF19=Dienste!#REF!,Dienste!#REF!,IF(AF19=Dienste!$A$33,Dienste!$C$33,IF(AF19=Dienste!$A$34,Dienste!$C$34,IF(AF19=Dienste!$A$35,Dienste!$C$35,IF(AF19=Dienste!$A$36,Dienste!$C$36,)))))))))))))))))))))))))))))))))))</f>
        <v>0</v>
      </c>
      <c r="CA19" s="27">
        <f>IF(AG19=Dienste!$A$2,Dienste!$C$2,IF(AG19=Dienste!$A$3,Dienste!$C$3,IF(AG19=Dienste!$A$4,Dienste!$C$4,IF(AG19=Dienste!$A$5,Dienste!$C$5,IF(AG19=Dienste!$A$6,Dienste!$C$6,IF(AG19=Dienste!$A$7,Dienste!$C$7,IF(AG19=Dienste!$A$8,Dienste!$C$8,IF(AG19=Dienste!$A$9,Dienste!$C$9,IF(AG19=Dienste!$A$10,Dienste!$C$10,IF(AG19=Dienste!$A$11,Dienste!$C$11,IF(AG19=Dienste!$A$12,Dienste!$C$12,IF(AG19=Dienste!$A$13,Dienste!$C$13,IF(AG19=Dienste!$A$14,Dienste!$C$14,IF(AG19=Dienste!$A$15,Dienste!$C$15,IF(AG19=Dienste!$A$16,Dienste!$C$16,IF(AG19=Dienste!$A$17,Dienste!$C$17,IF(AG19=Dienste!$A$18,Dienste!$C$18,IF(AG19=Dienste!$A$19,Dienste!$C$19,IF(AG19=Dienste!$A$20,Dienste!$C$20,IF(AG19=Dienste!$A$21,Dienste!$C$21,IF(AG19=Dienste!$A$22,Dienste!$C$22,IF(AG19=Dienste!$A$23,Dienste!$C$23,IF(AG19=Dienste!$A$24,Dienste!$C$24,IF(AG19=Dienste!$A$25,Dienste!$C$25,IF(AG19=Dienste!$A$26,Dienste!$C$26,IF(AG19=Dienste!$A$27,Dienste!$C$27,IF(AG19=Dienste!$A$28,Dienste!$C$28,IF(AG19=Dienste!#REF!,Dienste!#REF!,IF(AG19=Dienste!#REF!,Dienste!#REF!,IF(AG19=Dienste!#REF!,Dienste!#REF!,IF(AG19=Dienste!#REF!,Dienste!#REF!,IF(AG19=Dienste!$A$33,Dienste!$C$33,IF(AG19=Dienste!$A$34,Dienste!$C$34,IF(AG19=Dienste!$A$35,Dienste!$C$35,IF(AG19=Dienste!$A$36,Dienste!$C$36,)))))))))))))))))))))))))))))))))))</f>
        <v>0</v>
      </c>
      <c r="CB19" s="27">
        <f>IF(AH19=Dienste!$A$2,Dienste!$C$2,IF(AH19=Dienste!$A$3,Dienste!$C$3,IF(AH19=Dienste!$A$4,Dienste!$C$4,IF(AH19=Dienste!$A$5,Dienste!$C$5,IF(AH19=Dienste!$A$6,Dienste!$C$6,IF(AH19=Dienste!$A$7,Dienste!$C$7,IF(AH19=Dienste!$A$8,Dienste!$C$8,IF(AH19=Dienste!$A$9,Dienste!$C$9,IF(AH19=Dienste!$A$10,Dienste!$C$10,IF(AH19=Dienste!$A$11,Dienste!$C$11,IF(AH19=Dienste!$A$12,Dienste!$C$12,IF(AH19=Dienste!$A$13,Dienste!$C$13,IF(AH19=Dienste!$A$14,Dienste!$C$14,IF(AH19=Dienste!$A$15,Dienste!$C$15,IF(AH19=Dienste!$A$16,Dienste!$C$16,IF(AH19=Dienste!$A$17,Dienste!$C$17,IF(AH19=Dienste!$A$18,Dienste!$C$18,IF(AH19=Dienste!$A$19,Dienste!$C$19,IF(AH19=Dienste!$A$20,Dienste!$C$20,IF(AH19=Dienste!$A$21,Dienste!$C$21,IF(AH19=Dienste!$A$22,Dienste!$C$22,IF(AH19=Dienste!$A$23,Dienste!$C$23,IF(AH19=Dienste!$A$24,Dienste!$C$24,IF(AH19=Dienste!$A$25,Dienste!$C$25,IF(AH19=Dienste!$A$26,Dienste!$C$26,IF(AH19=Dienste!$A$27,Dienste!$C$27,IF(AH19=Dienste!$A$28,Dienste!$C$28,IF(AH19=Dienste!#REF!,Dienste!#REF!,IF(AH19=Dienste!#REF!,Dienste!#REF!,IF(AH19=Dienste!#REF!,Dienste!#REF!,IF(AH19=Dienste!#REF!,Dienste!#REF!,IF(AH19=Dienste!$A$33,Dienste!$C$33,IF(AH19=Dienste!$A$34,Dienste!$C$34,IF(AH19=Dienste!$A$35,Dienste!$C$35,IF(AH19=Dienste!$A$36,Dienste!$C$36,)))))))))))))))))))))))))))))))))))</f>
        <v>8</v>
      </c>
      <c r="CC19" s="27" t="e">
        <f>IF(AI19=Dienste!$A$2,Dienste!$C$2,IF(AI19=Dienste!$A$3,Dienste!$C$3,IF(AI19=Dienste!$A$4,Dienste!$C$4,IF(AI19=Dienste!$A$5,Dienste!$C$5,IF(AI19=Dienste!$A$6,Dienste!$C$6,IF(AI19=Dienste!$A$7,Dienste!$C$7,IF(AI19=Dienste!$A$8,Dienste!$C$8,IF(AI19=Dienste!$A$9,Dienste!$C$9,IF(AI19=Dienste!$A$10,Dienste!$C$10,IF(AI19=Dienste!$A$11,Dienste!$C$11,IF(AI19=Dienste!$A$12,Dienste!$C$12,IF(AI19=Dienste!$A$13,Dienste!$C$13,IF(AI19=Dienste!$A$14,Dienste!$C$14,IF(AI19=Dienste!$A$15,Dienste!$C$15,IF(AI19=Dienste!$A$16,Dienste!$C$16,IF(AI19=Dienste!$A$17,Dienste!$C$17,IF(AI19=Dienste!$A$18,Dienste!$C$18,IF(AI19=Dienste!$A$19,Dienste!$C$19,IF(AI19=Dienste!$A$20,Dienste!$C$20,IF(AI19=Dienste!$A$21,Dienste!$C$21,IF(AI19=Dienste!$A$22,Dienste!$C$22,IF(AI19=Dienste!$A$23,Dienste!$C$23,IF(AI19=Dienste!$A$24,Dienste!$C$24,IF(AI19=Dienste!$A$25,Dienste!$C$25,IF(AI19=Dienste!$A$26,Dienste!$C$26,IF(AI19=Dienste!$A$27,Dienste!$C$27,IF(AI19=Dienste!$A$28,Dienste!$C$28,IF(AI19=Dienste!#REF!,Dienste!#REF!,IF(AI19=Dienste!#REF!,Dienste!#REF!,IF(AI19=Dienste!#REF!,Dienste!#REF!,IF(AI19=Dienste!#REF!,Dienste!#REF!,IF(AI19=Dienste!$A$33,Dienste!$C$33,IF(AI19=Dienste!$A$34,Dienste!$C$34,IF(AI19=Dienste!$A$35,Dienste!$C$35,IF(AI19=Dienste!$A$36,Dienste!$C$36,)))))))))))))))))))))))))))))))))))</f>
        <v>#REF!</v>
      </c>
    </row>
    <row r="20" spans="1:81" x14ac:dyDescent="0.25">
      <c r="A20" s="109" t="s">
        <v>342</v>
      </c>
      <c r="B20" s="15" t="s">
        <v>230</v>
      </c>
      <c r="C20" s="15">
        <v>40</v>
      </c>
      <c r="D20" s="98">
        <v>0</v>
      </c>
      <c r="E20" s="104" t="s">
        <v>83</v>
      </c>
      <c r="F20" s="9" t="s">
        <v>31</v>
      </c>
      <c r="G20" s="9" t="s">
        <v>31</v>
      </c>
      <c r="H20" s="9" t="s">
        <v>31</v>
      </c>
      <c r="I20" s="9" t="s">
        <v>31</v>
      </c>
      <c r="J20" s="9" t="s">
        <v>31</v>
      </c>
      <c r="K20" s="9" t="s">
        <v>83</v>
      </c>
      <c r="L20" s="9" t="s">
        <v>83</v>
      </c>
      <c r="M20" s="9" t="s">
        <v>31</v>
      </c>
      <c r="N20" s="9" t="s">
        <v>31</v>
      </c>
      <c r="O20" s="9" t="s">
        <v>31</v>
      </c>
      <c r="P20" s="9" t="s">
        <v>31</v>
      </c>
      <c r="Q20" s="9" t="s">
        <v>31</v>
      </c>
      <c r="R20" s="9" t="s">
        <v>83</v>
      </c>
      <c r="S20" s="9" t="s">
        <v>83</v>
      </c>
      <c r="T20" s="9" t="s">
        <v>31</v>
      </c>
      <c r="U20" s="9" t="s">
        <v>31</v>
      </c>
      <c r="V20" s="9" t="s">
        <v>31</v>
      </c>
      <c r="W20" s="9" t="s">
        <v>31</v>
      </c>
      <c r="X20" s="9" t="s">
        <v>31</v>
      </c>
      <c r="Y20" s="9" t="s">
        <v>83</v>
      </c>
      <c r="Z20" s="9" t="s">
        <v>83</v>
      </c>
      <c r="AA20" s="9" t="s">
        <v>31</v>
      </c>
      <c r="AB20" s="9" t="s">
        <v>31</v>
      </c>
      <c r="AC20" s="9" t="s">
        <v>31</v>
      </c>
      <c r="AD20" s="9" t="s">
        <v>31</v>
      </c>
      <c r="AE20" s="9" t="s">
        <v>31</v>
      </c>
      <c r="AF20" s="9" t="s">
        <v>83</v>
      </c>
      <c r="AG20" s="9" t="s">
        <v>83</v>
      </c>
      <c r="AH20" s="9" t="s">
        <v>31</v>
      </c>
      <c r="AI20" s="15"/>
      <c r="AJ20" s="109">
        <v>0</v>
      </c>
      <c r="AK20" s="15">
        <v>168</v>
      </c>
      <c r="AL20" s="109">
        <v>168</v>
      </c>
      <c r="AM20" s="15">
        <v>0</v>
      </c>
      <c r="AN20" s="170">
        <v>0</v>
      </c>
      <c r="AO20" s="109">
        <v>0</v>
      </c>
      <c r="AP20" s="15">
        <v>0</v>
      </c>
      <c r="AQ20" s="98">
        <v>5</v>
      </c>
      <c r="AR20" s="109">
        <v>48</v>
      </c>
      <c r="AS20" s="15">
        <v>36.444444444444443</v>
      </c>
      <c r="AT20" s="98">
        <v>9</v>
      </c>
      <c r="AU20" s="96" t="e">
        <f t="shared" si="2"/>
        <v>#REF!</v>
      </c>
      <c r="AV20" s="27" t="e">
        <f t="shared" si="0"/>
        <v>#REF!</v>
      </c>
      <c r="AW20" s="58" t="e">
        <f t="shared" si="1"/>
        <v>#REF!</v>
      </c>
      <c r="AY20" s="27">
        <f>IF(E20=Dienste!$A$2,Dienste!$C$2,IF(E20=Dienste!$A$3,Dienste!$C$3,IF(E20=Dienste!$A$4,Dienste!$C$4,IF(E20=Dienste!$A$5,Dienste!$C$5,IF(E20=Dienste!$A$6,Dienste!$C$6,IF(E20=Dienste!$A$7,Dienste!$C$7,IF(E20=Dienste!$A$8,Dienste!$C$8,IF(E20=Dienste!$A$9,Dienste!$C$9,IF(E20=Dienste!$A$10,Dienste!$C$10,IF(E20=Dienste!$A$11,Dienste!$C$11,IF(E20=Dienste!$A$12,Dienste!$C$12,IF(E20=Dienste!$A$13,Dienste!$C$13,IF(E20=Dienste!$A$14,Dienste!$C$14,IF(E20=Dienste!$A$15,Dienste!$C$15,IF(E20=Dienste!$A$16,Dienste!$C$16,IF(E20=Dienste!$A$17,Dienste!$C$17,IF(E20=Dienste!$A$18,Dienste!$C$18,IF(E20=Dienste!$A$19,Dienste!$C$19,IF(E20=Dienste!$A$20,Dienste!$C$20,IF(E20=Dienste!$A$21,Dienste!$C$21,IF(E20=Dienste!$A$22,Dienste!$C$22,IF(E20=Dienste!$A$23,Dienste!$C$23,IF(E20=Dienste!$A$24,Dienste!$C$24,IF(E20=Dienste!$A$25,Dienste!$C$25,IF(E20=Dienste!$A$26,Dienste!$C$26,IF(E20=Dienste!$A$27,Dienste!$C$27,IF(E20=Dienste!$A$28,Dienste!$C$28,IF(E20=Dienste!#REF!,Dienste!#REF!,IF(E20=Dienste!#REF!,Dienste!#REF!,IF(E20=Dienste!#REF!,Dienste!#REF!,IF(E20=Dienste!#REF!,Dienste!#REF!,IF(E20=Dienste!$A$33,Dienste!$C$33,IF(E20=Dienste!$A$34,Dienste!$C$34,IF(E20=Dienste!$A$35,Dienste!$C$35,IF(E20=Dienste!$A$36,Dienste!$C$36,)))))))))))))))))))))))))))))))))))</f>
        <v>0</v>
      </c>
      <c r="AZ20" s="27">
        <f>IF(F20=Dienste!$A$2,Dienste!$C$2,IF(F20=Dienste!$A$3,Dienste!$C$3,IF(F20=Dienste!$A$4,Dienste!$C$4,IF(F20=Dienste!$A$5,Dienste!$C$5,IF(F20=Dienste!$A$6,Dienste!$C$6,IF(F20=Dienste!$A$7,Dienste!$C$7,IF(F20=Dienste!$A$8,Dienste!$C$8,IF(F20=Dienste!$A$9,Dienste!$C$9,IF(F20=Dienste!$A$10,Dienste!$C$10,IF(F20=Dienste!$A$11,Dienste!$C$11,IF(F20=Dienste!$A$12,Dienste!$C$12,IF(F20=Dienste!$A$13,Dienste!$C$13,IF(F20=Dienste!$A$14,Dienste!$C$14,IF(F20=Dienste!$A$15,Dienste!$C$15,IF(F20=Dienste!$A$16,Dienste!$C$16,IF(F20=Dienste!$A$17,Dienste!$C$17,IF(F20=Dienste!$A$18,Dienste!$C$18,IF(F20=Dienste!$A$19,Dienste!$C$19,IF(F20=Dienste!$A$20,Dienste!$C$20,IF(F20=Dienste!$A$21,Dienste!$C$21,IF(F20=Dienste!$A$22,Dienste!$C$22,IF(F20=Dienste!$A$23,Dienste!$C$23,IF(F20=Dienste!$A$24,Dienste!$C$24,IF(F20=Dienste!$A$25,Dienste!$C$25,IF(F20=Dienste!$A$26,Dienste!$C$26,IF(F20=Dienste!$A$27,Dienste!$C$27,IF(F20=Dienste!$A$28,Dienste!$C$28,IF(F20=Dienste!#REF!,Dienste!#REF!,IF(F20=Dienste!#REF!,Dienste!#REF!,IF(F20=Dienste!#REF!,Dienste!#REF!,IF(F20=Dienste!#REF!,Dienste!#REF!,IF(F20=Dienste!$A$33,Dienste!$C$33,IF(F20=Dienste!$A$34,Dienste!$C$34,IF(F20=Dienste!$A$35,Dienste!$C$35,IF(F20=Dienste!$A$36,Dienste!$C$36,)))))))))))))))))))))))))))))))))))</f>
        <v>8</v>
      </c>
      <c r="BA20" s="27">
        <f>IF(G20=Dienste!$A$2,Dienste!$C$2,IF(G20=Dienste!$A$3,Dienste!$C$3,IF(G20=Dienste!$A$4,Dienste!$C$4,IF(G20=Dienste!$A$5,Dienste!$C$5,IF(G20=Dienste!$A$6,Dienste!$C$6,IF(G20=Dienste!$A$7,Dienste!$C$7,IF(G20=Dienste!$A$8,Dienste!$C$8,IF(G20=Dienste!$A$9,Dienste!$C$9,IF(G20=Dienste!$A$10,Dienste!$C$10,IF(G20=Dienste!$A$11,Dienste!$C$11,IF(G20=Dienste!$A$12,Dienste!$C$12,IF(G20=Dienste!$A$13,Dienste!$C$13,IF(G20=Dienste!$A$14,Dienste!$C$14,IF(G20=Dienste!$A$15,Dienste!$C$15,IF(G20=Dienste!$A$16,Dienste!$C$16,IF(G20=Dienste!$A$17,Dienste!$C$17,IF(G20=Dienste!$A$18,Dienste!$C$18,IF(G20=Dienste!$A$19,Dienste!$C$19,IF(G20=Dienste!$A$20,Dienste!$C$20,IF(G20=Dienste!$A$21,Dienste!$C$21,IF(G20=Dienste!$A$22,Dienste!$C$22,IF(G20=Dienste!$A$23,Dienste!$C$23,IF(G20=Dienste!$A$24,Dienste!$C$24,IF(G20=Dienste!$A$25,Dienste!$C$25,IF(G20=Dienste!$A$26,Dienste!$C$26,IF(G20=Dienste!$A$27,Dienste!$C$27,IF(G20=Dienste!$A$28,Dienste!$C$28,IF(G20=Dienste!#REF!,Dienste!#REF!,IF(G20=Dienste!#REF!,Dienste!#REF!,IF(G20=Dienste!#REF!,Dienste!#REF!,IF(G20=Dienste!#REF!,Dienste!#REF!,IF(G20=Dienste!$A$33,Dienste!$C$33,IF(G20=Dienste!$A$34,Dienste!$C$34,IF(G20=Dienste!$A$35,Dienste!$C$35,IF(G20=Dienste!$A$36,Dienste!$C$36,)))))))))))))))))))))))))))))))))))</f>
        <v>8</v>
      </c>
      <c r="BB20" s="27">
        <f>IF(H20=Dienste!$A$2,Dienste!$C$2,IF(H20=Dienste!$A$3,Dienste!$C$3,IF(H20=Dienste!$A$4,Dienste!$C$4,IF(H20=Dienste!$A$5,Dienste!$C$5,IF(H20=Dienste!$A$6,Dienste!$C$6,IF(H20=Dienste!$A$7,Dienste!$C$7,IF(H20=Dienste!$A$8,Dienste!$C$8,IF(H20=Dienste!$A$9,Dienste!$C$9,IF(H20=Dienste!$A$10,Dienste!$C$10,IF(H20=Dienste!$A$11,Dienste!$C$11,IF(H20=Dienste!$A$12,Dienste!$C$12,IF(H20=Dienste!$A$13,Dienste!$C$13,IF(H20=Dienste!$A$14,Dienste!$C$14,IF(H20=Dienste!$A$15,Dienste!$C$15,IF(H20=Dienste!$A$16,Dienste!$C$16,IF(H20=Dienste!$A$17,Dienste!$C$17,IF(H20=Dienste!$A$18,Dienste!$C$18,IF(H20=Dienste!$A$19,Dienste!$C$19,IF(H20=Dienste!$A$20,Dienste!$C$20,IF(H20=Dienste!$A$21,Dienste!$C$21,IF(H20=Dienste!$A$22,Dienste!$C$22,IF(H20=Dienste!$A$23,Dienste!$C$23,IF(H20=Dienste!$A$24,Dienste!$C$24,IF(H20=Dienste!$A$25,Dienste!$C$25,IF(H20=Dienste!$A$26,Dienste!$C$26,IF(H20=Dienste!$A$27,Dienste!$C$27,IF(H20=Dienste!$A$28,Dienste!$C$28,IF(H20=Dienste!#REF!,Dienste!#REF!,IF(H20=Dienste!#REF!,Dienste!#REF!,IF(H20=Dienste!#REF!,Dienste!#REF!,IF(H20=Dienste!#REF!,Dienste!#REF!,IF(H20=Dienste!$A$33,Dienste!$C$33,IF(H20=Dienste!$A$34,Dienste!$C$34,IF(H20=Dienste!$A$35,Dienste!$C$35,IF(H20=Dienste!$A$36,Dienste!$C$36,)))))))))))))))))))))))))))))))))))</f>
        <v>8</v>
      </c>
      <c r="BC20" s="27">
        <f>IF(I20=Dienste!$A$2,Dienste!$C$2,IF(I20=Dienste!$A$3,Dienste!$C$3,IF(I20=Dienste!$A$4,Dienste!$C$4,IF(I20=Dienste!$A$5,Dienste!$C$5,IF(I20=Dienste!$A$6,Dienste!$C$6,IF(I20=Dienste!$A$7,Dienste!$C$7,IF(I20=Dienste!$A$8,Dienste!$C$8,IF(I20=Dienste!$A$9,Dienste!$C$9,IF(I20=Dienste!$A$10,Dienste!$C$10,IF(I20=Dienste!$A$11,Dienste!$C$11,IF(I20=Dienste!$A$12,Dienste!$C$12,IF(I20=Dienste!$A$13,Dienste!$C$13,IF(I20=Dienste!$A$14,Dienste!$C$14,IF(I20=Dienste!$A$15,Dienste!$C$15,IF(I20=Dienste!$A$16,Dienste!$C$16,IF(I20=Dienste!$A$17,Dienste!$C$17,IF(I20=Dienste!$A$18,Dienste!$C$18,IF(I20=Dienste!$A$19,Dienste!$C$19,IF(I20=Dienste!$A$20,Dienste!$C$20,IF(I20=Dienste!$A$21,Dienste!$C$21,IF(I20=Dienste!$A$22,Dienste!$C$22,IF(I20=Dienste!$A$23,Dienste!$C$23,IF(I20=Dienste!$A$24,Dienste!$C$24,IF(I20=Dienste!$A$25,Dienste!$C$25,IF(I20=Dienste!$A$26,Dienste!$C$26,IF(I20=Dienste!$A$27,Dienste!$C$27,IF(I20=Dienste!$A$28,Dienste!$C$28,IF(I20=Dienste!#REF!,Dienste!#REF!,IF(I20=Dienste!#REF!,Dienste!#REF!,IF(I20=Dienste!#REF!,Dienste!#REF!,IF(I20=Dienste!#REF!,Dienste!#REF!,IF(I20=Dienste!$A$33,Dienste!$C$33,IF(I20=Dienste!$A$34,Dienste!$C$34,IF(I20=Dienste!$A$35,Dienste!$C$35,IF(I20=Dienste!$A$36,Dienste!$C$36,)))))))))))))))))))))))))))))))))))</f>
        <v>8</v>
      </c>
      <c r="BD20" s="27">
        <f>IF(J20=Dienste!$A$2,Dienste!$C$2,IF(J20=Dienste!$A$3,Dienste!$C$3,IF(J20=Dienste!$A$4,Dienste!$C$4,IF(J20=Dienste!$A$5,Dienste!$C$5,IF(J20=Dienste!$A$6,Dienste!$C$6,IF(J20=Dienste!$A$7,Dienste!$C$7,IF(J20=Dienste!$A$8,Dienste!$C$8,IF(J20=Dienste!$A$9,Dienste!$C$9,IF(J20=Dienste!$A$10,Dienste!$C$10,IF(J20=Dienste!$A$11,Dienste!$C$11,IF(J20=Dienste!$A$12,Dienste!$C$12,IF(J20=Dienste!$A$13,Dienste!$C$13,IF(J20=Dienste!$A$14,Dienste!$C$14,IF(J20=Dienste!$A$15,Dienste!$C$15,IF(J20=Dienste!$A$16,Dienste!$C$16,IF(J20=Dienste!$A$17,Dienste!$C$17,IF(J20=Dienste!$A$18,Dienste!$C$18,IF(J20=Dienste!$A$19,Dienste!$C$19,IF(J20=Dienste!$A$20,Dienste!$C$20,IF(J20=Dienste!$A$21,Dienste!$C$21,IF(J20=Dienste!$A$22,Dienste!$C$22,IF(J20=Dienste!$A$23,Dienste!$C$23,IF(J20=Dienste!$A$24,Dienste!$C$24,IF(J20=Dienste!$A$25,Dienste!$C$25,IF(J20=Dienste!$A$26,Dienste!$C$26,IF(J20=Dienste!$A$27,Dienste!$C$27,IF(J20=Dienste!$A$28,Dienste!$C$28,IF(J20=Dienste!#REF!,Dienste!#REF!,IF(J20=Dienste!#REF!,Dienste!#REF!,IF(J20=Dienste!#REF!,Dienste!#REF!,IF(J20=Dienste!#REF!,Dienste!#REF!,IF(J20=Dienste!$A$33,Dienste!$C$33,IF(J20=Dienste!$A$34,Dienste!$C$34,IF(J20=Dienste!$A$35,Dienste!$C$35,IF(J20=Dienste!$A$36,Dienste!$C$36,)))))))))))))))))))))))))))))))))))</f>
        <v>8</v>
      </c>
      <c r="BE20" s="27">
        <f>IF(K20=Dienste!$A$2,Dienste!$C$2,IF(K20=Dienste!$A$3,Dienste!$C$3,IF(K20=Dienste!$A$4,Dienste!$C$4,IF(K20=Dienste!$A$5,Dienste!$C$5,IF(K20=Dienste!$A$6,Dienste!$C$6,IF(K20=Dienste!$A$7,Dienste!$C$7,IF(K20=Dienste!$A$8,Dienste!$C$8,IF(K20=Dienste!$A$9,Dienste!$C$9,IF(K20=Dienste!$A$10,Dienste!$C$10,IF(K20=Dienste!$A$11,Dienste!$C$11,IF(K20=Dienste!$A$12,Dienste!$C$12,IF(K20=Dienste!$A$13,Dienste!$C$13,IF(K20=Dienste!$A$14,Dienste!$C$14,IF(K20=Dienste!$A$15,Dienste!$C$15,IF(K20=Dienste!$A$16,Dienste!$C$16,IF(K20=Dienste!$A$17,Dienste!$C$17,IF(K20=Dienste!$A$18,Dienste!$C$18,IF(K20=Dienste!$A$19,Dienste!$C$19,IF(K20=Dienste!$A$20,Dienste!$C$20,IF(K20=Dienste!$A$21,Dienste!$C$21,IF(K20=Dienste!$A$22,Dienste!$C$22,IF(K20=Dienste!$A$23,Dienste!$C$23,IF(K20=Dienste!$A$24,Dienste!$C$24,IF(K20=Dienste!$A$25,Dienste!$C$25,IF(K20=Dienste!$A$26,Dienste!$C$26,IF(K20=Dienste!$A$27,Dienste!$C$27,IF(K20=Dienste!$A$28,Dienste!$C$28,IF(K20=Dienste!#REF!,Dienste!#REF!,IF(K20=Dienste!#REF!,Dienste!#REF!,IF(K20=Dienste!#REF!,Dienste!#REF!,IF(K20=Dienste!#REF!,Dienste!#REF!,IF(K20=Dienste!$A$33,Dienste!$C$33,IF(K20=Dienste!$A$34,Dienste!$C$34,IF(K20=Dienste!$A$35,Dienste!$C$35,IF(K20=Dienste!$A$36,Dienste!$C$36,)))))))))))))))))))))))))))))))))))</f>
        <v>0</v>
      </c>
      <c r="BF20" s="27">
        <f>IF(L20=Dienste!$A$2,Dienste!$C$2,IF(L20=Dienste!$A$3,Dienste!$C$3,IF(L20=Dienste!$A$4,Dienste!$C$4,IF(L20=Dienste!$A$5,Dienste!$C$5,IF(L20=Dienste!$A$6,Dienste!$C$6,IF(L20=Dienste!$A$7,Dienste!$C$7,IF(L20=Dienste!$A$8,Dienste!$C$8,IF(L20=Dienste!$A$9,Dienste!$C$9,IF(L20=Dienste!$A$10,Dienste!$C$10,IF(L20=Dienste!$A$11,Dienste!$C$11,IF(L20=Dienste!$A$12,Dienste!$C$12,IF(L20=Dienste!$A$13,Dienste!$C$13,IF(L20=Dienste!$A$14,Dienste!$C$14,IF(L20=Dienste!$A$15,Dienste!$C$15,IF(L20=Dienste!$A$16,Dienste!$C$16,IF(L20=Dienste!$A$17,Dienste!$C$17,IF(L20=Dienste!$A$18,Dienste!$C$18,IF(L20=Dienste!$A$19,Dienste!$C$19,IF(L20=Dienste!$A$20,Dienste!$C$20,IF(L20=Dienste!$A$21,Dienste!$C$21,IF(L20=Dienste!$A$22,Dienste!$C$22,IF(L20=Dienste!$A$23,Dienste!$C$23,IF(L20=Dienste!$A$24,Dienste!$C$24,IF(L20=Dienste!$A$25,Dienste!$C$25,IF(L20=Dienste!$A$26,Dienste!$C$26,IF(L20=Dienste!$A$27,Dienste!$C$27,IF(L20=Dienste!$A$28,Dienste!$C$28,IF(L20=Dienste!#REF!,Dienste!#REF!,IF(L20=Dienste!#REF!,Dienste!#REF!,IF(L20=Dienste!#REF!,Dienste!#REF!,IF(L20=Dienste!#REF!,Dienste!#REF!,IF(L20=Dienste!$A$33,Dienste!$C$33,IF(L20=Dienste!$A$34,Dienste!$C$34,IF(L20=Dienste!$A$35,Dienste!$C$35,IF(L20=Dienste!$A$36,Dienste!$C$36,)))))))))))))))))))))))))))))))))))</f>
        <v>0</v>
      </c>
      <c r="BG20" s="27">
        <f>IF(M20=Dienste!$A$2,Dienste!$C$2,IF(M20=Dienste!$A$3,Dienste!$C$3,IF(M20=Dienste!$A$4,Dienste!$C$4,IF(M20=Dienste!$A$5,Dienste!$C$5,IF(M20=Dienste!$A$6,Dienste!$C$6,IF(M20=Dienste!$A$7,Dienste!$C$7,IF(M20=Dienste!$A$8,Dienste!$C$8,IF(M20=Dienste!$A$9,Dienste!$C$9,IF(M20=Dienste!$A$10,Dienste!$C$10,IF(M20=Dienste!$A$11,Dienste!$C$11,IF(M20=Dienste!$A$12,Dienste!$C$12,IF(M20=Dienste!$A$13,Dienste!$C$13,IF(M20=Dienste!$A$14,Dienste!$C$14,IF(M20=Dienste!$A$15,Dienste!$C$15,IF(M20=Dienste!$A$16,Dienste!$C$16,IF(M20=Dienste!$A$17,Dienste!$C$17,IF(M20=Dienste!$A$18,Dienste!$C$18,IF(M20=Dienste!$A$19,Dienste!$C$19,IF(M20=Dienste!$A$20,Dienste!$C$20,IF(M20=Dienste!$A$21,Dienste!$C$21,IF(M20=Dienste!$A$22,Dienste!$C$22,IF(M20=Dienste!$A$23,Dienste!$C$23,IF(M20=Dienste!$A$24,Dienste!$C$24,IF(M20=Dienste!$A$25,Dienste!$C$25,IF(M20=Dienste!$A$26,Dienste!$C$26,IF(M20=Dienste!$A$27,Dienste!$C$27,IF(M20=Dienste!$A$28,Dienste!$C$28,IF(M20=Dienste!#REF!,Dienste!#REF!,IF(M20=Dienste!#REF!,Dienste!#REF!,IF(M20=Dienste!#REF!,Dienste!#REF!,IF(M20=Dienste!#REF!,Dienste!#REF!,IF(M20=Dienste!$A$33,Dienste!$C$33,IF(M20=Dienste!$A$34,Dienste!$C$34,IF(M20=Dienste!$A$35,Dienste!$C$35,IF(M20=Dienste!$A$36,Dienste!$C$36,)))))))))))))))))))))))))))))))))))</f>
        <v>8</v>
      </c>
      <c r="BH20" s="27">
        <f>IF(N20=Dienste!$A$2,Dienste!$C$2,IF(N20=Dienste!$A$3,Dienste!$C$3,IF(N20=Dienste!$A$4,Dienste!$C$4,IF(N20=Dienste!$A$5,Dienste!$C$5,IF(N20=Dienste!$A$6,Dienste!$C$6,IF(N20=Dienste!$A$7,Dienste!$C$7,IF(N20=Dienste!$A$8,Dienste!$C$8,IF(N20=Dienste!$A$9,Dienste!$C$9,IF(N20=Dienste!$A$10,Dienste!$C$10,IF(N20=Dienste!$A$11,Dienste!$C$11,IF(N20=Dienste!$A$12,Dienste!$C$12,IF(N20=Dienste!$A$13,Dienste!$C$13,IF(N20=Dienste!$A$14,Dienste!$C$14,IF(N20=Dienste!$A$15,Dienste!$C$15,IF(N20=Dienste!$A$16,Dienste!$C$16,IF(N20=Dienste!$A$17,Dienste!$C$17,IF(N20=Dienste!$A$18,Dienste!$C$18,IF(N20=Dienste!$A$19,Dienste!$C$19,IF(N20=Dienste!$A$20,Dienste!$C$20,IF(N20=Dienste!$A$21,Dienste!$C$21,IF(N20=Dienste!$A$22,Dienste!$C$22,IF(N20=Dienste!$A$23,Dienste!$C$23,IF(N20=Dienste!$A$24,Dienste!$C$24,IF(N20=Dienste!$A$25,Dienste!$C$25,IF(N20=Dienste!$A$26,Dienste!$C$26,IF(N20=Dienste!$A$27,Dienste!$C$27,IF(N20=Dienste!$A$28,Dienste!$C$28,IF(N20=Dienste!#REF!,Dienste!#REF!,IF(N20=Dienste!#REF!,Dienste!#REF!,IF(N20=Dienste!#REF!,Dienste!#REF!,IF(N20=Dienste!#REF!,Dienste!#REF!,IF(N20=Dienste!$A$33,Dienste!$C$33,IF(N20=Dienste!$A$34,Dienste!$C$34,IF(N20=Dienste!$A$35,Dienste!$C$35,IF(N20=Dienste!$A$36,Dienste!$C$36,)))))))))))))))))))))))))))))))))))</f>
        <v>8</v>
      </c>
      <c r="BI20" s="27">
        <f>IF(O20=Dienste!$A$2,Dienste!$C$2,IF(O20=Dienste!$A$3,Dienste!$C$3,IF(O20=Dienste!$A$4,Dienste!$C$4,IF(O20=Dienste!$A$5,Dienste!$C$5,IF(O20=Dienste!$A$6,Dienste!$C$6,IF(O20=Dienste!$A$7,Dienste!$C$7,IF(O20=Dienste!$A$8,Dienste!$C$8,IF(O20=Dienste!$A$9,Dienste!$C$9,IF(O20=Dienste!$A$10,Dienste!$C$10,IF(O20=Dienste!$A$11,Dienste!$C$11,IF(O20=Dienste!$A$12,Dienste!$C$12,IF(O20=Dienste!$A$13,Dienste!$C$13,IF(O20=Dienste!$A$14,Dienste!$C$14,IF(O20=Dienste!$A$15,Dienste!$C$15,IF(O20=Dienste!$A$16,Dienste!$C$16,IF(O20=Dienste!$A$17,Dienste!$C$17,IF(O20=Dienste!$A$18,Dienste!$C$18,IF(O20=Dienste!$A$19,Dienste!$C$19,IF(O20=Dienste!$A$20,Dienste!$C$20,IF(O20=Dienste!$A$21,Dienste!$C$21,IF(O20=Dienste!$A$22,Dienste!$C$22,IF(O20=Dienste!$A$23,Dienste!$C$23,IF(O20=Dienste!$A$24,Dienste!$C$24,IF(O20=Dienste!$A$25,Dienste!$C$25,IF(O20=Dienste!$A$26,Dienste!$C$26,IF(O20=Dienste!$A$27,Dienste!$C$27,IF(O20=Dienste!$A$28,Dienste!$C$28,IF(O20=Dienste!#REF!,Dienste!#REF!,IF(O20=Dienste!#REF!,Dienste!#REF!,IF(O20=Dienste!#REF!,Dienste!#REF!,IF(O20=Dienste!#REF!,Dienste!#REF!,IF(O20=Dienste!$A$33,Dienste!$C$33,IF(O20=Dienste!$A$34,Dienste!$C$34,IF(O20=Dienste!$A$35,Dienste!$C$35,IF(O20=Dienste!$A$36,Dienste!$C$36,)))))))))))))))))))))))))))))))))))</f>
        <v>8</v>
      </c>
      <c r="BJ20" s="27">
        <f>IF(P20=Dienste!$A$2,Dienste!$C$2,IF(P20=Dienste!$A$3,Dienste!$C$3,IF(P20=Dienste!$A$4,Dienste!$C$4,IF(P20=Dienste!$A$5,Dienste!$C$5,IF(P20=Dienste!$A$6,Dienste!$C$6,IF(P20=Dienste!$A$7,Dienste!$C$7,IF(P20=Dienste!$A$8,Dienste!$C$8,IF(P20=Dienste!$A$9,Dienste!$C$9,IF(P20=Dienste!$A$10,Dienste!$C$10,IF(P20=Dienste!$A$11,Dienste!$C$11,IF(P20=Dienste!$A$12,Dienste!$C$12,IF(P20=Dienste!$A$13,Dienste!$C$13,IF(P20=Dienste!$A$14,Dienste!$C$14,IF(P20=Dienste!$A$15,Dienste!$C$15,IF(P20=Dienste!$A$16,Dienste!$C$16,IF(P20=Dienste!$A$17,Dienste!$C$17,IF(P20=Dienste!$A$18,Dienste!$C$18,IF(P20=Dienste!$A$19,Dienste!$C$19,IF(P20=Dienste!$A$20,Dienste!$C$20,IF(P20=Dienste!$A$21,Dienste!$C$21,IF(P20=Dienste!$A$22,Dienste!$C$22,IF(P20=Dienste!$A$23,Dienste!$C$23,IF(P20=Dienste!$A$24,Dienste!$C$24,IF(P20=Dienste!$A$25,Dienste!$C$25,IF(P20=Dienste!$A$26,Dienste!$C$26,IF(P20=Dienste!$A$27,Dienste!$C$27,IF(P20=Dienste!$A$28,Dienste!$C$28,IF(P20=Dienste!#REF!,Dienste!#REF!,IF(P20=Dienste!#REF!,Dienste!#REF!,IF(P20=Dienste!#REF!,Dienste!#REF!,IF(P20=Dienste!#REF!,Dienste!#REF!,IF(P20=Dienste!$A$33,Dienste!$C$33,IF(P20=Dienste!$A$34,Dienste!$C$34,IF(P20=Dienste!$A$35,Dienste!$C$35,IF(P20=Dienste!$A$36,Dienste!$C$36,)))))))))))))))))))))))))))))))))))</f>
        <v>8</v>
      </c>
      <c r="BK20" s="27">
        <f>IF(Q20=Dienste!$A$2,Dienste!$C$2,IF(Q20=Dienste!$A$3,Dienste!$C$3,IF(Q20=Dienste!$A$4,Dienste!$C$4,IF(Q20=Dienste!$A$5,Dienste!$C$5,IF(Q20=Dienste!$A$6,Dienste!$C$6,IF(Q20=Dienste!$A$7,Dienste!$C$7,IF(Q20=Dienste!$A$8,Dienste!$C$8,IF(Q20=Dienste!$A$9,Dienste!$C$9,IF(Q20=Dienste!$A$10,Dienste!$C$10,IF(Q20=Dienste!$A$11,Dienste!$C$11,IF(Q20=Dienste!$A$12,Dienste!$C$12,IF(Q20=Dienste!$A$13,Dienste!$C$13,IF(Q20=Dienste!$A$14,Dienste!$C$14,IF(Q20=Dienste!$A$15,Dienste!$C$15,IF(Q20=Dienste!$A$16,Dienste!$C$16,IF(Q20=Dienste!$A$17,Dienste!$C$17,IF(Q20=Dienste!$A$18,Dienste!$C$18,IF(Q20=Dienste!$A$19,Dienste!$C$19,IF(Q20=Dienste!$A$20,Dienste!$C$20,IF(Q20=Dienste!$A$21,Dienste!$C$21,IF(Q20=Dienste!$A$22,Dienste!$C$22,IF(Q20=Dienste!$A$23,Dienste!$C$23,IF(Q20=Dienste!$A$24,Dienste!$C$24,IF(Q20=Dienste!$A$25,Dienste!$C$25,IF(Q20=Dienste!$A$26,Dienste!$C$26,IF(Q20=Dienste!$A$27,Dienste!$C$27,IF(Q20=Dienste!$A$28,Dienste!$C$28,IF(Q20=Dienste!#REF!,Dienste!#REF!,IF(Q20=Dienste!#REF!,Dienste!#REF!,IF(Q20=Dienste!#REF!,Dienste!#REF!,IF(Q20=Dienste!#REF!,Dienste!#REF!,IF(Q20=Dienste!$A$33,Dienste!$C$33,IF(Q20=Dienste!$A$34,Dienste!$C$34,IF(Q20=Dienste!$A$35,Dienste!$C$35,IF(Q20=Dienste!$A$36,Dienste!$C$36,)))))))))))))))))))))))))))))))))))</f>
        <v>8</v>
      </c>
      <c r="BL20" s="27">
        <f>IF(R20=Dienste!$A$2,Dienste!$C$2,IF(R20=Dienste!$A$3,Dienste!$C$3,IF(R20=Dienste!$A$4,Dienste!$C$4,IF(R20=Dienste!$A$5,Dienste!$C$5,IF(R20=Dienste!$A$6,Dienste!$C$6,IF(R20=Dienste!$A$7,Dienste!$C$7,IF(R20=Dienste!$A$8,Dienste!$C$8,IF(R20=Dienste!$A$9,Dienste!$C$9,IF(R20=Dienste!$A$10,Dienste!$C$10,IF(R20=Dienste!$A$11,Dienste!$C$11,IF(R20=Dienste!$A$12,Dienste!$C$12,IF(R20=Dienste!$A$13,Dienste!$C$13,IF(R20=Dienste!$A$14,Dienste!$C$14,IF(R20=Dienste!$A$15,Dienste!$C$15,IF(R20=Dienste!$A$16,Dienste!$C$16,IF(R20=Dienste!$A$17,Dienste!$C$17,IF(R20=Dienste!$A$18,Dienste!$C$18,IF(R20=Dienste!$A$19,Dienste!$C$19,IF(R20=Dienste!$A$20,Dienste!$C$20,IF(R20=Dienste!$A$21,Dienste!$C$21,IF(R20=Dienste!$A$22,Dienste!$C$22,IF(R20=Dienste!$A$23,Dienste!$C$23,IF(R20=Dienste!$A$24,Dienste!$C$24,IF(R20=Dienste!$A$25,Dienste!$C$25,IF(R20=Dienste!$A$26,Dienste!$C$26,IF(R20=Dienste!$A$27,Dienste!$C$27,IF(R20=Dienste!$A$28,Dienste!$C$28,IF(R20=Dienste!#REF!,Dienste!#REF!,IF(R20=Dienste!#REF!,Dienste!#REF!,IF(R20=Dienste!#REF!,Dienste!#REF!,IF(R20=Dienste!#REF!,Dienste!#REF!,IF(R20=Dienste!$A$33,Dienste!$C$33,IF(R20=Dienste!$A$34,Dienste!$C$34,IF(R20=Dienste!$A$35,Dienste!$C$35,IF(R20=Dienste!$A$36,Dienste!$C$36,)))))))))))))))))))))))))))))))))))</f>
        <v>0</v>
      </c>
      <c r="BM20" s="27">
        <f>IF(S20=Dienste!$A$2,Dienste!$C$2,IF(S20=Dienste!$A$3,Dienste!$C$3,IF(S20=Dienste!$A$4,Dienste!$C$4,IF(S20=Dienste!$A$5,Dienste!$C$5,IF(S20=Dienste!$A$6,Dienste!$C$6,IF(S20=Dienste!$A$7,Dienste!$C$7,IF(S20=Dienste!$A$8,Dienste!$C$8,IF(S20=Dienste!$A$9,Dienste!$C$9,IF(S20=Dienste!$A$10,Dienste!$C$10,IF(S20=Dienste!$A$11,Dienste!$C$11,IF(S20=Dienste!$A$12,Dienste!$C$12,IF(S20=Dienste!$A$13,Dienste!$C$13,IF(S20=Dienste!$A$14,Dienste!$C$14,IF(S20=Dienste!$A$15,Dienste!$C$15,IF(S20=Dienste!$A$16,Dienste!$C$16,IF(S20=Dienste!$A$17,Dienste!$C$17,IF(S20=Dienste!$A$18,Dienste!$C$18,IF(S20=Dienste!$A$19,Dienste!$C$19,IF(S20=Dienste!$A$20,Dienste!$C$20,IF(S20=Dienste!$A$21,Dienste!$C$21,IF(S20=Dienste!$A$22,Dienste!$C$22,IF(S20=Dienste!$A$23,Dienste!$C$23,IF(S20=Dienste!$A$24,Dienste!$C$24,IF(S20=Dienste!$A$25,Dienste!$C$25,IF(S20=Dienste!$A$26,Dienste!$C$26,IF(S20=Dienste!$A$27,Dienste!$C$27,IF(S20=Dienste!$A$28,Dienste!$C$28,IF(S20=Dienste!#REF!,Dienste!#REF!,IF(S20=Dienste!#REF!,Dienste!#REF!,IF(S20=Dienste!#REF!,Dienste!#REF!,IF(S20=Dienste!#REF!,Dienste!#REF!,IF(S20=Dienste!$A$33,Dienste!$C$33,IF(S20=Dienste!$A$34,Dienste!$C$34,IF(S20=Dienste!$A$35,Dienste!$C$35,IF(S20=Dienste!$A$36,Dienste!$C$36,)))))))))))))))))))))))))))))))))))</f>
        <v>0</v>
      </c>
      <c r="BN20" s="27">
        <f>IF(T20=Dienste!$A$2,Dienste!$C$2,IF(T20=Dienste!$A$3,Dienste!$C$3,IF(T20=Dienste!$A$4,Dienste!$C$4,IF(T20=Dienste!$A$5,Dienste!$C$5,IF(T20=Dienste!$A$6,Dienste!$C$6,IF(T20=Dienste!$A$7,Dienste!$C$7,IF(T20=Dienste!$A$8,Dienste!$C$8,IF(T20=Dienste!$A$9,Dienste!$C$9,IF(T20=Dienste!$A$10,Dienste!$C$10,IF(T20=Dienste!$A$11,Dienste!$C$11,IF(T20=Dienste!$A$12,Dienste!$C$12,IF(T20=Dienste!$A$13,Dienste!$C$13,IF(T20=Dienste!$A$14,Dienste!$C$14,IF(T20=Dienste!$A$15,Dienste!$C$15,IF(T20=Dienste!$A$16,Dienste!$C$16,IF(T20=Dienste!$A$17,Dienste!$C$17,IF(T20=Dienste!$A$18,Dienste!$C$18,IF(T20=Dienste!$A$19,Dienste!$C$19,IF(T20=Dienste!$A$20,Dienste!$C$20,IF(T20=Dienste!$A$21,Dienste!$C$21,IF(T20=Dienste!$A$22,Dienste!$C$22,IF(T20=Dienste!$A$23,Dienste!$C$23,IF(T20=Dienste!$A$24,Dienste!$C$24,IF(T20=Dienste!$A$25,Dienste!$C$25,IF(T20=Dienste!$A$26,Dienste!$C$26,IF(T20=Dienste!$A$27,Dienste!$C$27,IF(T20=Dienste!$A$28,Dienste!$C$28,IF(T20=Dienste!#REF!,Dienste!#REF!,IF(T20=Dienste!#REF!,Dienste!#REF!,IF(T20=Dienste!#REF!,Dienste!#REF!,IF(T20=Dienste!#REF!,Dienste!#REF!,IF(T20=Dienste!$A$33,Dienste!$C$33,IF(T20=Dienste!$A$34,Dienste!$C$34,IF(T20=Dienste!$A$35,Dienste!$C$35,IF(T20=Dienste!$A$36,Dienste!$C$36,)))))))))))))))))))))))))))))))))))</f>
        <v>8</v>
      </c>
      <c r="BO20" s="27">
        <f>IF(U20=Dienste!$A$2,Dienste!$C$2,IF(U20=Dienste!$A$3,Dienste!$C$3,IF(U20=Dienste!$A$4,Dienste!$C$4,IF(U20=Dienste!$A$5,Dienste!$C$5,IF(U20=Dienste!$A$6,Dienste!$C$6,IF(U20=Dienste!$A$7,Dienste!$C$7,IF(U20=Dienste!$A$8,Dienste!$C$8,IF(U20=Dienste!$A$9,Dienste!$C$9,IF(U20=Dienste!$A$10,Dienste!$C$10,IF(U20=Dienste!$A$11,Dienste!$C$11,IF(U20=Dienste!$A$12,Dienste!$C$12,IF(U20=Dienste!$A$13,Dienste!$C$13,IF(U20=Dienste!$A$14,Dienste!$C$14,IF(U20=Dienste!$A$15,Dienste!$C$15,IF(U20=Dienste!$A$16,Dienste!$C$16,IF(U20=Dienste!$A$17,Dienste!$C$17,IF(U20=Dienste!$A$18,Dienste!$C$18,IF(U20=Dienste!$A$19,Dienste!$C$19,IF(U20=Dienste!$A$20,Dienste!$C$20,IF(U20=Dienste!$A$21,Dienste!$C$21,IF(U20=Dienste!$A$22,Dienste!$C$22,IF(U20=Dienste!$A$23,Dienste!$C$23,IF(U20=Dienste!$A$24,Dienste!$C$24,IF(U20=Dienste!$A$25,Dienste!$C$25,IF(U20=Dienste!$A$26,Dienste!$C$26,IF(U20=Dienste!$A$27,Dienste!$C$27,IF(U20=Dienste!$A$28,Dienste!$C$28,IF(U20=Dienste!#REF!,Dienste!#REF!,IF(U20=Dienste!#REF!,Dienste!#REF!,IF(U20=Dienste!#REF!,Dienste!#REF!,IF(U20=Dienste!#REF!,Dienste!#REF!,IF(U20=Dienste!$A$33,Dienste!$C$33,IF(U20=Dienste!$A$34,Dienste!$C$34,IF(U20=Dienste!$A$35,Dienste!$C$35,IF(U20=Dienste!$A$36,Dienste!$C$36,)))))))))))))))))))))))))))))))))))</f>
        <v>8</v>
      </c>
      <c r="BP20" s="27">
        <f>IF(V20=Dienste!$A$2,Dienste!$C$2,IF(V20=Dienste!$A$3,Dienste!$C$3,IF(V20=Dienste!$A$4,Dienste!$C$4,IF(V20=Dienste!$A$5,Dienste!$C$5,IF(V20=Dienste!$A$6,Dienste!$C$6,IF(V20=Dienste!$A$7,Dienste!$C$7,IF(V20=Dienste!$A$8,Dienste!$C$8,IF(V20=Dienste!$A$9,Dienste!$C$9,IF(V20=Dienste!$A$10,Dienste!$C$10,IF(V20=Dienste!$A$11,Dienste!$C$11,IF(V20=Dienste!$A$12,Dienste!$C$12,IF(V20=Dienste!$A$13,Dienste!$C$13,IF(V20=Dienste!$A$14,Dienste!$C$14,IF(V20=Dienste!$A$15,Dienste!$C$15,IF(V20=Dienste!$A$16,Dienste!$C$16,IF(V20=Dienste!$A$17,Dienste!$C$17,IF(V20=Dienste!$A$18,Dienste!$C$18,IF(V20=Dienste!$A$19,Dienste!$C$19,IF(V20=Dienste!$A$20,Dienste!$C$20,IF(V20=Dienste!$A$21,Dienste!$C$21,IF(V20=Dienste!$A$22,Dienste!$C$22,IF(V20=Dienste!$A$23,Dienste!$C$23,IF(V20=Dienste!$A$24,Dienste!$C$24,IF(V20=Dienste!$A$25,Dienste!$C$25,IF(V20=Dienste!$A$26,Dienste!$C$26,IF(V20=Dienste!$A$27,Dienste!$C$27,IF(V20=Dienste!$A$28,Dienste!$C$28,IF(V20=Dienste!#REF!,Dienste!#REF!,IF(V20=Dienste!#REF!,Dienste!#REF!,IF(V20=Dienste!#REF!,Dienste!#REF!,IF(V20=Dienste!#REF!,Dienste!#REF!,IF(V20=Dienste!$A$33,Dienste!$C$33,IF(V20=Dienste!$A$34,Dienste!$C$34,IF(V20=Dienste!$A$35,Dienste!$C$35,IF(V20=Dienste!$A$36,Dienste!$C$36,)))))))))))))))))))))))))))))))))))</f>
        <v>8</v>
      </c>
      <c r="BQ20" s="27">
        <f>IF(W20=Dienste!$A$2,Dienste!$C$2,IF(W20=Dienste!$A$3,Dienste!$C$3,IF(W20=Dienste!$A$4,Dienste!$C$4,IF(W20=Dienste!$A$5,Dienste!$C$5,IF(W20=Dienste!$A$6,Dienste!$C$6,IF(W20=Dienste!$A$7,Dienste!$C$7,IF(W20=Dienste!$A$8,Dienste!$C$8,IF(W20=Dienste!$A$9,Dienste!$C$9,IF(W20=Dienste!$A$10,Dienste!$C$10,IF(W20=Dienste!$A$11,Dienste!$C$11,IF(W20=Dienste!$A$12,Dienste!$C$12,IF(W20=Dienste!$A$13,Dienste!$C$13,IF(W20=Dienste!$A$14,Dienste!$C$14,IF(W20=Dienste!$A$15,Dienste!$C$15,IF(W20=Dienste!$A$16,Dienste!$C$16,IF(W20=Dienste!$A$17,Dienste!$C$17,IF(W20=Dienste!$A$18,Dienste!$C$18,IF(W20=Dienste!$A$19,Dienste!$C$19,IF(W20=Dienste!$A$20,Dienste!$C$20,IF(W20=Dienste!$A$21,Dienste!$C$21,IF(W20=Dienste!$A$22,Dienste!$C$22,IF(W20=Dienste!$A$23,Dienste!$C$23,IF(W20=Dienste!$A$24,Dienste!$C$24,IF(W20=Dienste!$A$25,Dienste!$C$25,IF(W20=Dienste!$A$26,Dienste!$C$26,IF(W20=Dienste!$A$27,Dienste!$C$27,IF(W20=Dienste!$A$28,Dienste!$C$28,IF(W20=Dienste!#REF!,Dienste!#REF!,IF(W20=Dienste!#REF!,Dienste!#REF!,IF(W20=Dienste!#REF!,Dienste!#REF!,IF(W20=Dienste!#REF!,Dienste!#REF!,IF(W20=Dienste!$A$33,Dienste!$C$33,IF(W20=Dienste!$A$34,Dienste!$C$34,IF(W20=Dienste!$A$35,Dienste!$C$35,IF(W20=Dienste!$A$36,Dienste!$C$36,)))))))))))))))))))))))))))))))))))</f>
        <v>8</v>
      </c>
      <c r="BR20" s="27">
        <f>IF(X20=Dienste!$A$2,Dienste!$C$2,IF(X20=Dienste!$A$3,Dienste!$C$3,IF(X20=Dienste!$A$4,Dienste!$C$4,IF(X20=Dienste!$A$5,Dienste!$C$5,IF(X20=Dienste!$A$6,Dienste!$C$6,IF(X20=Dienste!$A$7,Dienste!$C$7,IF(X20=Dienste!$A$8,Dienste!$C$8,IF(X20=Dienste!$A$9,Dienste!$C$9,IF(X20=Dienste!$A$10,Dienste!$C$10,IF(X20=Dienste!$A$11,Dienste!$C$11,IF(X20=Dienste!$A$12,Dienste!$C$12,IF(X20=Dienste!$A$13,Dienste!$C$13,IF(X20=Dienste!$A$14,Dienste!$C$14,IF(X20=Dienste!$A$15,Dienste!$C$15,IF(X20=Dienste!$A$16,Dienste!$C$16,IF(X20=Dienste!$A$17,Dienste!$C$17,IF(X20=Dienste!$A$18,Dienste!$C$18,IF(X20=Dienste!$A$19,Dienste!$C$19,IF(X20=Dienste!$A$20,Dienste!$C$20,IF(X20=Dienste!$A$21,Dienste!$C$21,IF(X20=Dienste!$A$22,Dienste!$C$22,IF(X20=Dienste!$A$23,Dienste!$C$23,IF(X20=Dienste!$A$24,Dienste!$C$24,IF(X20=Dienste!$A$25,Dienste!$C$25,IF(X20=Dienste!$A$26,Dienste!$C$26,IF(X20=Dienste!$A$27,Dienste!$C$27,IF(X20=Dienste!$A$28,Dienste!$C$28,IF(X20=Dienste!#REF!,Dienste!#REF!,IF(X20=Dienste!#REF!,Dienste!#REF!,IF(X20=Dienste!#REF!,Dienste!#REF!,IF(X20=Dienste!#REF!,Dienste!#REF!,IF(X20=Dienste!$A$33,Dienste!$C$33,IF(X20=Dienste!$A$34,Dienste!$C$34,IF(X20=Dienste!$A$35,Dienste!$C$35,IF(X20=Dienste!$A$36,Dienste!$C$36,)))))))))))))))))))))))))))))))))))</f>
        <v>8</v>
      </c>
      <c r="BS20" s="27">
        <f>IF(Y20=Dienste!$A$2,Dienste!$C$2,IF(Y20=Dienste!$A$3,Dienste!$C$3,IF(Y20=Dienste!$A$4,Dienste!$C$4,IF(Y20=Dienste!$A$5,Dienste!$C$5,IF(Y20=Dienste!$A$6,Dienste!$C$6,IF(Y20=Dienste!$A$7,Dienste!$C$7,IF(Y20=Dienste!$A$8,Dienste!$C$8,IF(Y20=Dienste!$A$9,Dienste!$C$9,IF(Y20=Dienste!$A$10,Dienste!$C$10,IF(Y20=Dienste!$A$11,Dienste!$C$11,IF(Y20=Dienste!$A$12,Dienste!$C$12,IF(Y20=Dienste!$A$13,Dienste!$C$13,IF(Y20=Dienste!$A$14,Dienste!$C$14,IF(Y20=Dienste!$A$15,Dienste!$C$15,IF(Y20=Dienste!$A$16,Dienste!$C$16,IF(Y20=Dienste!$A$17,Dienste!$C$17,IF(Y20=Dienste!$A$18,Dienste!$C$18,IF(Y20=Dienste!$A$19,Dienste!$C$19,IF(Y20=Dienste!$A$20,Dienste!$C$20,IF(Y20=Dienste!$A$21,Dienste!$C$21,IF(Y20=Dienste!$A$22,Dienste!$C$22,IF(Y20=Dienste!$A$23,Dienste!$C$23,IF(Y20=Dienste!$A$24,Dienste!$C$24,IF(Y20=Dienste!$A$25,Dienste!$C$25,IF(Y20=Dienste!$A$26,Dienste!$C$26,IF(Y20=Dienste!$A$27,Dienste!$C$27,IF(Y20=Dienste!$A$28,Dienste!$C$28,IF(Y20=Dienste!#REF!,Dienste!#REF!,IF(Y20=Dienste!#REF!,Dienste!#REF!,IF(Y20=Dienste!#REF!,Dienste!#REF!,IF(Y20=Dienste!#REF!,Dienste!#REF!,IF(Y20=Dienste!$A$33,Dienste!$C$33,IF(Y20=Dienste!$A$34,Dienste!$C$34,IF(Y20=Dienste!$A$35,Dienste!$C$35,IF(Y20=Dienste!$A$36,Dienste!$C$36,)))))))))))))))))))))))))))))))))))</f>
        <v>0</v>
      </c>
      <c r="BT20" s="27">
        <f>IF(Z20=Dienste!$A$2,Dienste!$C$2,IF(Z20=Dienste!$A$3,Dienste!$C$3,IF(Z20=Dienste!$A$4,Dienste!$C$4,IF(Z20=Dienste!$A$5,Dienste!$C$5,IF(Z20=Dienste!$A$6,Dienste!$C$6,IF(Z20=Dienste!$A$7,Dienste!$C$7,IF(Z20=Dienste!$A$8,Dienste!$C$8,IF(Z20=Dienste!$A$9,Dienste!$C$9,IF(Z20=Dienste!$A$10,Dienste!$C$10,IF(Z20=Dienste!$A$11,Dienste!$C$11,IF(Z20=Dienste!$A$12,Dienste!$C$12,IF(Z20=Dienste!$A$13,Dienste!$C$13,IF(Z20=Dienste!$A$14,Dienste!$C$14,IF(Z20=Dienste!$A$15,Dienste!$C$15,IF(Z20=Dienste!$A$16,Dienste!$C$16,IF(Z20=Dienste!$A$17,Dienste!$C$17,IF(Z20=Dienste!$A$18,Dienste!$C$18,IF(Z20=Dienste!$A$19,Dienste!$C$19,IF(Z20=Dienste!$A$20,Dienste!$C$20,IF(Z20=Dienste!$A$21,Dienste!$C$21,IF(Z20=Dienste!$A$22,Dienste!$C$22,IF(Z20=Dienste!$A$23,Dienste!$C$23,IF(Z20=Dienste!$A$24,Dienste!$C$24,IF(Z20=Dienste!$A$25,Dienste!$C$25,IF(Z20=Dienste!$A$26,Dienste!$C$26,IF(Z20=Dienste!$A$27,Dienste!$C$27,IF(Z20=Dienste!$A$28,Dienste!$C$28,IF(Z20=Dienste!#REF!,Dienste!#REF!,IF(Z20=Dienste!#REF!,Dienste!#REF!,IF(Z20=Dienste!#REF!,Dienste!#REF!,IF(Z20=Dienste!#REF!,Dienste!#REF!,IF(Z20=Dienste!$A$33,Dienste!$C$33,IF(Z20=Dienste!$A$34,Dienste!$C$34,IF(Z20=Dienste!$A$35,Dienste!$C$35,IF(Z20=Dienste!$A$36,Dienste!$C$36,)))))))))))))))))))))))))))))))))))</f>
        <v>0</v>
      </c>
      <c r="BU20" s="27">
        <f>IF(AA20=Dienste!$A$2,Dienste!$C$2,IF(AA20=Dienste!$A$3,Dienste!$C$3,IF(AA20=Dienste!$A$4,Dienste!$C$4,IF(AA20=Dienste!$A$5,Dienste!$C$5,IF(AA20=Dienste!$A$6,Dienste!$C$6,IF(AA20=Dienste!$A$7,Dienste!$C$7,IF(AA20=Dienste!$A$8,Dienste!$C$8,IF(AA20=Dienste!$A$9,Dienste!$C$9,IF(AA20=Dienste!$A$10,Dienste!$C$10,IF(AA20=Dienste!$A$11,Dienste!$C$11,IF(AA20=Dienste!$A$12,Dienste!$C$12,IF(AA20=Dienste!$A$13,Dienste!$C$13,IF(AA20=Dienste!$A$14,Dienste!$C$14,IF(AA20=Dienste!$A$15,Dienste!$C$15,IF(AA20=Dienste!$A$16,Dienste!$C$16,IF(AA20=Dienste!$A$17,Dienste!$C$17,IF(AA20=Dienste!$A$18,Dienste!$C$18,IF(AA20=Dienste!$A$19,Dienste!$C$19,IF(AA20=Dienste!$A$20,Dienste!$C$20,IF(AA20=Dienste!$A$21,Dienste!$C$21,IF(AA20=Dienste!$A$22,Dienste!$C$22,IF(AA20=Dienste!$A$23,Dienste!$C$23,IF(AA20=Dienste!$A$24,Dienste!$C$24,IF(AA20=Dienste!$A$25,Dienste!$C$25,IF(AA20=Dienste!$A$26,Dienste!$C$26,IF(AA20=Dienste!$A$27,Dienste!$C$27,IF(AA20=Dienste!$A$28,Dienste!$C$28,IF(AA20=Dienste!#REF!,Dienste!#REF!,IF(AA20=Dienste!#REF!,Dienste!#REF!,IF(AA20=Dienste!#REF!,Dienste!#REF!,IF(AA20=Dienste!#REF!,Dienste!#REF!,IF(AA20=Dienste!$A$33,Dienste!$C$33,IF(AA20=Dienste!$A$34,Dienste!$C$34,IF(AA20=Dienste!$A$35,Dienste!$C$35,IF(AA20=Dienste!$A$36,Dienste!$C$36,)))))))))))))))))))))))))))))))))))</f>
        <v>8</v>
      </c>
      <c r="BV20" s="27">
        <f>IF(AB20=Dienste!$A$2,Dienste!$C$2,IF(AB20=Dienste!$A$3,Dienste!$C$3,IF(AB20=Dienste!$A$4,Dienste!$C$4,IF(AB20=Dienste!$A$5,Dienste!$C$5,IF(AB20=Dienste!$A$6,Dienste!$C$6,IF(AB20=Dienste!$A$7,Dienste!$C$7,IF(AB20=Dienste!$A$8,Dienste!$C$8,IF(AB20=Dienste!$A$9,Dienste!$C$9,IF(AB20=Dienste!$A$10,Dienste!$C$10,IF(AB20=Dienste!$A$11,Dienste!$C$11,IF(AB20=Dienste!$A$12,Dienste!$C$12,IF(AB20=Dienste!$A$13,Dienste!$C$13,IF(AB20=Dienste!$A$14,Dienste!$C$14,IF(AB20=Dienste!$A$15,Dienste!$C$15,IF(AB20=Dienste!$A$16,Dienste!$C$16,IF(AB20=Dienste!$A$17,Dienste!$C$17,IF(AB20=Dienste!$A$18,Dienste!$C$18,IF(AB20=Dienste!$A$19,Dienste!$C$19,IF(AB20=Dienste!$A$20,Dienste!$C$20,IF(AB20=Dienste!$A$21,Dienste!$C$21,IF(AB20=Dienste!$A$22,Dienste!$C$22,IF(AB20=Dienste!$A$23,Dienste!$C$23,IF(AB20=Dienste!$A$24,Dienste!$C$24,IF(AB20=Dienste!$A$25,Dienste!$C$25,IF(AB20=Dienste!$A$26,Dienste!$C$26,IF(AB20=Dienste!$A$27,Dienste!$C$27,IF(AB20=Dienste!$A$28,Dienste!$C$28,IF(AB20=Dienste!#REF!,Dienste!#REF!,IF(AB20=Dienste!#REF!,Dienste!#REF!,IF(AB20=Dienste!#REF!,Dienste!#REF!,IF(AB20=Dienste!#REF!,Dienste!#REF!,IF(AB20=Dienste!$A$33,Dienste!$C$33,IF(AB20=Dienste!$A$34,Dienste!$C$34,IF(AB20=Dienste!$A$35,Dienste!$C$35,IF(AB20=Dienste!$A$36,Dienste!$C$36,)))))))))))))))))))))))))))))))))))</f>
        <v>8</v>
      </c>
      <c r="BW20" s="27">
        <f>IF(AC20=Dienste!$A$2,Dienste!$C$2,IF(AC20=Dienste!$A$3,Dienste!$C$3,IF(AC20=Dienste!$A$4,Dienste!$C$4,IF(AC20=Dienste!$A$5,Dienste!$C$5,IF(AC20=Dienste!$A$6,Dienste!$C$6,IF(AC20=Dienste!$A$7,Dienste!$C$7,IF(AC20=Dienste!$A$8,Dienste!$C$8,IF(AC20=Dienste!$A$9,Dienste!$C$9,IF(AC20=Dienste!$A$10,Dienste!$C$10,IF(AC20=Dienste!$A$11,Dienste!$C$11,IF(AC20=Dienste!$A$12,Dienste!$C$12,IF(AC20=Dienste!$A$13,Dienste!$C$13,IF(AC20=Dienste!$A$14,Dienste!$C$14,IF(AC20=Dienste!$A$15,Dienste!$C$15,IF(AC20=Dienste!$A$16,Dienste!$C$16,IF(AC20=Dienste!$A$17,Dienste!$C$17,IF(AC20=Dienste!$A$18,Dienste!$C$18,IF(AC20=Dienste!$A$19,Dienste!$C$19,IF(AC20=Dienste!$A$20,Dienste!$C$20,IF(AC20=Dienste!$A$21,Dienste!$C$21,IF(AC20=Dienste!$A$22,Dienste!$C$22,IF(AC20=Dienste!$A$23,Dienste!$C$23,IF(AC20=Dienste!$A$24,Dienste!$C$24,IF(AC20=Dienste!$A$25,Dienste!$C$25,IF(AC20=Dienste!$A$26,Dienste!$C$26,IF(AC20=Dienste!$A$27,Dienste!$C$27,IF(AC20=Dienste!$A$28,Dienste!$C$28,IF(AC20=Dienste!#REF!,Dienste!#REF!,IF(AC20=Dienste!#REF!,Dienste!#REF!,IF(AC20=Dienste!#REF!,Dienste!#REF!,IF(AC20=Dienste!#REF!,Dienste!#REF!,IF(AC20=Dienste!$A$33,Dienste!$C$33,IF(AC20=Dienste!$A$34,Dienste!$C$34,IF(AC20=Dienste!$A$35,Dienste!$C$35,IF(AC20=Dienste!$A$36,Dienste!$C$36,)))))))))))))))))))))))))))))))))))</f>
        <v>8</v>
      </c>
      <c r="BX20" s="27">
        <f>IF(AD20=Dienste!$A$2,Dienste!$C$2,IF(AD20=Dienste!$A$3,Dienste!$C$3,IF(AD20=Dienste!$A$4,Dienste!$C$4,IF(AD20=Dienste!$A$5,Dienste!$C$5,IF(AD20=Dienste!$A$6,Dienste!$C$6,IF(AD20=Dienste!$A$7,Dienste!$C$7,IF(AD20=Dienste!$A$8,Dienste!$C$8,IF(AD20=Dienste!$A$9,Dienste!$C$9,IF(AD20=Dienste!$A$10,Dienste!$C$10,IF(AD20=Dienste!$A$11,Dienste!$C$11,IF(AD20=Dienste!$A$12,Dienste!$C$12,IF(AD20=Dienste!$A$13,Dienste!$C$13,IF(AD20=Dienste!$A$14,Dienste!$C$14,IF(AD20=Dienste!$A$15,Dienste!$C$15,IF(AD20=Dienste!$A$16,Dienste!$C$16,IF(AD20=Dienste!$A$17,Dienste!$C$17,IF(AD20=Dienste!$A$18,Dienste!$C$18,IF(AD20=Dienste!$A$19,Dienste!$C$19,IF(AD20=Dienste!$A$20,Dienste!$C$20,IF(AD20=Dienste!$A$21,Dienste!$C$21,IF(AD20=Dienste!$A$22,Dienste!$C$22,IF(AD20=Dienste!$A$23,Dienste!$C$23,IF(AD20=Dienste!$A$24,Dienste!$C$24,IF(AD20=Dienste!$A$25,Dienste!$C$25,IF(AD20=Dienste!$A$26,Dienste!$C$26,IF(AD20=Dienste!$A$27,Dienste!$C$27,IF(AD20=Dienste!$A$28,Dienste!$C$28,IF(AD20=Dienste!#REF!,Dienste!#REF!,IF(AD20=Dienste!#REF!,Dienste!#REF!,IF(AD20=Dienste!#REF!,Dienste!#REF!,IF(AD20=Dienste!#REF!,Dienste!#REF!,IF(AD20=Dienste!$A$33,Dienste!$C$33,IF(AD20=Dienste!$A$34,Dienste!$C$34,IF(AD20=Dienste!$A$35,Dienste!$C$35,IF(AD20=Dienste!$A$36,Dienste!$C$36,)))))))))))))))))))))))))))))))))))</f>
        <v>8</v>
      </c>
      <c r="BY20" s="27">
        <f>IF(AE20=Dienste!$A$2,Dienste!$C$2,IF(AE20=Dienste!$A$3,Dienste!$C$3,IF(AE20=Dienste!$A$4,Dienste!$C$4,IF(AE20=Dienste!$A$5,Dienste!$C$5,IF(AE20=Dienste!$A$6,Dienste!$C$6,IF(AE20=Dienste!$A$7,Dienste!$C$7,IF(AE20=Dienste!$A$8,Dienste!$C$8,IF(AE20=Dienste!$A$9,Dienste!$C$9,IF(AE20=Dienste!$A$10,Dienste!$C$10,IF(AE20=Dienste!$A$11,Dienste!$C$11,IF(AE20=Dienste!$A$12,Dienste!$C$12,IF(AE20=Dienste!$A$13,Dienste!$C$13,IF(AE20=Dienste!$A$14,Dienste!$C$14,IF(AE20=Dienste!$A$15,Dienste!$C$15,IF(AE20=Dienste!$A$16,Dienste!$C$16,IF(AE20=Dienste!$A$17,Dienste!$C$17,IF(AE20=Dienste!$A$18,Dienste!$C$18,IF(AE20=Dienste!$A$19,Dienste!$C$19,IF(AE20=Dienste!$A$20,Dienste!$C$20,IF(AE20=Dienste!$A$21,Dienste!$C$21,IF(AE20=Dienste!$A$22,Dienste!$C$22,IF(AE20=Dienste!$A$23,Dienste!$C$23,IF(AE20=Dienste!$A$24,Dienste!$C$24,IF(AE20=Dienste!$A$25,Dienste!$C$25,IF(AE20=Dienste!$A$26,Dienste!$C$26,IF(AE20=Dienste!$A$27,Dienste!$C$27,IF(AE20=Dienste!$A$28,Dienste!$C$28,IF(AE20=Dienste!#REF!,Dienste!#REF!,IF(AE20=Dienste!#REF!,Dienste!#REF!,IF(AE20=Dienste!#REF!,Dienste!#REF!,IF(AE20=Dienste!#REF!,Dienste!#REF!,IF(AE20=Dienste!$A$33,Dienste!$C$33,IF(AE20=Dienste!$A$34,Dienste!$C$34,IF(AE20=Dienste!$A$35,Dienste!$C$35,IF(AE20=Dienste!$A$36,Dienste!$C$36,)))))))))))))))))))))))))))))))))))</f>
        <v>8</v>
      </c>
      <c r="BZ20" s="27">
        <f>IF(AF20=Dienste!$A$2,Dienste!$C$2,IF(AF20=Dienste!$A$3,Dienste!$C$3,IF(AF20=Dienste!$A$4,Dienste!$C$4,IF(AF20=Dienste!$A$5,Dienste!$C$5,IF(AF20=Dienste!$A$6,Dienste!$C$6,IF(AF20=Dienste!$A$7,Dienste!$C$7,IF(AF20=Dienste!$A$8,Dienste!$C$8,IF(AF20=Dienste!$A$9,Dienste!$C$9,IF(AF20=Dienste!$A$10,Dienste!$C$10,IF(AF20=Dienste!$A$11,Dienste!$C$11,IF(AF20=Dienste!$A$12,Dienste!$C$12,IF(AF20=Dienste!$A$13,Dienste!$C$13,IF(AF20=Dienste!$A$14,Dienste!$C$14,IF(AF20=Dienste!$A$15,Dienste!$C$15,IF(AF20=Dienste!$A$16,Dienste!$C$16,IF(AF20=Dienste!$A$17,Dienste!$C$17,IF(AF20=Dienste!$A$18,Dienste!$C$18,IF(AF20=Dienste!$A$19,Dienste!$C$19,IF(AF20=Dienste!$A$20,Dienste!$C$20,IF(AF20=Dienste!$A$21,Dienste!$C$21,IF(AF20=Dienste!$A$22,Dienste!$C$22,IF(AF20=Dienste!$A$23,Dienste!$C$23,IF(AF20=Dienste!$A$24,Dienste!$C$24,IF(AF20=Dienste!$A$25,Dienste!$C$25,IF(AF20=Dienste!$A$26,Dienste!$C$26,IF(AF20=Dienste!$A$27,Dienste!$C$27,IF(AF20=Dienste!$A$28,Dienste!$C$28,IF(AF20=Dienste!#REF!,Dienste!#REF!,IF(AF20=Dienste!#REF!,Dienste!#REF!,IF(AF20=Dienste!#REF!,Dienste!#REF!,IF(AF20=Dienste!#REF!,Dienste!#REF!,IF(AF20=Dienste!$A$33,Dienste!$C$33,IF(AF20=Dienste!$A$34,Dienste!$C$34,IF(AF20=Dienste!$A$35,Dienste!$C$35,IF(AF20=Dienste!$A$36,Dienste!$C$36,)))))))))))))))))))))))))))))))))))</f>
        <v>0</v>
      </c>
      <c r="CA20" s="27">
        <f>IF(AG20=Dienste!$A$2,Dienste!$C$2,IF(AG20=Dienste!$A$3,Dienste!$C$3,IF(AG20=Dienste!$A$4,Dienste!$C$4,IF(AG20=Dienste!$A$5,Dienste!$C$5,IF(AG20=Dienste!$A$6,Dienste!$C$6,IF(AG20=Dienste!$A$7,Dienste!$C$7,IF(AG20=Dienste!$A$8,Dienste!$C$8,IF(AG20=Dienste!$A$9,Dienste!$C$9,IF(AG20=Dienste!$A$10,Dienste!$C$10,IF(AG20=Dienste!$A$11,Dienste!$C$11,IF(AG20=Dienste!$A$12,Dienste!$C$12,IF(AG20=Dienste!$A$13,Dienste!$C$13,IF(AG20=Dienste!$A$14,Dienste!$C$14,IF(AG20=Dienste!$A$15,Dienste!$C$15,IF(AG20=Dienste!$A$16,Dienste!$C$16,IF(AG20=Dienste!$A$17,Dienste!$C$17,IF(AG20=Dienste!$A$18,Dienste!$C$18,IF(AG20=Dienste!$A$19,Dienste!$C$19,IF(AG20=Dienste!$A$20,Dienste!$C$20,IF(AG20=Dienste!$A$21,Dienste!$C$21,IF(AG20=Dienste!$A$22,Dienste!$C$22,IF(AG20=Dienste!$A$23,Dienste!$C$23,IF(AG20=Dienste!$A$24,Dienste!$C$24,IF(AG20=Dienste!$A$25,Dienste!$C$25,IF(AG20=Dienste!$A$26,Dienste!$C$26,IF(AG20=Dienste!$A$27,Dienste!$C$27,IF(AG20=Dienste!$A$28,Dienste!$C$28,IF(AG20=Dienste!#REF!,Dienste!#REF!,IF(AG20=Dienste!#REF!,Dienste!#REF!,IF(AG20=Dienste!#REF!,Dienste!#REF!,IF(AG20=Dienste!#REF!,Dienste!#REF!,IF(AG20=Dienste!$A$33,Dienste!$C$33,IF(AG20=Dienste!$A$34,Dienste!$C$34,IF(AG20=Dienste!$A$35,Dienste!$C$35,IF(AG20=Dienste!$A$36,Dienste!$C$36,)))))))))))))))))))))))))))))))))))</f>
        <v>0</v>
      </c>
      <c r="CB20" s="27">
        <f>IF(AH20=Dienste!$A$2,Dienste!$C$2,IF(AH20=Dienste!$A$3,Dienste!$C$3,IF(AH20=Dienste!$A$4,Dienste!$C$4,IF(AH20=Dienste!$A$5,Dienste!$C$5,IF(AH20=Dienste!$A$6,Dienste!$C$6,IF(AH20=Dienste!$A$7,Dienste!$C$7,IF(AH20=Dienste!$A$8,Dienste!$C$8,IF(AH20=Dienste!$A$9,Dienste!$C$9,IF(AH20=Dienste!$A$10,Dienste!$C$10,IF(AH20=Dienste!$A$11,Dienste!$C$11,IF(AH20=Dienste!$A$12,Dienste!$C$12,IF(AH20=Dienste!$A$13,Dienste!$C$13,IF(AH20=Dienste!$A$14,Dienste!$C$14,IF(AH20=Dienste!$A$15,Dienste!$C$15,IF(AH20=Dienste!$A$16,Dienste!$C$16,IF(AH20=Dienste!$A$17,Dienste!$C$17,IF(AH20=Dienste!$A$18,Dienste!$C$18,IF(AH20=Dienste!$A$19,Dienste!$C$19,IF(AH20=Dienste!$A$20,Dienste!$C$20,IF(AH20=Dienste!$A$21,Dienste!$C$21,IF(AH20=Dienste!$A$22,Dienste!$C$22,IF(AH20=Dienste!$A$23,Dienste!$C$23,IF(AH20=Dienste!$A$24,Dienste!$C$24,IF(AH20=Dienste!$A$25,Dienste!$C$25,IF(AH20=Dienste!$A$26,Dienste!$C$26,IF(AH20=Dienste!$A$27,Dienste!$C$27,IF(AH20=Dienste!$A$28,Dienste!$C$28,IF(AH20=Dienste!#REF!,Dienste!#REF!,IF(AH20=Dienste!#REF!,Dienste!#REF!,IF(AH20=Dienste!#REF!,Dienste!#REF!,IF(AH20=Dienste!#REF!,Dienste!#REF!,IF(AH20=Dienste!$A$33,Dienste!$C$33,IF(AH20=Dienste!$A$34,Dienste!$C$34,IF(AH20=Dienste!$A$35,Dienste!$C$35,IF(AH20=Dienste!$A$36,Dienste!$C$36,)))))))))))))))))))))))))))))))))))</f>
        <v>8</v>
      </c>
      <c r="CC20" s="27" t="e">
        <f>IF(AI20=Dienste!$A$2,Dienste!$C$2,IF(AI20=Dienste!$A$3,Dienste!$C$3,IF(AI20=Dienste!$A$4,Dienste!$C$4,IF(AI20=Dienste!$A$5,Dienste!$C$5,IF(AI20=Dienste!$A$6,Dienste!$C$6,IF(AI20=Dienste!$A$7,Dienste!$C$7,IF(AI20=Dienste!$A$8,Dienste!$C$8,IF(AI20=Dienste!$A$9,Dienste!$C$9,IF(AI20=Dienste!$A$10,Dienste!$C$10,IF(AI20=Dienste!$A$11,Dienste!$C$11,IF(AI20=Dienste!$A$12,Dienste!$C$12,IF(AI20=Dienste!$A$13,Dienste!$C$13,IF(AI20=Dienste!$A$14,Dienste!$C$14,IF(AI20=Dienste!$A$15,Dienste!$C$15,IF(AI20=Dienste!$A$16,Dienste!$C$16,IF(AI20=Dienste!$A$17,Dienste!$C$17,IF(AI20=Dienste!$A$18,Dienste!$C$18,IF(AI20=Dienste!$A$19,Dienste!$C$19,IF(AI20=Dienste!$A$20,Dienste!$C$20,IF(AI20=Dienste!$A$21,Dienste!$C$21,IF(AI20=Dienste!$A$22,Dienste!$C$22,IF(AI20=Dienste!$A$23,Dienste!$C$23,IF(AI20=Dienste!$A$24,Dienste!$C$24,IF(AI20=Dienste!$A$25,Dienste!$C$25,IF(AI20=Dienste!$A$26,Dienste!$C$26,IF(AI20=Dienste!$A$27,Dienste!$C$27,IF(AI20=Dienste!$A$28,Dienste!$C$28,IF(AI20=Dienste!#REF!,Dienste!#REF!,IF(AI20=Dienste!#REF!,Dienste!#REF!,IF(AI20=Dienste!#REF!,Dienste!#REF!,IF(AI20=Dienste!#REF!,Dienste!#REF!,IF(AI20=Dienste!$A$33,Dienste!$C$33,IF(AI20=Dienste!$A$34,Dienste!$C$34,IF(AI20=Dienste!$A$35,Dienste!$C$35,IF(AI20=Dienste!$A$36,Dienste!$C$36,)))))))))))))))))))))))))))))))))))</f>
        <v>#REF!</v>
      </c>
    </row>
    <row r="21" spans="1:81" x14ac:dyDescent="0.25">
      <c r="A21" s="109" t="s">
        <v>337</v>
      </c>
      <c r="B21" s="15" t="s">
        <v>230</v>
      </c>
      <c r="C21" s="15">
        <v>40</v>
      </c>
      <c r="D21" s="98">
        <v>1</v>
      </c>
      <c r="E21" s="104" t="s">
        <v>83</v>
      </c>
      <c r="F21" s="9" t="s">
        <v>31</v>
      </c>
      <c r="G21" s="9" t="s">
        <v>31</v>
      </c>
      <c r="H21" s="9" t="s">
        <v>31</v>
      </c>
      <c r="I21" s="9" t="s">
        <v>31</v>
      </c>
      <c r="J21" s="9" t="s">
        <v>31</v>
      </c>
      <c r="K21" s="9" t="s">
        <v>35</v>
      </c>
      <c r="L21" s="9" t="s">
        <v>83</v>
      </c>
      <c r="M21" s="9" t="s">
        <v>31</v>
      </c>
      <c r="N21" s="9" t="s">
        <v>31</v>
      </c>
      <c r="O21" s="9" t="s">
        <v>32</v>
      </c>
      <c r="P21" s="9" t="s">
        <v>31</v>
      </c>
      <c r="Q21" s="9" t="s">
        <v>69</v>
      </c>
      <c r="R21" s="9" t="s">
        <v>69</v>
      </c>
      <c r="S21" s="9" t="s">
        <v>83</v>
      </c>
      <c r="T21" s="9" t="s">
        <v>43</v>
      </c>
      <c r="U21" s="9" t="s">
        <v>32</v>
      </c>
      <c r="V21" s="9" t="s">
        <v>43</v>
      </c>
      <c r="W21" s="9" t="s">
        <v>31</v>
      </c>
      <c r="X21" s="9" t="s">
        <v>31</v>
      </c>
      <c r="Y21" s="9" t="s">
        <v>84</v>
      </c>
      <c r="Z21" s="9" t="s">
        <v>84</v>
      </c>
      <c r="AA21" s="9" t="s">
        <v>63</v>
      </c>
      <c r="AB21" s="9" t="s">
        <v>63</v>
      </c>
      <c r="AC21" s="9" t="s">
        <v>63</v>
      </c>
      <c r="AD21" s="9" t="s">
        <v>63</v>
      </c>
      <c r="AE21" s="9" t="s">
        <v>63</v>
      </c>
      <c r="AF21" s="9" t="s">
        <v>84</v>
      </c>
      <c r="AG21" s="9" t="s">
        <v>84</v>
      </c>
      <c r="AH21" s="9" t="s">
        <v>31</v>
      </c>
      <c r="AI21" s="15"/>
      <c r="AJ21" s="109">
        <v>27</v>
      </c>
      <c r="AK21" s="15">
        <v>168</v>
      </c>
      <c r="AL21" s="109">
        <v>176</v>
      </c>
      <c r="AM21" s="15">
        <v>35</v>
      </c>
      <c r="AN21" s="170">
        <v>8</v>
      </c>
      <c r="AO21" s="109">
        <v>0</v>
      </c>
      <c r="AP21" s="15">
        <v>0</v>
      </c>
      <c r="AQ21" s="98">
        <v>4</v>
      </c>
      <c r="AR21" s="109">
        <v>60</v>
      </c>
      <c r="AS21" s="15">
        <v>41.92307692307692</v>
      </c>
      <c r="AT21" s="98">
        <v>26</v>
      </c>
      <c r="AU21" s="96" t="e">
        <f t="shared" si="2"/>
        <v>#REF!</v>
      </c>
      <c r="AV21" s="58" t="e">
        <f t="shared" si="0"/>
        <v>#REF!</v>
      </c>
      <c r="AW21" s="58" t="e">
        <f t="shared" si="1"/>
        <v>#REF!</v>
      </c>
      <c r="AY21" s="27">
        <f>IF(E21=Dienste!$A$2,Dienste!$C$2,IF(E21=Dienste!$A$3,Dienste!$C$3,IF(E21=Dienste!$A$4,Dienste!$C$4,IF(E21=Dienste!$A$5,Dienste!$C$5,IF(E21=Dienste!$A$6,Dienste!$C$6,IF(E21=Dienste!$A$7,Dienste!$C$7,IF(E21=Dienste!$A$8,Dienste!$C$8,IF(E21=Dienste!$A$9,Dienste!$C$9,IF(E21=Dienste!$A$10,Dienste!$C$10,IF(E21=Dienste!$A$11,Dienste!$C$11,IF(E21=Dienste!$A$12,Dienste!$C$12,IF(E21=Dienste!$A$13,Dienste!$C$13,IF(E21=Dienste!$A$14,Dienste!$C$14,IF(E21=Dienste!$A$15,Dienste!$C$15,IF(E21=Dienste!$A$16,Dienste!$C$16,IF(E21=Dienste!$A$17,Dienste!$C$17,IF(E21=Dienste!$A$18,Dienste!$C$18,IF(E21=Dienste!$A$19,Dienste!$C$19,IF(E21=Dienste!$A$20,Dienste!$C$20,IF(E21=Dienste!$A$21,Dienste!$C$21,IF(E21=Dienste!$A$22,Dienste!$C$22,IF(E21=Dienste!$A$23,Dienste!$C$23,IF(E21=Dienste!$A$24,Dienste!$C$24,IF(E21=Dienste!$A$25,Dienste!$C$25,IF(E21=Dienste!$A$26,Dienste!$C$26,IF(E21=Dienste!$A$27,Dienste!$C$27,IF(E21=Dienste!$A$28,Dienste!$C$28,IF(E21=Dienste!#REF!,Dienste!#REF!,IF(E21=Dienste!#REF!,Dienste!#REF!,IF(E21=Dienste!#REF!,Dienste!#REF!,IF(E21=Dienste!#REF!,Dienste!#REF!,IF(E21=Dienste!$A$33,Dienste!$C$33,IF(E21=Dienste!$A$34,Dienste!$C$34,IF(E21=Dienste!$A$35,Dienste!$C$35,IF(E21=Dienste!$A$36,Dienste!$C$36,)))))))))))))))))))))))))))))))))))</f>
        <v>0</v>
      </c>
      <c r="AZ21" s="27">
        <f>IF(F21=Dienste!$A$2,Dienste!$C$2,IF(F21=Dienste!$A$3,Dienste!$C$3,IF(F21=Dienste!$A$4,Dienste!$C$4,IF(F21=Dienste!$A$5,Dienste!$C$5,IF(F21=Dienste!$A$6,Dienste!$C$6,IF(F21=Dienste!$A$7,Dienste!$C$7,IF(F21=Dienste!$A$8,Dienste!$C$8,IF(F21=Dienste!$A$9,Dienste!$C$9,IF(F21=Dienste!$A$10,Dienste!$C$10,IF(F21=Dienste!$A$11,Dienste!$C$11,IF(F21=Dienste!$A$12,Dienste!$C$12,IF(F21=Dienste!$A$13,Dienste!$C$13,IF(F21=Dienste!$A$14,Dienste!$C$14,IF(F21=Dienste!$A$15,Dienste!$C$15,IF(F21=Dienste!$A$16,Dienste!$C$16,IF(F21=Dienste!$A$17,Dienste!$C$17,IF(F21=Dienste!$A$18,Dienste!$C$18,IF(F21=Dienste!$A$19,Dienste!$C$19,IF(F21=Dienste!$A$20,Dienste!$C$20,IF(F21=Dienste!$A$21,Dienste!$C$21,IF(F21=Dienste!$A$22,Dienste!$C$22,IF(F21=Dienste!$A$23,Dienste!$C$23,IF(F21=Dienste!$A$24,Dienste!$C$24,IF(F21=Dienste!$A$25,Dienste!$C$25,IF(F21=Dienste!$A$26,Dienste!$C$26,IF(F21=Dienste!$A$27,Dienste!$C$27,IF(F21=Dienste!$A$28,Dienste!$C$28,IF(F21=Dienste!#REF!,Dienste!#REF!,IF(F21=Dienste!#REF!,Dienste!#REF!,IF(F21=Dienste!#REF!,Dienste!#REF!,IF(F21=Dienste!#REF!,Dienste!#REF!,IF(F21=Dienste!$A$33,Dienste!$C$33,IF(F21=Dienste!$A$34,Dienste!$C$34,IF(F21=Dienste!$A$35,Dienste!$C$35,IF(F21=Dienste!$A$36,Dienste!$C$36,)))))))))))))))))))))))))))))))))))</f>
        <v>8</v>
      </c>
      <c r="BA21" s="27">
        <f>IF(G21=Dienste!$A$2,Dienste!$C$2,IF(G21=Dienste!$A$3,Dienste!$C$3,IF(G21=Dienste!$A$4,Dienste!$C$4,IF(G21=Dienste!$A$5,Dienste!$C$5,IF(G21=Dienste!$A$6,Dienste!$C$6,IF(G21=Dienste!$A$7,Dienste!$C$7,IF(G21=Dienste!$A$8,Dienste!$C$8,IF(G21=Dienste!$A$9,Dienste!$C$9,IF(G21=Dienste!$A$10,Dienste!$C$10,IF(G21=Dienste!$A$11,Dienste!$C$11,IF(G21=Dienste!$A$12,Dienste!$C$12,IF(G21=Dienste!$A$13,Dienste!$C$13,IF(G21=Dienste!$A$14,Dienste!$C$14,IF(G21=Dienste!$A$15,Dienste!$C$15,IF(G21=Dienste!$A$16,Dienste!$C$16,IF(G21=Dienste!$A$17,Dienste!$C$17,IF(G21=Dienste!$A$18,Dienste!$C$18,IF(G21=Dienste!$A$19,Dienste!$C$19,IF(G21=Dienste!$A$20,Dienste!$C$20,IF(G21=Dienste!$A$21,Dienste!$C$21,IF(G21=Dienste!$A$22,Dienste!$C$22,IF(G21=Dienste!$A$23,Dienste!$C$23,IF(G21=Dienste!$A$24,Dienste!$C$24,IF(G21=Dienste!$A$25,Dienste!$C$25,IF(G21=Dienste!$A$26,Dienste!$C$26,IF(G21=Dienste!$A$27,Dienste!$C$27,IF(G21=Dienste!$A$28,Dienste!$C$28,IF(G21=Dienste!#REF!,Dienste!#REF!,IF(G21=Dienste!#REF!,Dienste!#REF!,IF(G21=Dienste!#REF!,Dienste!#REF!,IF(G21=Dienste!#REF!,Dienste!#REF!,IF(G21=Dienste!$A$33,Dienste!$C$33,IF(G21=Dienste!$A$34,Dienste!$C$34,IF(G21=Dienste!$A$35,Dienste!$C$35,IF(G21=Dienste!$A$36,Dienste!$C$36,)))))))))))))))))))))))))))))))))))</f>
        <v>8</v>
      </c>
      <c r="BB21" s="27">
        <f>IF(H21=Dienste!$A$2,Dienste!$C$2,IF(H21=Dienste!$A$3,Dienste!$C$3,IF(H21=Dienste!$A$4,Dienste!$C$4,IF(H21=Dienste!$A$5,Dienste!$C$5,IF(H21=Dienste!$A$6,Dienste!$C$6,IF(H21=Dienste!$A$7,Dienste!$C$7,IF(H21=Dienste!$A$8,Dienste!$C$8,IF(H21=Dienste!$A$9,Dienste!$C$9,IF(H21=Dienste!$A$10,Dienste!$C$10,IF(H21=Dienste!$A$11,Dienste!$C$11,IF(H21=Dienste!$A$12,Dienste!$C$12,IF(H21=Dienste!$A$13,Dienste!$C$13,IF(H21=Dienste!$A$14,Dienste!$C$14,IF(H21=Dienste!$A$15,Dienste!$C$15,IF(H21=Dienste!$A$16,Dienste!$C$16,IF(H21=Dienste!$A$17,Dienste!$C$17,IF(H21=Dienste!$A$18,Dienste!$C$18,IF(H21=Dienste!$A$19,Dienste!$C$19,IF(H21=Dienste!$A$20,Dienste!$C$20,IF(H21=Dienste!$A$21,Dienste!$C$21,IF(H21=Dienste!$A$22,Dienste!$C$22,IF(H21=Dienste!$A$23,Dienste!$C$23,IF(H21=Dienste!$A$24,Dienste!$C$24,IF(H21=Dienste!$A$25,Dienste!$C$25,IF(H21=Dienste!$A$26,Dienste!$C$26,IF(H21=Dienste!$A$27,Dienste!$C$27,IF(H21=Dienste!$A$28,Dienste!$C$28,IF(H21=Dienste!#REF!,Dienste!#REF!,IF(H21=Dienste!#REF!,Dienste!#REF!,IF(H21=Dienste!#REF!,Dienste!#REF!,IF(H21=Dienste!#REF!,Dienste!#REF!,IF(H21=Dienste!$A$33,Dienste!$C$33,IF(H21=Dienste!$A$34,Dienste!$C$34,IF(H21=Dienste!$A$35,Dienste!$C$35,IF(H21=Dienste!$A$36,Dienste!$C$36,)))))))))))))))))))))))))))))))))))</f>
        <v>8</v>
      </c>
      <c r="BC21" s="27">
        <f>IF(I21=Dienste!$A$2,Dienste!$C$2,IF(I21=Dienste!$A$3,Dienste!$C$3,IF(I21=Dienste!$A$4,Dienste!$C$4,IF(I21=Dienste!$A$5,Dienste!$C$5,IF(I21=Dienste!$A$6,Dienste!$C$6,IF(I21=Dienste!$A$7,Dienste!$C$7,IF(I21=Dienste!$A$8,Dienste!$C$8,IF(I21=Dienste!$A$9,Dienste!$C$9,IF(I21=Dienste!$A$10,Dienste!$C$10,IF(I21=Dienste!$A$11,Dienste!$C$11,IF(I21=Dienste!$A$12,Dienste!$C$12,IF(I21=Dienste!$A$13,Dienste!$C$13,IF(I21=Dienste!$A$14,Dienste!$C$14,IF(I21=Dienste!$A$15,Dienste!$C$15,IF(I21=Dienste!$A$16,Dienste!$C$16,IF(I21=Dienste!$A$17,Dienste!$C$17,IF(I21=Dienste!$A$18,Dienste!$C$18,IF(I21=Dienste!$A$19,Dienste!$C$19,IF(I21=Dienste!$A$20,Dienste!$C$20,IF(I21=Dienste!$A$21,Dienste!$C$21,IF(I21=Dienste!$A$22,Dienste!$C$22,IF(I21=Dienste!$A$23,Dienste!$C$23,IF(I21=Dienste!$A$24,Dienste!$C$24,IF(I21=Dienste!$A$25,Dienste!$C$25,IF(I21=Dienste!$A$26,Dienste!$C$26,IF(I21=Dienste!$A$27,Dienste!$C$27,IF(I21=Dienste!$A$28,Dienste!$C$28,IF(I21=Dienste!#REF!,Dienste!#REF!,IF(I21=Dienste!#REF!,Dienste!#REF!,IF(I21=Dienste!#REF!,Dienste!#REF!,IF(I21=Dienste!#REF!,Dienste!#REF!,IF(I21=Dienste!$A$33,Dienste!$C$33,IF(I21=Dienste!$A$34,Dienste!$C$34,IF(I21=Dienste!$A$35,Dienste!$C$35,IF(I21=Dienste!$A$36,Dienste!$C$36,)))))))))))))))))))))))))))))))))))</f>
        <v>8</v>
      </c>
      <c r="BD21" s="27">
        <f>IF(J21=Dienste!$A$2,Dienste!$C$2,IF(J21=Dienste!$A$3,Dienste!$C$3,IF(J21=Dienste!$A$4,Dienste!$C$4,IF(J21=Dienste!$A$5,Dienste!$C$5,IF(J21=Dienste!$A$6,Dienste!$C$6,IF(J21=Dienste!$A$7,Dienste!$C$7,IF(J21=Dienste!$A$8,Dienste!$C$8,IF(J21=Dienste!$A$9,Dienste!$C$9,IF(J21=Dienste!$A$10,Dienste!$C$10,IF(J21=Dienste!$A$11,Dienste!$C$11,IF(J21=Dienste!$A$12,Dienste!$C$12,IF(J21=Dienste!$A$13,Dienste!$C$13,IF(J21=Dienste!$A$14,Dienste!$C$14,IF(J21=Dienste!$A$15,Dienste!$C$15,IF(J21=Dienste!$A$16,Dienste!$C$16,IF(J21=Dienste!$A$17,Dienste!$C$17,IF(J21=Dienste!$A$18,Dienste!$C$18,IF(J21=Dienste!$A$19,Dienste!$C$19,IF(J21=Dienste!$A$20,Dienste!$C$20,IF(J21=Dienste!$A$21,Dienste!$C$21,IF(J21=Dienste!$A$22,Dienste!$C$22,IF(J21=Dienste!$A$23,Dienste!$C$23,IF(J21=Dienste!$A$24,Dienste!$C$24,IF(J21=Dienste!$A$25,Dienste!$C$25,IF(J21=Dienste!$A$26,Dienste!$C$26,IF(J21=Dienste!$A$27,Dienste!$C$27,IF(J21=Dienste!$A$28,Dienste!$C$28,IF(J21=Dienste!#REF!,Dienste!#REF!,IF(J21=Dienste!#REF!,Dienste!#REF!,IF(J21=Dienste!#REF!,Dienste!#REF!,IF(J21=Dienste!#REF!,Dienste!#REF!,IF(J21=Dienste!$A$33,Dienste!$C$33,IF(J21=Dienste!$A$34,Dienste!$C$34,IF(J21=Dienste!$A$35,Dienste!$C$35,IF(J21=Dienste!$A$36,Dienste!$C$36,)))))))))))))))))))))))))))))))))))</f>
        <v>8</v>
      </c>
      <c r="BE21" s="27">
        <f>IF(K21=Dienste!$A$2,Dienste!$C$2,IF(K21=Dienste!$A$3,Dienste!$C$3,IF(K21=Dienste!$A$4,Dienste!$C$4,IF(K21=Dienste!$A$5,Dienste!$C$5,IF(K21=Dienste!$A$6,Dienste!$C$6,IF(K21=Dienste!$A$7,Dienste!$C$7,IF(K21=Dienste!$A$8,Dienste!$C$8,IF(K21=Dienste!$A$9,Dienste!$C$9,IF(K21=Dienste!$A$10,Dienste!$C$10,IF(K21=Dienste!$A$11,Dienste!$C$11,IF(K21=Dienste!$A$12,Dienste!$C$12,IF(K21=Dienste!$A$13,Dienste!$C$13,IF(K21=Dienste!$A$14,Dienste!$C$14,IF(K21=Dienste!$A$15,Dienste!$C$15,IF(K21=Dienste!$A$16,Dienste!$C$16,IF(K21=Dienste!$A$17,Dienste!$C$17,IF(K21=Dienste!$A$18,Dienste!$C$18,IF(K21=Dienste!$A$19,Dienste!$C$19,IF(K21=Dienste!$A$20,Dienste!$C$20,IF(K21=Dienste!$A$21,Dienste!$C$21,IF(K21=Dienste!$A$22,Dienste!$C$22,IF(K21=Dienste!$A$23,Dienste!$C$23,IF(K21=Dienste!$A$24,Dienste!$C$24,IF(K21=Dienste!$A$25,Dienste!$C$25,IF(K21=Dienste!$A$26,Dienste!$C$26,IF(K21=Dienste!$A$27,Dienste!$C$27,IF(K21=Dienste!$A$28,Dienste!$C$28,IF(K21=Dienste!#REF!,Dienste!#REF!,IF(K21=Dienste!#REF!,Dienste!#REF!,IF(K21=Dienste!#REF!,Dienste!#REF!,IF(K21=Dienste!#REF!,Dienste!#REF!,IF(K21=Dienste!$A$33,Dienste!$C$33,IF(K21=Dienste!$A$34,Dienste!$C$34,IF(K21=Dienste!$A$35,Dienste!$C$35,IF(K21=Dienste!$A$36,Dienste!$C$36,)))))))))))))))))))))))))))))))))))</f>
        <v>0</v>
      </c>
      <c r="BF21" s="27">
        <f>IF(L21=Dienste!$A$2,Dienste!$C$2,IF(L21=Dienste!$A$3,Dienste!$C$3,IF(L21=Dienste!$A$4,Dienste!$C$4,IF(L21=Dienste!$A$5,Dienste!$C$5,IF(L21=Dienste!$A$6,Dienste!$C$6,IF(L21=Dienste!$A$7,Dienste!$C$7,IF(L21=Dienste!$A$8,Dienste!$C$8,IF(L21=Dienste!$A$9,Dienste!$C$9,IF(L21=Dienste!$A$10,Dienste!$C$10,IF(L21=Dienste!$A$11,Dienste!$C$11,IF(L21=Dienste!$A$12,Dienste!$C$12,IF(L21=Dienste!$A$13,Dienste!$C$13,IF(L21=Dienste!$A$14,Dienste!$C$14,IF(L21=Dienste!$A$15,Dienste!$C$15,IF(L21=Dienste!$A$16,Dienste!$C$16,IF(L21=Dienste!$A$17,Dienste!$C$17,IF(L21=Dienste!$A$18,Dienste!$C$18,IF(L21=Dienste!$A$19,Dienste!$C$19,IF(L21=Dienste!$A$20,Dienste!$C$20,IF(L21=Dienste!$A$21,Dienste!$C$21,IF(L21=Dienste!$A$22,Dienste!$C$22,IF(L21=Dienste!$A$23,Dienste!$C$23,IF(L21=Dienste!$A$24,Dienste!$C$24,IF(L21=Dienste!$A$25,Dienste!$C$25,IF(L21=Dienste!$A$26,Dienste!$C$26,IF(L21=Dienste!$A$27,Dienste!$C$27,IF(L21=Dienste!$A$28,Dienste!$C$28,IF(L21=Dienste!#REF!,Dienste!#REF!,IF(L21=Dienste!#REF!,Dienste!#REF!,IF(L21=Dienste!#REF!,Dienste!#REF!,IF(L21=Dienste!#REF!,Dienste!#REF!,IF(L21=Dienste!$A$33,Dienste!$C$33,IF(L21=Dienste!$A$34,Dienste!$C$34,IF(L21=Dienste!$A$35,Dienste!$C$35,IF(L21=Dienste!$A$36,Dienste!$C$36,)))))))))))))))))))))))))))))))))))</f>
        <v>0</v>
      </c>
      <c r="BG21" s="27">
        <f>IF(M21=Dienste!$A$2,Dienste!$C$2,IF(M21=Dienste!$A$3,Dienste!$C$3,IF(M21=Dienste!$A$4,Dienste!$C$4,IF(M21=Dienste!$A$5,Dienste!$C$5,IF(M21=Dienste!$A$6,Dienste!$C$6,IF(M21=Dienste!$A$7,Dienste!$C$7,IF(M21=Dienste!$A$8,Dienste!$C$8,IF(M21=Dienste!$A$9,Dienste!$C$9,IF(M21=Dienste!$A$10,Dienste!$C$10,IF(M21=Dienste!$A$11,Dienste!$C$11,IF(M21=Dienste!$A$12,Dienste!$C$12,IF(M21=Dienste!$A$13,Dienste!$C$13,IF(M21=Dienste!$A$14,Dienste!$C$14,IF(M21=Dienste!$A$15,Dienste!$C$15,IF(M21=Dienste!$A$16,Dienste!$C$16,IF(M21=Dienste!$A$17,Dienste!$C$17,IF(M21=Dienste!$A$18,Dienste!$C$18,IF(M21=Dienste!$A$19,Dienste!$C$19,IF(M21=Dienste!$A$20,Dienste!$C$20,IF(M21=Dienste!$A$21,Dienste!$C$21,IF(M21=Dienste!$A$22,Dienste!$C$22,IF(M21=Dienste!$A$23,Dienste!$C$23,IF(M21=Dienste!$A$24,Dienste!$C$24,IF(M21=Dienste!$A$25,Dienste!$C$25,IF(M21=Dienste!$A$26,Dienste!$C$26,IF(M21=Dienste!$A$27,Dienste!$C$27,IF(M21=Dienste!$A$28,Dienste!$C$28,IF(M21=Dienste!#REF!,Dienste!#REF!,IF(M21=Dienste!#REF!,Dienste!#REF!,IF(M21=Dienste!#REF!,Dienste!#REF!,IF(M21=Dienste!#REF!,Dienste!#REF!,IF(M21=Dienste!$A$33,Dienste!$C$33,IF(M21=Dienste!$A$34,Dienste!$C$34,IF(M21=Dienste!$A$35,Dienste!$C$35,IF(M21=Dienste!$A$36,Dienste!$C$36,)))))))))))))))))))))))))))))))))))</f>
        <v>8</v>
      </c>
      <c r="BH21" s="27">
        <f>IF(N21=Dienste!$A$2,Dienste!$C$2,IF(N21=Dienste!$A$3,Dienste!$C$3,IF(N21=Dienste!$A$4,Dienste!$C$4,IF(N21=Dienste!$A$5,Dienste!$C$5,IF(N21=Dienste!$A$6,Dienste!$C$6,IF(N21=Dienste!$A$7,Dienste!$C$7,IF(N21=Dienste!$A$8,Dienste!$C$8,IF(N21=Dienste!$A$9,Dienste!$C$9,IF(N21=Dienste!$A$10,Dienste!$C$10,IF(N21=Dienste!$A$11,Dienste!$C$11,IF(N21=Dienste!$A$12,Dienste!$C$12,IF(N21=Dienste!$A$13,Dienste!$C$13,IF(N21=Dienste!$A$14,Dienste!$C$14,IF(N21=Dienste!$A$15,Dienste!$C$15,IF(N21=Dienste!$A$16,Dienste!$C$16,IF(N21=Dienste!$A$17,Dienste!$C$17,IF(N21=Dienste!$A$18,Dienste!$C$18,IF(N21=Dienste!$A$19,Dienste!$C$19,IF(N21=Dienste!$A$20,Dienste!$C$20,IF(N21=Dienste!$A$21,Dienste!$C$21,IF(N21=Dienste!$A$22,Dienste!$C$22,IF(N21=Dienste!$A$23,Dienste!$C$23,IF(N21=Dienste!$A$24,Dienste!$C$24,IF(N21=Dienste!$A$25,Dienste!$C$25,IF(N21=Dienste!$A$26,Dienste!$C$26,IF(N21=Dienste!$A$27,Dienste!$C$27,IF(N21=Dienste!$A$28,Dienste!$C$28,IF(N21=Dienste!#REF!,Dienste!#REF!,IF(N21=Dienste!#REF!,Dienste!#REF!,IF(N21=Dienste!#REF!,Dienste!#REF!,IF(N21=Dienste!#REF!,Dienste!#REF!,IF(N21=Dienste!$A$33,Dienste!$C$33,IF(N21=Dienste!$A$34,Dienste!$C$34,IF(N21=Dienste!$A$35,Dienste!$C$35,IF(N21=Dienste!$A$36,Dienste!$C$36,)))))))))))))))))))))))))))))))))))</f>
        <v>8</v>
      </c>
      <c r="BI21" s="27">
        <f>IF(O21=Dienste!$A$2,Dienste!$C$2,IF(O21=Dienste!$A$3,Dienste!$C$3,IF(O21=Dienste!$A$4,Dienste!$C$4,IF(O21=Dienste!$A$5,Dienste!$C$5,IF(O21=Dienste!$A$6,Dienste!$C$6,IF(O21=Dienste!$A$7,Dienste!$C$7,IF(O21=Dienste!$A$8,Dienste!$C$8,IF(O21=Dienste!$A$9,Dienste!$C$9,IF(O21=Dienste!$A$10,Dienste!$C$10,IF(O21=Dienste!$A$11,Dienste!$C$11,IF(O21=Dienste!$A$12,Dienste!$C$12,IF(O21=Dienste!$A$13,Dienste!$C$13,IF(O21=Dienste!$A$14,Dienste!$C$14,IF(O21=Dienste!$A$15,Dienste!$C$15,IF(O21=Dienste!$A$16,Dienste!$C$16,IF(O21=Dienste!$A$17,Dienste!$C$17,IF(O21=Dienste!$A$18,Dienste!$C$18,IF(O21=Dienste!$A$19,Dienste!$C$19,IF(O21=Dienste!$A$20,Dienste!$C$20,IF(O21=Dienste!$A$21,Dienste!$C$21,IF(O21=Dienste!$A$22,Dienste!$C$22,IF(O21=Dienste!$A$23,Dienste!$C$23,IF(O21=Dienste!$A$24,Dienste!$C$24,IF(O21=Dienste!$A$25,Dienste!$C$25,IF(O21=Dienste!$A$26,Dienste!$C$26,IF(O21=Dienste!$A$27,Dienste!$C$27,IF(O21=Dienste!$A$28,Dienste!$C$28,IF(O21=Dienste!#REF!,Dienste!#REF!,IF(O21=Dienste!#REF!,Dienste!#REF!,IF(O21=Dienste!#REF!,Dienste!#REF!,IF(O21=Dienste!#REF!,Dienste!#REF!,IF(O21=Dienste!$A$33,Dienste!$C$33,IF(O21=Dienste!$A$34,Dienste!$C$34,IF(O21=Dienste!$A$35,Dienste!$C$35,IF(O21=Dienste!$A$36,Dienste!$C$36,)))))))))))))))))))))))))))))))))))</f>
        <v>8</v>
      </c>
      <c r="BJ21" s="27">
        <f>IF(P21=Dienste!$A$2,Dienste!$C$2,IF(P21=Dienste!$A$3,Dienste!$C$3,IF(P21=Dienste!$A$4,Dienste!$C$4,IF(P21=Dienste!$A$5,Dienste!$C$5,IF(P21=Dienste!$A$6,Dienste!$C$6,IF(P21=Dienste!$A$7,Dienste!$C$7,IF(P21=Dienste!$A$8,Dienste!$C$8,IF(P21=Dienste!$A$9,Dienste!$C$9,IF(P21=Dienste!$A$10,Dienste!$C$10,IF(P21=Dienste!$A$11,Dienste!$C$11,IF(P21=Dienste!$A$12,Dienste!$C$12,IF(P21=Dienste!$A$13,Dienste!$C$13,IF(P21=Dienste!$A$14,Dienste!$C$14,IF(P21=Dienste!$A$15,Dienste!$C$15,IF(P21=Dienste!$A$16,Dienste!$C$16,IF(P21=Dienste!$A$17,Dienste!$C$17,IF(P21=Dienste!$A$18,Dienste!$C$18,IF(P21=Dienste!$A$19,Dienste!$C$19,IF(P21=Dienste!$A$20,Dienste!$C$20,IF(P21=Dienste!$A$21,Dienste!$C$21,IF(P21=Dienste!$A$22,Dienste!$C$22,IF(P21=Dienste!$A$23,Dienste!$C$23,IF(P21=Dienste!$A$24,Dienste!$C$24,IF(P21=Dienste!$A$25,Dienste!$C$25,IF(P21=Dienste!$A$26,Dienste!$C$26,IF(P21=Dienste!$A$27,Dienste!$C$27,IF(P21=Dienste!$A$28,Dienste!$C$28,IF(P21=Dienste!#REF!,Dienste!#REF!,IF(P21=Dienste!#REF!,Dienste!#REF!,IF(P21=Dienste!#REF!,Dienste!#REF!,IF(P21=Dienste!#REF!,Dienste!#REF!,IF(P21=Dienste!$A$33,Dienste!$C$33,IF(P21=Dienste!$A$34,Dienste!$C$34,IF(P21=Dienste!$A$35,Dienste!$C$35,IF(P21=Dienste!$A$36,Dienste!$C$36,)))))))))))))))))))))))))))))))))))</f>
        <v>8</v>
      </c>
      <c r="BK21" s="27">
        <f>IF(Q21=Dienste!$A$2,Dienste!$C$2,IF(Q21=Dienste!$A$3,Dienste!$C$3,IF(Q21=Dienste!$A$4,Dienste!$C$4,IF(Q21=Dienste!$A$5,Dienste!$C$5,IF(Q21=Dienste!$A$6,Dienste!$C$6,IF(Q21=Dienste!$A$7,Dienste!$C$7,IF(Q21=Dienste!$A$8,Dienste!$C$8,IF(Q21=Dienste!$A$9,Dienste!$C$9,IF(Q21=Dienste!$A$10,Dienste!$C$10,IF(Q21=Dienste!$A$11,Dienste!$C$11,IF(Q21=Dienste!$A$12,Dienste!$C$12,IF(Q21=Dienste!$A$13,Dienste!$C$13,IF(Q21=Dienste!$A$14,Dienste!$C$14,IF(Q21=Dienste!$A$15,Dienste!$C$15,IF(Q21=Dienste!$A$16,Dienste!$C$16,IF(Q21=Dienste!$A$17,Dienste!$C$17,IF(Q21=Dienste!$A$18,Dienste!$C$18,IF(Q21=Dienste!$A$19,Dienste!$C$19,IF(Q21=Dienste!$A$20,Dienste!$C$20,IF(Q21=Dienste!$A$21,Dienste!$C$21,IF(Q21=Dienste!$A$22,Dienste!$C$22,IF(Q21=Dienste!$A$23,Dienste!$C$23,IF(Q21=Dienste!$A$24,Dienste!$C$24,IF(Q21=Dienste!$A$25,Dienste!$C$25,IF(Q21=Dienste!$A$26,Dienste!$C$26,IF(Q21=Dienste!$A$27,Dienste!$C$27,IF(Q21=Dienste!$A$28,Dienste!$C$28,IF(Q21=Dienste!#REF!,Dienste!#REF!,IF(Q21=Dienste!#REF!,Dienste!#REF!,IF(Q21=Dienste!#REF!,Dienste!#REF!,IF(Q21=Dienste!#REF!,Dienste!#REF!,IF(Q21=Dienste!$A$33,Dienste!$C$33,IF(Q21=Dienste!$A$34,Dienste!$C$34,IF(Q21=Dienste!$A$35,Dienste!$C$35,IF(Q21=Dienste!$A$36,Dienste!$C$36,)))))))))))))))))))))))))))))))))))</f>
        <v>8</v>
      </c>
      <c r="BL21" s="27">
        <f>IF(R21=Dienste!$A$2,Dienste!$C$2,IF(R21=Dienste!$A$3,Dienste!$C$3,IF(R21=Dienste!$A$4,Dienste!$C$4,IF(R21=Dienste!$A$5,Dienste!$C$5,IF(R21=Dienste!$A$6,Dienste!$C$6,IF(R21=Dienste!$A$7,Dienste!$C$7,IF(R21=Dienste!$A$8,Dienste!$C$8,IF(R21=Dienste!$A$9,Dienste!$C$9,IF(R21=Dienste!$A$10,Dienste!$C$10,IF(R21=Dienste!$A$11,Dienste!$C$11,IF(R21=Dienste!$A$12,Dienste!$C$12,IF(R21=Dienste!$A$13,Dienste!$C$13,IF(R21=Dienste!$A$14,Dienste!$C$14,IF(R21=Dienste!$A$15,Dienste!$C$15,IF(R21=Dienste!$A$16,Dienste!$C$16,IF(R21=Dienste!$A$17,Dienste!$C$17,IF(R21=Dienste!$A$18,Dienste!$C$18,IF(R21=Dienste!$A$19,Dienste!$C$19,IF(R21=Dienste!$A$20,Dienste!$C$20,IF(R21=Dienste!$A$21,Dienste!$C$21,IF(R21=Dienste!$A$22,Dienste!$C$22,IF(R21=Dienste!$A$23,Dienste!$C$23,IF(R21=Dienste!$A$24,Dienste!$C$24,IF(R21=Dienste!$A$25,Dienste!$C$25,IF(R21=Dienste!$A$26,Dienste!$C$26,IF(R21=Dienste!$A$27,Dienste!$C$27,IF(R21=Dienste!$A$28,Dienste!$C$28,IF(R21=Dienste!#REF!,Dienste!#REF!,IF(R21=Dienste!#REF!,Dienste!#REF!,IF(R21=Dienste!#REF!,Dienste!#REF!,IF(R21=Dienste!#REF!,Dienste!#REF!,IF(R21=Dienste!$A$33,Dienste!$C$33,IF(R21=Dienste!$A$34,Dienste!$C$34,IF(R21=Dienste!$A$35,Dienste!$C$35,IF(R21=Dienste!$A$36,Dienste!$C$36,)))))))))))))))))))))))))))))))))))</f>
        <v>8</v>
      </c>
      <c r="BM21" s="27">
        <f>IF(S21=Dienste!$A$2,Dienste!$C$2,IF(S21=Dienste!$A$3,Dienste!$C$3,IF(S21=Dienste!$A$4,Dienste!$C$4,IF(S21=Dienste!$A$5,Dienste!$C$5,IF(S21=Dienste!$A$6,Dienste!$C$6,IF(S21=Dienste!$A$7,Dienste!$C$7,IF(S21=Dienste!$A$8,Dienste!$C$8,IF(S21=Dienste!$A$9,Dienste!$C$9,IF(S21=Dienste!$A$10,Dienste!$C$10,IF(S21=Dienste!$A$11,Dienste!$C$11,IF(S21=Dienste!$A$12,Dienste!$C$12,IF(S21=Dienste!$A$13,Dienste!$C$13,IF(S21=Dienste!$A$14,Dienste!$C$14,IF(S21=Dienste!$A$15,Dienste!$C$15,IF(S21=Dienste!$A$16,Dienste!$C$16,IF(S21=Dienste!$A$17,Dienste!$C$17,IF(S21=Dienste!$A$18,Dienste!$C$18,IF(S21=Dienste!$A$19,Dienste!$C$19,IF(S21=Dienste!$A$20,Dienste!$C$20,IF(S21=Dienste!$A$21,Dienste!$C$21,IF(S21=Dienste!$A$22,Dienste!$C$22,IF(S21=Dienste!$A$23,Dienste!$C$23,IF(S21=Dienste!$A$24,Dienste!$C$24,IF(S21=Dienste!$A$25,Dienste!$C$25,IF(S21=Dienste!$A$26,Dienste!$C$26,IF(S21=Dienste!$A$27,Dienste!$C$27,IF(S21=Dienste!$A$28,Dienste!$C$28,IF(S21=Dienste!#REF!,Dienste!#REF!,IF(S21=Dienste!#REF!,Dienste!#REF!,IF(S21=Dienste!#REF!,Dienste!#REF!,IF(S21=Dienste!#REF!,Dienste!#REF!,IF(S21=Dienste!$A$33,Dienste!$C$33,IF(S21=Dienste!$A$34,Dienste!$C$34,IF(S21=Dienste!$A$35,Dienste!$C$35,IF(S21=Dienste!$A$36,Dienste!$C$36,)))))))))))))))))))))))))))))))))))</f>
        <v>0</v>
      </c>
      <c r="BN21" s="27">
        <f>IF(T21=Dienste!$A$2,Dienste!$C$2,IF(T21=Dienste!$A$3,Dienste!$C$3,IF(T21=Dienste!$A$4,Dienste!$C$4,IF(T21=Dienste!$A$5,Dienste!$C$5,IF(T21=Dienste!$A$6,Dienste!$C$6,IF(T21=Dienste!$A$7,Dienste!$C$7,IF(T21=Dienste!$A$8,Dienste!$C$8,IF(T21=Dienste!$A$9,Dienste!$C$9,IF(T21=Dienste!$A$10,Dienste!$C$10,IF(T21=Dienste!$A$11,Dienste!$C$11,IF(T21=Dienste!$A$12,Dienste!$C$12,IF(T21=Dienste!$A$13,Dienste!$C$13,IF(T21=Dienste!$A$14,Dienste!$C$14,IF(T21=Dienste!$A$15,Dienste!$C$15,IF(T21=Dienste!$A$16,Dienste!$C$16,IF(T21=Dienste!$A$17,Dienste!$C$17,IF(T21=Dienste!$A$18,Dienste!$C$18,IF(T21=Dienste!$A$19,Dienste!$C$19,IF(T21=Dienste!$A$20,Dienste!$C$20,IF(T21=Dienste!$A$21,Dienste!$C$21,IF(T21=Dienste!$A$22,Dienste!$C$22,IF(T21=Dienste!$A$23,Dienste!$C$23,IF(T21=Dienste!$A$24,Dienste!$C$24,IF(T21=Dienste!$A$25,Dienste!$C$25,IF(T21=Dienste!$A$26,Dienste!$C$26,IF(T21=Dienste!$A$27,Dienste!$C$27,IF(T21=Dienste!$A$28,Dienste!$C$28,IF(T21=Dienste!#REF!,Dienste!#REF!,IF(T21=Dienste!#REF!,Dienste!#REF!,IF(T21=Dienste!#REF!,Dienste!#REF!,IF(T21=Dienste!#REF!,Dienste!#REF!,IF(T21=Dienste!$A$33,Dienste!$C$33,IF(T21=Dienste!$A$34,Dienste!$C$34,IF(T21=Dienste!$A$35,Dienste!$C$35,IF(T21=Dienste!$A$36,Dienste!$C$36,)))))))))))))))))))))))))))))))))))</f>
        <v>8</v>
      </c>
      <c r="BO21" s="27">
        <f>IF(U21=Dienste!$A$2,Dienste!$C$2,IF(U21=Dienste!$A$3,Dienste!$C$3,IF(U21=Dienste!$A$4,Dienste!$C$4,IF(U21=Dienste!$A$5,Dienste!$C$5,IF(U21=Dienste!$A$6,Dienste!$C$6,IF(U21=Dienste!$A$7,Dienste!$C$7,IF(U21=Dienste!$A$8,Dienste!$C$8,IF(U21=Dienste!$A$9,Dienste!$C$9,IF(U21=Dienste!$A$10,Dienste!$C$10,IF(U21=Dienste!$A$11,Dienste!$C$11,IF(U21=Dienste!$A$12,Dienste!$C$12,IF(U21=Dienste!$A$13,Dienste!$C$13,IF(U21=Dienste!$A$14,Dienste!$C$14,IF(U21=Dienste!$A$15,Dienste!$C$15,IF(U21=Dienste!$A$16,Dienste!$C$16,IF(U21=Dienste!$A$17,Dienste!$C$17,IF(U21=Dienste!$A$18,Dienste!$C$18,IF(U21=Dienste!$A$19,Dienste!$C$19,IF(U21=Dienste!$A$20,Dienste!$C$20,IF(U21=Dienste!$A$21,Dienste!$C$21,IF(U21=Dienste!$A$22,Dienste!$C$22,IF(U21=Dienste!$A$23,Dienste!$C$23,IF(U21=Dienste!$A$24,Dienste!$C$24,IF(U21=Dienste!$A$25,Dienste!$C$25,IF(U21=Dienste!$A$26,Dienste!$C$26,IF(U21=Dienste!$A$27,Dienste!$C$27,IF(U21=Dienste!$A$28,Dienste!$C$28,IF(U21=Dienste!#REF!,Dienste!#REF!,IF(U21=Dienste!#REF!,Dienste!#REF!,IF(U21=Dienste!#REF!,Dienste!#REF!,IF(U21=Dienste!#REF!,Dienste!#REF!,IF(U21=Dienste!$A$33,Dienste!$C$33,IF(U21=Dienste!$A$34,Dienste!$C$34,IF(U21=Dienste!$A$35,Dienste!$C$35,IF(U21=Dienste!$A$36,Dienste!$C$36,)))))))))))))))))))))))))))))))))))</f>
        <v>8</v>
      </c>
      <c r="BP21" s="27">
        <f>IF(V21=Dienste!$A$2,Dienste!$C$2,IF(V21=Dienste!$A$3,Dienste!$C$3,IF(V21=Dienste!$A$4,Dienste!$C$4,IF(V21=Dienste!$A$5,Dienste!$C$5,IF(V21=Dienste!$A$6,Dienste!$C$6,IF(V21=Dienste!$A$7,Dienste!$C$7,IF(V21=Dienste!$A$8,Dienste!$C$8,IF(V21=Dienste!$A$9,Dienste!$C$9,IF(V21=Dienste!$A$10,Dienste!$C$10,IF(V21=Dienste!$A$11,Dienste!$C$11,IF(V21=Dienste!$A$12,Dienste!$C$12,IF(V21=Dienste!$A$13,Dienste!$C$13,IF(V21=Dienste!$A$14,Dienste!$C$14,IF(V21=Dienste!$A$15,Dienste!$C$15,IF(V21=Dienste!$A$16,Dienste!$C$16,IF(V21=Dienste!$A$17,Dienste!$C$17,IF(V21=Dienste!$A$18,Dienste!$C$18,IF(V21=Dienste!$A$19,Dienste!$C$19,IF(V21=Dienste!$A$20,Dienste!$C$20,IF(V21=Dienste!$A$21,Dienste!$C$21,IF(V21=Dienste!$A$22,Dienste!$C$22,IF(V21=Dienste!$A$23,Dienste!$C$23,IF(V21=Dienste!$A$24,Dienste!$C$24,IF(V21=Dienste!$A$25,Dienste!$C$25,IF(V21=Dienste!$A$26,Dienste!$C$26,IF(V21=Dienste!$A$27,Dienste!$C$27,IF(V21=Dienste!$A$28,Dienste!$C$28,IF(V21=Dienste!#REF!,Dienste!#REF!,IF(V21=Dienste!#REF!,Dienste!#REF!,IF(V21=Dienste!#REF!,Dienste!#REF!,IF(V21=Dienste!#REF!,Dienste!#REF!,IF(V21=Dienste!$A$33,Dienste!$C$33,IF(V21=Dienste!$A$34,Dienste!$C$34,IF(V21=Dienste!$A$35,Dienste!$C$35,IF(V21=Dienste!$A$36,Dienste!$C$36,)))))))))))))))))))))))))))))))))))</f>
        <v>8</v>
      </c>
      <c r="BQ21" s="27">
        <f>IF(W21=Dienste!$A$2,Dienste!$C$2,IF(W21=Dienste!$A$3,Dienste!$C$3,IF(W21=Dienste!$A$4,Dienste!$C$4,IF(W21=Dienste!$A$5,Dienste!$C$5,IF(W21=Dienste!$A$6,Dienste!$C$6,IF(W21=Dienste!$A$7,Dienste!$C$7,IF(W21=Dienste!$A$8,Dienste!$C$8,IF(W21=Dienste!$A$9,Dienste!$C$9,IF(W21=Dienste!$A$10,Dienste!$C$10,IF(W21=Dienste!$A$11,Dienste!$C$11,IF(W21=Dienste!$A$12,Dienste!$C$12,IF(W21=Dienste!$A$13,Dienste!$C$13,IF(W21=Dienste!$A$14,Dienste!$C$14,IF(W21=Dienste!$A$15,Dienste!$C$15,IF(W21=Dienste!$A$16,Dienste!$C$16,IF(W21=Dienste!$A$17,Dienste!$C$17,IF(W21=Dienste!$A$18,Dienste!$C$18,IF(W21=Dienste!$A$19,Dienste!$C$19,IF(W21=Dienste!$A$20,Dienste!$C$20,IF(W21=Dienste!$A$21,Dienste!$C$21,IF(W21=Dienste!$A$22,Dienste!$C$22,IF(W21=Dienste!$A$23,Dienste!$C$23,IF(W21=Dienste!$A$24,Dienste!$C$24,IF(W21=Dienste!$A$25,Dienste!$C$25,IF(W21=Dienste!$A$26,Dienste!$C$26,IF(W21=Dienste!$A$27,Dienste!$C$27,IF(W21=Dienste!$A$28,Dienste!$C$28,IF(W21=Dienste!#REF!,Dienste!#REF!,IF(W21=Dienste!#REF!,Dienste!#REF!,IF(W21=Dienste!#REF!,Dienste!#REF!,IF(W21=Dienste!#REF!,Dienste!#REF!,IF(W21=Dienste!$A$33,Dienste!$C$33,IF(W21=Dienste!$A$34,Dienste!$C$34,IF(W21=Dienste!$A$35,Dienste!$C$35,IF(W21=Dienste!$A$36,Dienste!$C$36,)))))))))))))))))))))))))))))))))))</f>
        <v>8</v>
      </c>
      <c r="BR21" s="27">
        <f>IF(X21=Dienste!$A$2,Dienste!$C$2,IF(X21=Dienste!$A$3,Dienste!$C$3,IF(X21=Dienste!$A$4,Dienste!$C$4,IF(X21=Dienste!$A$5,Dienste!$C$5,IF(X21=Dienste!$A$6,Dienste!$C$6,IF(X21=Dienste!$A$7,Dienste!$C$7,IF(X21=Dienste!$A$8,Dienste!$C$8,IF(X21=Dienste!$A$9,Dienste!$C$9,IF(X21=Dienste!$A$10,Dienste!$C$10,IF(X21=Dienste!$A$11,Dienste!$C$11,IF(X21=Dienste!$A$12,Dienste!$C$12,IF(X21=Dienste!$A$13,Dienste!$C$13,IF(X21=Dienste!$A$14,Dienste!$C$14,IF(X21=Dienste!$A$15,Dienste!$C$15,IF(X21=Dienste!$A$16,Dienste!$C$16,IF(X21=Dienste!$A$17,Dienste!$C$17,IF(X21=Dienste!$A$18,Dienste!$C$18,IF(X21=Dienste!$A$19,Dienste!$C$19,IF(X21=Dienste!$A$20,Dienste!$C$20,IF(X21=Dienste!$A$21,Dienste!$C$21,IF(X21=Dienste!$A$22,Dienste!$C$22,IF(X21=Dienste!$A$23,Dienste!$C$23,IF(X21=Dienste!$A$24,Dienste!$C$24,IF(X21=Dienste!$A$25,Dienste!$C$25,IF(X21=Dienste!$A$26,Dienste!$C$26,IF(X21=Dienste!$A$27,Dienste!$C$27,IF(X21=Dienste!$A$28,Dienste!$C$28,IF(X21=Dienste!#REF!,Dienste!#REF!,IF(X21=Dienste!#REF!,Dienste!#REF!,IF(X21=Dienste!#REF!,Dienste!#REF!,IF(X21=Dienste!#REF!,Dienste!#REF!,IF(X21=Dienste!$A$33,Dienste!$C$33,IF(X21=Dienste!$A$34,Dienste!$C$34,IF(X21=Dienste!$A$35,Dienste!$C$35,IF(X21=Dienste!$A$36,Dienste!$C$36,)))))))))))))))))))))))))))))))))))</f>
        <v>8</v>
      </c>
      <c r="BS21" s="27">
        <f>IF(Y21=Dienste!$A$2,Dienste!$C$2,IF(Y21=Dienste!$A$3,Dienste!$C$3,IF(Y21=Dienste!$A$4,Dienste!$C$4,IF(Y21=Dienste!$A$5,Dienste!$C$5,IF(Y21=Dienste!$A$6,Dienste!$C$6,IF(Y21=Dienste!$A$7,Dienste!$C$7,IF(Y21=Dienste!$A$8,Dienste!$C$8,IF(Y21=Dienste!$A$9,Dienste!$C$9,IF(Y21=Dienste!$A$10,Dienste!$C$10,IF(Y21=Dienste!$A$11,Dienste!$C$11,IF(Y21=Dienste!$A$12,Dienste!$C$12,IF(Y21=Dienste!$A$13,Dienste!$C$13,IF(Y21=Dienste!$A$14,Dienste!$C$14,IF(Y21=Dienste!$A$15,Dienste!$C$15,IF(Y21=Dienste!$A$16,Dienste!$C$16,IF(Y21=Dienste!$A$17,Dienste!$C$17,IF(Y21=Dienste!$A$18,Dienste!$C$18,IF(Y21=Dienste!$A$19,Dienste!$C$19,IF(Y21=Dienste!$A$20,Dienste!$C$20,IF(Y21=Dienste!$A$21,Dienste!$C$21,IF(Y21=Dienste!$A$22,Dienste!$C$22,IF(Y21=Dienste!$A$23,Dienste!$C$23,IF(Y21=Dienste!$A$24,Dienste!$C$24,IF(Y21=Dienste!$A$25,Dienste!$C$25,IF(Y21=Dienste!$A$26,Dienste!$C$26,IF(Y21=Dienste!$A$27,Dienste!$C$27,IF(Y21=Dienste!$A$28,Dienste!$C$28,IF(Y21=Dienste!#REF!,Dienste!#REF!,IF(Y21=Dienste!#REF!,Dienste!#REF!,IF(Y21=Dienste!#REF!,Dienste!#REF!,IF(Y21=Dienste!#REF!,Dienste!#REF!,IF(Y21=Dienste!$A$33,Dienste!$C$33,IF(Y21=Dienste!$A$34,Dienste!$C$34,IF(Y21=Dienste!$A$35,Dienste!$C$35,IF(Y21=Dienste!$A$36,Dienste!$C$36,)))))))))))))))))))))))))))))))))))</f>
        <v>0</v>
      </c>
      <c r="BT21" s="27">
        <f>IF(Z21=Dienste!$A$2,Dienste!$C$2,IF(Z21=Dienste!$A$3,Dienste!$C$3,IF(Z21=Dienste!$A$4,Dienste!$C$4,IF(Z21=Dienste!$A$5,Dienste!$C$5,IF(Z21=Dienste!$A$6,Dienste!$C$6,IF(Z21=Dienste!$A$7,Dienste!$C$7,IF(Z21=Dienste!$A$8,Dienste!$C$8,IF(Z21=Dienste!$A$9,Dienste!$C$9,IF(Z21=Dienste!$A$10,Dienste!$C$10,IF(Z21=Dienste!$A$11,Dienste!$C$11,IF(Z21=Dienste!$A$12,Dienste!$C$12,IF(Z21=Dienste!$A$13,Dienste!$C$13,IF(Z21=Dienste!$A$14,Dienste!$C$14,IF(Z21=Dienste!$A$15,Dienste!$C$15,IF(Z21=Dienste!$A$16,Dienste!$C$16,IF(Z21=Dienste!$A$17,Dienste!$C$17,IF(Z21=Dienste!$A$18,Dienste!$C$18,IF(Z21=Dienste!$A$19,Dienste!$C$19,IF(Z21=Dienste!$A$20,Dienste!$C$20,IF(Z21=Dienste!$A$21,Dienste!$C$21,IF(Z21=Dienste!$A$22,Dienste!$C$22,IF(Z21=Dienste!$A$23,Dienste!$C$23,IF(Z21=Dienste!$A$24,Dienste!$C$24,IF(Z21=Dienste!$A$25,Dienste!$C$25,IF(Z21=Dienste!$A$26,Dienste!$C$26,IF(Z21=Dienste!$A$27,Dienste!$C$27,IF(Z21=Dienste!$A$28,Dienste!$C$28,IF(Z21=Dienste!#REF!,Dienste!#REF!,IF(Z21=Dienste!#REF!,Dienste!#REF!,IF(Z21=Dienste!#REF!,Dienste!#REF!,IF(Z21=Dienste!#REF!,Dienste!#REF!,IF(Z21=Dienste!$A$33,Dienste!$C$33,IF(Z21=Dienste!$A$34,Dienste!$C$34,IF(Z21=Dienste!$A$35,Dienste!$C$35,IF(Z21=Dienste!$A$36,Dienste!$C$36,)))))))))))))))))))))))))))))))))))</f>
        <v>0</v>
      </c>
      <c r="BU21" s="27">
        <f>IF(AA21=Dienste!$A$2,Dienste!$C$2,IF(AA21=Dienste!$A$3,Dienste!$C$3,IF(AA21=Dienste!$A$4,Dienste!$C$4,IF(AA21=Dienste!$A$5,Dienste!$C$5,IF(AA21=Dienste!$A$6,Dienste!$C$6,IF(AA21=Dienste!$A$7,Dienste!$C$7,IF(AA21=Dienste!$A$8,Dienste!$C$8,IF(AA21=Dienste!$A$9,Dienste!$C$9,IF(AA21=Dienste!$A$10,Dienste!$C$10,IF(AA21=Dienste!$A$11,Dienste!$C$11,IF(AA21=Dienste!$A$12,Dienste!$C$12,IF(AA21=Dienste!$A$13,Dienste!$C$13,IF(AA21=Dienste!$A$14,Dienste!$C$14,IF(AA21=Dienste!$A$15,Dienste!$C$15,IF(AA21=Dienste!$A$16,Dienste!$C$16,IF(AA21=Dienste!$A$17,Dienste!$C$17,IF(AA21=Dienste!$A$18,Dienste!$C$18,IF(AA21=Dienste!$A$19,Dienste!$C$19,IF(AA21=Dienste!$A$20,Dienste!$C$20,IF(AA21=Dienste!$A$21,Dienste!$C$21,IF(AA21=Dienste!$A$22,Dienste!$C$22,IF(AA21=Dienste!$A$23,Dienste!$C$23,IF(AA21=Dienste!$A$24,Dienste!$C$24,IF(AA21=Dienste!$A$25,Dienste!$C$25,IF(AA21=Dienste!$A$26,Dienste!$C$26,IF(AA21=Dienste!$A$27,Dienste!$C$27,IF(AA21=Dienste!$A$28,Dienste!$C$28,IF(AA21=Dienste!#REF!,Dienste!#REF!,IF(AA21=Dienste!#REF!,Dienste!#REF!,IF(AA21=Dienste!#REF!,Dienste!#REF!,IF(AA21=Dienste!#REF!,Dienste!#REF!,IF(AA21=Dienste!$A$33,Dienste!$C$33,IF(AA21=Dienste!$A$34,Dienste!$C$34,IF(AA21=Dienste!$A$35,Dienste!$C$35,IF(AA21=Dienste!$A$36,Dienste!$C$36,)))))))))))))))))))))))))))))))))))</f>
        <v>8</v>
      </c>
      <c r="BV21" s="27">
        <f>IF(AB21=Dienste!$A$2,Dienste!$C$2,IF(AB21=Dienste!$A$3,Dienste!$C$3,IF(AB21=Dienste!$A$4,Dienste!$C$4,IF(AB21=Dienste!$A$5,Dienste!$C$5,IF(AB21=Dienste!$A$6,Dienste!$C$6,IF(AB21=Dienste!$A$7,Dienste!$C$7,IF(AB21=Dienste!$A$8,Dienste!$C$8,IF(AB21=Dienste!$A$9,Dienste!$C$9,IF(AB21=Dienste!$A$10,Dienste!$C$10,IF(AB21=Dienste!$A$11,Dienste!$C$11,IF(AB21=Dienste!$A$12,Dienste!$C$12,IF(AB21=Dienste!$A$13,Dienste!$C$13,IF(AB21=Dienste!$A$14,Dienste!$C$14,IF(AB21=Dienste!$A$15,Dienste!$C$15,IF(AB21=Dienste!$A$16,Dienste!$C$16,IF(AB21=Dienste!$A$17,Dienste!$C$17,IF(AB21=Dienste!$A$18,Dienste!$C$18,IF(AB21=Dienste!$A$19,Dienste!$C$19,IF(AB21=Dienste!$A$20,Dienste!$C$20,IF(AB21=Dienste!$A$21,Dienste!$C$21,IF(AB21=Dienste!$A$22,Dienste!$C$22,IF(AB21=Dienste!$A$23,Dienste!$C$23,IF(AB21=Dienste!$A$24,Dienste!$C$24,IF(AB21=Dienste!$A$25,Dienste!$C$25,IF(AB21=Dienste!$A$26,Dienste!$C$26,IF(AB21=Dienste!$A$27,Dienste!$C$27,IF(AB21=Dienste!$A$28,Dienste!$C$28,IF(AB21=Dienste!#REF!,Dienste!#REF!,IF(AB21=Dienste!#REF!,Dienste!#REF!,IF(AB21=Dienste!#REF!,Dienste!#REF!,IF(AB21=Dienste!#REF!,Dienste!#REF!,IF(AB21=Dienste!$A$33,Dienste!$C$33,IF(AB21=Dienste!$A$34,Dienste!$C$34,IF(AB21=Dienste!$A$35,Dienste!$C$35,IF(AB21=Dienste!$A$36,Dienste!$C$36,)))))))))))))))))))))))))))))))))))</f>
        <v>8</v>
      </c>
      <c r="BW21" s="27">
        <f>IF(AC21=Dienste!$A$2,Dienste!$C$2,IF(AC21=Dienste!$A$3,Dienste!$C$3,IF(AC21=Dienste!$A$4,Dienste!$C$4,IF(AC21=Dienste!$A$5,Dienste!$C$5,IF(AC21=Dienste!$A$6,Dienste!$C$6,IF(AC21=Dienste!$A$7,Dienste!$C$7,IF(AC21=Dienste!$A$8,Dienste!$C$8,IF(AC21=Dienste!$A$9,Dienste!$C$9,IF(AC21=Dienste!$A$10,Dienste!$C$10,IF(AC21=Dienste!$A$11,Dienste!$C$11,IF(AC21=Dienste!$A$12,Dienste!$C$12,IF(AC21=Dienste!$A$13,Dienste!$C$13,IF(AC21=Dienste!$A$14,Dienste!$C$14,IF(AC21=Dienste!$A$15,Dienste!$C$15,IF(AC21=Dienste!$A$16,Dienste!$C$16,IF(AC21=Dienste!$A$17,Dienste!$C$17,IF(AC21=Dienste!$A$18,Dienste!$C$18,IF(AC21=Dienste!$A$19,Dienste!$C$19,IF(AC21=Dienste!$A$20,Dienste!$C$20,IF(AC21=Dienste!$A$21,Dienste!$C$21,IF(AC21=Dienste!$A$22,Dienste!$C$22,IF(AC21=Dienste!$A$23,Dienste!$C$23,IF(AC21=Dienste!$A$24,Dienste!$C$24,IF(AC21=Dienste!$A$25,Dienste!$C$25,IF(AC21=Dienste!$A$26,Dienste!$C$26,IF(AC21=Dienste!$A$27,Dienste!$C$27,IF(AC21=Dienste!$A$28,Dienste!$C$28,IF(AC21=Dienste!#REF!,Dienste!#REF!,IF(AC21=Dienste!#REF!,Dienste!#REF!,IF(AC21=Dienste!#REF!,Dienste!#REF!,IF(AC21=Dienste!#REF!,Dienste!#REF!,IF(AC21=Dienste!$A$33,Dienste!$C$33,IF(AC21=Dienste!$A$34,Dienste!$C$34,IF(AC21=Dienste!$A$35,Dienste!$C$35,IF(AC21=Dienste!$A$36,Dienste!$C$36,)))))))))))))))))))))))))))))))))))</f>
        <v>8</v>
      </c>
      <c r="BX21" s="27">
        <f>IF(AD21=Dienste!$A$2,Dienste!$C$2,IF(AD21=Dienste!$A$3,Dienste!$C$3,IF(AD21=Dienste!$A$4,Dienste!$C$4,IF(AD21=Dienste!$A$5,Dienste!$C$5,IF(AD21=Dienste!$A$6,Dienste!$C$6,IF(AD21=Dienste!$A$7,Dienste!$C$7,IF(AD21=Dienste!$A$8,Dienste!$C$8,IF(AD21=Dienste!$A$9,Dienste!$C$9,IF(AD21=Dienste!$A$10,Dienste!$C$10,IF(AD21=Dienste!$A$11,Dienste!$C$11,IF(AD21=Dienste!$A$12,Dienste!$C$12,IF(AD21=Dienste!$A$13,Dienste!$C$13,IF(AD21=Dienste!$A$14,Dienste!$C$14,IF(AD21=Dienste!$A$15,Dienste!$C$15,IF(AD21=Dienste!$A$16,Dienste!$C$16,IF(AD21=Dienste!$A$17,Dienste!$C$17,IF(AD21=Dienste!$A$18,Dienste!$C$18,IF(AD21=Dienste!$A$19,Dienste!$C$19,IF(AD21=Dienste!$A$20,Dienste!$C$20,IF(AD21=Dienste!$A$21,Dienste!$C$21,IF(AD21=Dienste!$A$22,Dienste!$C$22,IF(AD21=Dienste!$A$23,Dienste!$C$23,IF(AD21=Dienste!$A$24,Dienste!$C$24,IF(AD21=Dienste!$A$25,Dienste!$C$25,IF(AD21=Dienste!$A$26,Dienste!$C$26,IF(AD21=Dienste!$A$27,Dienste!$C$27,IF(AD21=Dienste!$A$28,Dienste!$C$28,IF(AD21=Dienste!#REF!,Dienste!#REF!,IF(AD21=Dienste!#REF!,Dienste!#REF!,IF(AD21=Dienste!#REF!,Dienste!#REF!,IF(AD21=Dienste!#REF!,Dienste!#REF!,IF(AD21=Dienste!$A$33,Dienste!$C$33,IF(AD21=Dienste!$A$34,Dienste!$C$34,IF(AD21=Dienste!$A$35,Dienste!$C$35,IF(AD21=Dienste!$A$36,Dienste!$C$36,)))))))))))))))))))))))))))))))))))</f>
        <v>8</v>
      </c>
      <c r="BY21" s="27">
        <f>IF(AE21=Dienste!$A$2,Dienste!$C$2,IF(AE21=Dienste!$A$3,Dienste!$C$3,IF(AE21=Dienste!$A$4,Dienste!$C$4,IF(AE21=Dienste!$A$5,Dienste!$C$5,IF(AE21=Dienste!$A$6,Dienste!$C$6,IF(AE21=Dienste!$A$7,Dienste!$C$7,IF(AE21=Dienste!$A$8,Dienste!$C$8,IF(AE21=Dienste!$A$9,Dienste!$C$9,IF(AE21=Dienste!$A$10,Dienste!$C$10,IF(AE21=Dienste!$A$11,Dienste!$C$11,IF(AE21=Dienste!$A$12,Dienste!$C$12,IF(AE21=Dienste!$A$13,Dienste!$C$13,IF(AE21=Dienste!$A$14,Dienste!$C$14,IF(AE21=Dienste!$A$15,Dienste!$C$15,IF(AE21=Dienste!$A$16,Dienste!$C$16,IF(AE21=Dienste!$A$17,Dienste!$C$17,IF(AE21=Dienste!$A$18,Dienste!$C$18,IF(AE21=Dienste!$A$19,Dienste!$C$19,IF(AE21=Dienste!$A$20,Dienste!$C$20,IF(AE21=Dienste!$A$21,Dienste!$C$21,IF(AE21=Dienste!$A$22,Dienste!$C$22,IF(AE21=Dienste!$A$23,Dienste!$C$23,IF(AE21=Dienste!$A$24,Dienste!$C$24,IF(AE21=Dienste!$A$25,Dienste!$C$25,IF(AE21=Dienste!$A$26,Dienste!$C$26,IF(AE21=Dienste!$A$27,Dienste!$C$27,IF(AE21=Dienste!$A$28,Dienste!$C$28,IF(AE21=Dienste!#REF!,Dienste!#REF!,IF(AE21=Dienste!#REF!,Dienste!#REF!,IF(AE21=Dienste!#REF!,Dienste!#REF!,IF(AE21=Dienste!#REF!,Dienste!#REF!,IF(AE21=Dienste!$A$33,Dienste!$C$33,IF(AE21=Dienste!$A$34,Dienste!$C$34,IF(AE21=Dienste!$A$35,Dienste!$C$35,IF(AE21=Dienste!$A$36,Dienste!$C$36,)))))))))))))))))))))))))))))))))))</f>
        <v>8</v>
      </c>
      <c r="BZ21" s="27">
        <f>IF(AF21=Dienste!$A$2,Dienste!$C$2,IF(AF21=Dienste!$A$3,Dienste!$C$3,IF(AF21=Dienste!$A$4,Dienste!$C$4,IF(AF21=Dienste!$A$5,Dienste!$C$5,IF(AF21=Dienste!$A$6,Dienste!$C$6,IF(AF21=Dienste!$A$7,Dienste!$C$7,IF(AF21=Dienste!$A$8,Dienste!$C$8,IF(AF21=Dienste!$A$9,Dienste!$C$9,IF(AF21=Dienste!$A$10,Dienste!$C$10,IF(AF21=Dienste!$A$11,Dienste!$C$11,IF(AF21=Dienste!$A$12,Dienste!$C$12,IF(AF21=Dienste!$A$13,Dienste!$C$13,IF(AF21=Dienste!$A$14,Dienste!$C$14,IF(AF21=Dienste!$A$15,Dienste!$C$15,IF(AF21=Dienste!$A$16,Dienste!$C$16,IF(AF21=Dienste!$A$17,Dienste!$C$17,IF(AF21=Dienste!$A$18,Dienste!$C$18,IF(AF21=Dienste!$A$19,Dienste!$C$19,IF(AF21=Dienste!$A$20,Dienste!$C$20,IF(AF21=Dienste!$A$21,Dienste!$C$21,IF(AF21=Dienste!$A$22,Dienste!$C$22,IF(AF21=Dienste!$A$23,Dienste!$C$23,IF(AF21=Dienste!$A$24,Dienste!$C$24,IF(AF21=Dienste!$A$25,Dienste!$C$25,IF(AF21=Dienste!$A$26,Dienste!$C$26,IF(AF21=Dienste!$A$27,Dienste!$C$27,IF(AF21=Dienste!$A$28,Dienste!$C$28,IF(AF21=Dienste!#REF!,Dienste!#REF!,IF(AF21=Dienste!#REF!,Dienste!#REF!,IF(AF21=Dienste!#REF!,Dienste!#REF!,IF(AF21=Dienste!#REF!,Dienste!#REF!,IF(AF21=Dienste!$A$33,Dienste!$C$33,IF(AF21=Dienste!$A$34,Dienste!$C$34,IF(AF21=Dienste!$A$35,Dienste!$C$35,IF(AF21=Dienste!$A$36,Dienste!$C$36,)))))))))))))))))))))))))))))))))))</f>
        <v>0</v>
      </c>
      <c r="CA21" s="27">
        <f>IF(AG21=Dienste!$A$2,Dienste!$C$2,IF(AG21=Dienste!$A$3,Dienste!$C$3,IF(AG21=Dienste!$A$4,Dienste!$C$4,IF(AG21=Dienste!$A$5,Dienste!$C$5,IF(AG21=Dienste!$A$6,Dienste!$C$6,IF(AG21=Dienste!$A$7,Dienste!$C$7,IF(AG21=Dienste!$A$8,Dienste!$C$8,IF(AG21=Dienste!$A$9,Dienste!$C$9,IF(AG21=Dienste!$A$10,Dienste!$C$10,IF(AG21=Dienste!$A$11,Dienste!$C$11,IF(AG21=Dienste!$A$12,Dienste!$C$12,IF(AG21=Dienste!$A$13,Dienste!$C$13,IF(AG21=Dienste!$A$14,Dienste!$C$14,IF(AG21=Dienste!$A$15,Dienste!$C$15,IF(AG21=Dienste!$A$16,Dienste!$C$16,IF(AG21=Dienste!$A$17,Dienste!$C$17,IF(AG21=Dienste!$A$18,Dienste!$C$18,IF(AG21=Dienste!$A$19,Dienste!$C$19,IF(AG21=Dienste!$A$20,Dienste!$C$20,IF(AG21=Dienste!$A$21,Dienste!$C$21,IF(AG21=Dienste!$A$22,Dienste!$C$22,IF(AG21=Dienste!$A$23,Dienste!$C$23,IF(AG21=Dienste!$A$24,Dienste!$C$24,IF(AG21=Dienste!$A$25,Dienste!$C$25,IF(AG21=Dienste!$A$26,Dienste!$C$26,IF(AG21=Dienste!$A$27,Dienste!$C$27,IF(AG21=Dienste!$A$28,Dienste!$C$28,IF(AG21=Dienste!#REF!,Dienste!#REF!,IF(AG21=Dienste!#REF!,Dienste!#REF!,IF(AG21=Dienste!#REF!,Dienste!#REF!,IF(AG21=Dienste!#REF!,Dienste!#REF!,IF(AG21=Dienste!$A$33,Dienste!$C$33,IF(AG21=Dienste!$A$34,Dienste!$C$34,IF(AG21=Dienste!$A$35,Dienste!$C$35,IF(AG21=Dienste!$A$36,Dienste!$C$36,)))))))))))))))))))))))))))))))))))</f>
        <v>0</v>
      </c>
      <c r="CB21" s="27">
        <f>IF(AH21=Dienste!$A$2,Dienste!$C$2,IF(AH21=Dienste!$A$3,Dienste!$C$3,IF(AH21=Dienste!$A$4,Dienste!$C$4,IF(AH21=Dienste!$A$5,Dienste!$C$5,IF(AH21=Dienste!$A$6,Dienste!$C$6,IF(AH21=Dienste!$A$7,Dienste!$C$7,IF(AH21=Dienste!$A$8,Dienste!$C$8,IF(AH21=Dienste!$A$9,Dienste!$C$9,IF(AH21=Dienste!$A$10,Dienste!$C$10,IF(AH21=Dienste!$A$11,Dienste!$C$11,IF(AH21=Dienste!$A$12,Dienste!$C$12,IF(AH21=Dienste!$A$13,Dienste!$C$13,IF(AH21=Dienste!$A$14,Dienste!$C$14,IF(AH21=Dienste!$A$15,Dienste!$C$15,IF(AH21=Dienste!$A$16,Dienste!$C$16,IF(AH21=Dienste!$A$17,Dienste!$C$17,IF(AH21=Dienste!$A$18,Dienste!$C$18,IF(AH21=Dienste!$A$19,Dienste!$C$19,IF(AH21=Dienste!$A$20,Dienste!$C$20,IF(AH21=Dienste!$A$21,Dienste!$C$21,IF(AH21=Dienste!$A$22,Dienste!$C$22,IF(AH21=Dienste!$A$23,Dienste!$C$23,IF(AH21=Dienste!$A$24,Dienste!$C$24,IF(AH21=Dienste!$A$25,Dienste!$C$25,IF(AH21=Dienste!$A$26,Dienste!$C$26,IF(AH21=Dienste!$A$27,Dienste!$C$27,IF(AH21=Dienste!$A$28,Dienste!$C$28,IF(AH21=Dienste!#REF!,Dienste!#REF!,IF(AH21=Dienste!#REF!,Dienste!#REF!,IF(AH21=Dienste!#REF!,Dienste!#REF!,IF(AH21=Dienste!#REF!,Dienste!#REF!,IF(AH21=Dienste!$A$33,Dienste!$C$33,IF(AH21=Dienste!$A$34,Dienste!$C$34,IF(AH21=Dienste!$A$35,Dienste!$C$35,IF(AH21=Dienste!$A$36,Dienste!$C$36,)))))))))))))))))))))))))))))))))))</f>
        <v>8</v>
      </c>
      <c r="CC21" s="27" t="e">
        <f>IF(AI21=Dienste!$A$2,Dienste!$C$2,IF(AI21=Dienste!$A$3,Dienste!$C$3,IF(AI21=Dienste!$A$4,Dienste!$C$4,IF(AI21=Dienste!$A$5,Dienste!$C$5,IF(AI21=Dienste!$A$6,Dienste!$C$6,IF(AI21=Dienste!$A$7,Dienste!$C$7,IF(AI21=Dienste!$A$8,Dienste!$C$8,IF(AI21=Dienste!$A$9,Dienste!$C$9,IF(AI21=Dienste!$A$10,Dienste!$C$10,IF(AI21=Dienste!$A$11,Dienste!$C$11,IF(AI21=Dienste!$A$12,Dienste!$C$12,IF(AI21=Dienste!$A$13,Dienste!$C$13,IF(AI21=Dienste!$A$14,Dienste!$C$14,IF(AI21=Dienste!$A$15,Dienste!$C$15,IF(AI21=Dienste!$A$16,Dienste!$C$16,IF(AI21=Dienste!$A$17,Dienste!$C$17,IF(AI21=Dienste!$A$18,Dienste!$C$18,IF(AI21=Dienste!$A$19,Dienste!$C$19,IF(AI21=Dienste!$A$20,Dienste!$C$20,IF(AI21=Dienste!$A$21,Dienste!$C$21,IF(AI21=Dienste!$A$22,Dienste!$C$22,IF(AI21=Dienste!$A$23,Dienste!$C$23,IF(AI21=Dienste!$A$24,Dienste!$C$24,IF(AI21=Dienste!$A$25,Dienste!$C$25,IF(AI21=Dienste!$A$26,Dienste!$C$26,IF(AI21=Dienste!$A$27,Dienste!$C$27,IF(AI21=Dienste!$A$28,Dienste!$C$28,IF(AI21=Dienste!#REF!,Dienste!#REF!,IF(AI21=Dienste!#REF!,Dienste!#REF!,IF(AI21=Dienste!#REF!,Dienste!#REF!,IF(AI21=Dienste!#REF!,Dienste!#REF!,IF(AI21=Dienste!$A$33,Dienste!$C$33,IF(AI21=Dienste!$A$34,Dienste!$C$34,IF(AI21=Dienste!$A$35,Dienste!$C$35,IF(AI21=Dienste!$A$36,Dienste!$C$36,)))))))))))))))))))))))))))))))))))</f>
        <v>#REF!</v>
      </c>
    </row>
    <row r="22" spans="1:81" x14ac:dyDescent="0.25">
      <c r="A22" s="109" t="s">
        <v>137</v>
      </c>
      <c r="B22" s="15" t="s">
        <v>61</v>
      </c>
      <c r="C22" s="15">
        <v>40</v>
      </c>
      <c r="D22" s="98">
        <v>1</v>
      </c>
      <c r="E22" s="104" t="s">
        <v>53</v>
      </c>
      <c r="F22" s="9" t="s">
        <v>65</v>
      </c>
      <c r="G22" s="9" t="s">
        <v>83</v>
      </c>
      <c r="H22" s="9" t="s">
        <v>58</v>
      </c>
      <c r="I22" s="9" t="s">
        <v>365</v>
      </c>
      <c r="J22" s="9" t="s">
        <v>63</v>
      </c>
      <c r="K22" s="9" t="s">
        <v>84</v>
      </c>
      <c r="L22" s="9" t="s">
        <v>84</v>
      </c>
      <c r="M22" s="9" t="s">
        <v>63</v>
      </c>
      <c r="N22" s="9" t="s">
        <v>63</v>
      </c>
      <c r="O22" s="9" t="s">
        <v>63</v>
      </c>
      <c r="P22" s="9" t="s">
        <v>63</v>
      </c>
      <c r="Q22" s="9" t="s">
        <v>63</v>
      </c>
      <c r="R22" s="9" t="s">
        <v>84</v>
      </c>
      <c r="S22" s="9" t="s">
        <v>84</v>
      </c>
      <c r="T22" s="9" t="s">
        <v>63</v>
      </c>
      <c r="U22" s="9" t="s">
        <v>63</v>
      </c>
      <c r="V22" s="9" t="s">
        <v>63</v>
      </c>
      <c r="W22" s="9" t="s">
        <v>63</v>
      </c>
      <c r="X22" s="9" t="s">
        <v>63</v>
      </c>
      <c r="Y22" s="9" t="s">
        <v>84</v>
      </c>
      <c r="Z22" s="9" t="s">
        <v>84</v>
      </c>
      <c r="AA22" s="9" t="s">
        <v>32</v>
      </c>
      <c r="AB22" s="9" t="s">
        <v>69</v>
      </c>
      <c r="AC22" s="9" t="s">
        <v>69</v>
      </c>
      <c r="AD22" s="9" t="s">
        <v>31</v>
      </c>
      <c r="AE22" s="9" t="s">
        <v>31</v>
      </c>
      <c r="AF22" s="9" t="s">
        <v>19</v>
      </c>
      <c r="AG22" s="9" t="s">
        <v>83</v>
      </c>
      <c r="AH22" s="9" t="s">
        <v>58</v>
      </c>
      <c r="AI22" s="15"/>
      <c r="AJ22" s="109">
        <v>32.799999999999997</v>
      </c>
      <c r="AK22" s="15">
        <v>168</v>
      </c>
      <c r="AL22" s="109">
        <v>169</v>
      </c>
      <c r="AM22" s="15">
        <v>33.799999999999997</v>
      </c>
      <c r="AN22" s="170">
        <v>1</v>
      </c>
      <c r="AO22" s="109">
        <v>28.799999999999997</v>
      </c>
      <c r="AP22" s="15">
        <v>3</v>
      </c>
      <c r="AQ22" s="98">
        <v>3</v>
      </c>
      <c r="AR22" s="109">
        <v>60</v>
      </c>
      <c r="AS22" s="15">
        <v>42.838461538461537</v>
      </c>
      <c r="AT22" s="98">
        <v>26</v>
      </c>
      <c r="AU22" s="96" t="e">
        <f t="shared" si="2"/>
        <v>#REF!</v>
      </c>
      <c r="AV22" s="27" t="e">
        <f t="shared" si="0"/>
        <v>#REF!</v>
      </c>
      <c r="AW22" s="58" t="e">
        <f t="shared" si="1"/>
        <v>#REF!</v>
      </c>
      <c r="AY22" s="27">
        <f>IF(E22=Dienste!$A$2,Dienste!$C$2,IF(E22=Dienste!$A$3,Dienste!$C$3,IF(E22=Dienste!$A$4,Dienste!$C$4,IF(E22=Dienste!$A$5,Dienste!$C$5,IF(E22=Dienste!$A$6,Dienste!$C$6,IF(E22=Dienste!$A$7,Dienste!$C$7,IF(E22=Dienste!$A$8,Dienste!$C$8,IF(E22=Dienste!$A$9,Dienste!$C$9,IF(E22=Dienste!$A$10,Dienste!$C$10,IF(E22=Dienste!$A$11,Dienste!$C$11,IF(E22=Dienste!$A$12,Dienste!$C$12,IF(E22=Dienste!$A$13,Dienste!$C$13,IF(E22=Dienste!$A$14,Dienste!$C$14,IF(E22=Dienste!$A$15,Dienste!$C$15,IF(E22=Dienste!$A$16,Dienste!$C$16,IF(E22=Dienste!$A$17,Dienste!$C$17,IF(E22=Dienste!$A$18,Dienste!$C$18,IF(E22=Dienste!$A$19,Dienste!$C$19,IF(E22=Dienste!$A$20,Dienste!$C$20,IF(E22=Dienste!$A$21,Dienste!$C$21,IF(E22=Dienste!$A$22,Dienste!$C$22,IF(E22=Dienste!$A$23,Dienste!$C$23,IF(E22=Dienste!$A$24,Dienste!$C$24,IF(E22=Dienste!$A$25,Dienste!$C$25,IF(E22=Dienste!$A$26,Dienste!$C$26,IF(E22=Dienste!$A$27,Dienste!$C$27,IF(E22=Dienste!$A$28,Dienste!$C$28,IF(E22=Dienste!#REF!,Dienste!#REF!,IF(E22=Dienste!#REF!,Dienste!#REF!,IF(E22=Dienste!#REF!,Dienste!#REF!,IF(E22=Dienste!#REF!,Dienste!#REF!,IF(E22=Dienste!$A$33,Dienste!$C$33,IF(E22=Dienste!$A$34,Dienste!$C$34,IF(E22=Dienste!$A$35,Dienste!$C$35,IF(E22=Dienste!$A$36,Dienste!$C$36,)))))))))))))))))))))))))))))))))))</f>
        <v>9</v>
      </c>
      <c r="AZ22" s="27">
        <f>IF(F22=Dienste!$A$2,Dienste!$C$2,IF(F22=Dienste!$A$3,Dienste!$C$3,IF(F22=Dienste!$A$4,Dienste!$C$4,IF(F22=Dienste!$A$5,Dienste!$C$5,IF(F22=Dienste!$A$6,Dienste!$C$6,IF(F22=Dienste!$A$7,Dienste!$C$7,IF(F22=Dienste!$A$8,Dienste!$C$8,IF(F22=Dienste!$A$9,Dienste!$C$9,IF(F22=Dienste!$A$10,Dienste!$C$10,IF(F22=Dienste!$A$11,Dienste!$C$11,IF(F22=Dienste!$A$12,Dienste!$C$12,IF(F22=Dienste!$A$13,Dienste!$C$13,IF(F22=Dienste!$A$14,Dienste!$C$14,IF(F22=Dienste!$A$15,Dienste!$C$15,IF(F22=Dienste!$A$16,Dienste!$C$16,IF(F22=Dienste!$A$17,Dienste!$C$17,IF(F22=Dienste!$A$18,Dienste!$C$18,IF(F22=Dienste!$A$19,Dienste!$C$19,IF(F22=Dienste!$A$20,Dienste!$C$20,IF(F22=Dienste!$A$21,Dienste!$C$21,IF(F22=Dienste!$A$22,Dienste!$C$22,IF(F22=Dienste!$A$23,Dienste!$C$23,IF(F22=Dienste!$A$24,Dienste!$C$24,IF(F22=Dienste!$A$25,Dienste!$C$25,IF(F22=Dienste!$A$26,Dienste!$C$26,IF(F22=Dienste!$A$27,Dienste!$C$27,IF(F22=Dienste!$A$28,Dienste!$C$28,IF(F22=Dienste!#REF!,Dienste!#REF!,IF(F22=Dienste!#REF!,Dienste!#REF!,IF(F22=Dienste!#REF!,Dienste!#REF!,IF(F22=Dienste!#REF!,Dienste!#REF!,IF(F22=Dienste!$A$33,Dienste!$C$33,IF(F22=Dienste!$A$34,Dienste!$C$34,IF(F22=Dienste!$A$35,Dienste!$C$35,IF(F22=Dienste!$A$36,Dienste!$C$36,)))))))))))))))))))))))))))))))))))</f>
        <v>8</v>
      </c>
      <c r="BA22" s="27">
        <f>IF(G22=Dienste!$A$2,Dienste!$C$2,IF(G22=Dienste!$A$3,Dienste!$C$3,IF(G22=Dienste!$A$4,Dienste!$C$4,IF(G22=Dienste!$A$5,Dienste!$C$5,IF(G22=Dienste!$A$6,Dienste!$C$6,IF(G22=Dienste!$A$7,Dienste!$C$7,IF(G22=Dienste!$A$8,Dienste!$C$8,IF(G22=Dienste!$A$9,Dienste!$C$9,IF(G22=Dienste!$A$10,Dienste!$C$10,IF(G22=Dienste!$A$11,Dienste!$C$11,IF(G22=Dienste!$A$12,Dienste!$C$12,IF(G22=Dienste!$A$13,Dienste!$C$13,IF(G22=Dienste!$A$14,Dienste!$C$14,IF(G22=Dienste!$A$15,Dienste!$C$15,IF(G22=Dienste!$A$16,Dienste!$C$16,IF(G22=Dienste!$A$17,Dienste!$C$17,IF(G22=Dienste!$A$18,Dienste!$C$18,IF(G22=Dienste!$A$19,Dienste!$C$19,IF(G22=Dienste!$A$20,Dienste!$C$20,IF(G22=Dienste!$A$21,Dienste!$C$21,IF(G22=Dienste!$A$22,Dienste!$C$22,IF(G22=Dienste!$A$23,Dienste!$C$23,IF(G22=Dienste!$A$24,Dienste!$C$24,IF(G22=Dienste!$A$25,Dienste!$C$25,IF(G22=Dienste!$A$26,Dienste!$C$26,IF(G22=Dienste!$A$27,Dienste!$C$27,IF(G22=Dienste!$A$28,Dienste!$C$28,IF(G22=Dienste!#REF!,Dienste!#REF!,IF(G22=Dienste!#REF!,Dienste!#REF!,IF(G22=Dienste!#REF!,Dienste!#REF!,IF(G22=Dienste!#REF!,Dienste!#REF!,IF(G22=Dienste!$A$33,Dienste!$C$33,IF(G22=Dienste!$A$34,Dienste!$C$34,IF(G22=Dienste!$A$35,Dienste!$C$35,IF(G22=Dienste!$A$36,Dienste!$C$36,)))))))))))))))))))))))))))))))))))</f>
        <v>0</v>
      </c>
      <c r="BB22" s="27">
        <f>IF(H22=Dienste!$A$2,Dienste!$C$2,IF(H22=Dienste!$A$3,Dienste!$C$3,IF(H22=Dienste!$A$4,Dienste!$C$4,IF(H22=Dienste!$A$5,Dienste!$C$5,IF(H22=Dienste!$A$6,Dienste!$C$6,IF(H22=Dienste!$A$7,Dienste!$C$7,IF(H22=Dienste!$A$8,Dienste!$C$8,IF(H22=Dienste!$A$9,Dienste!$C$9,IF(H22=Dienste!$A$10,Dienste!$C$10,IF(H22=Dienste!$A$11,Dienste!$C$11,IF(H22=Dienste!$A$12,Dienste!$C$12,IF(H22=Dienste!$A$13,Dienste!$C$13,IF(H22=Dienste!$A$14,Dienste!$C$14,IF(H22=Dienste!$A$15,Dienste!$C$15,IF(H22=Dienste!$A$16,Dienste!$C$16,IF(H22=Dienste!$A$17,Dienste!$C$17,IF(H22=Dienste!$A$18,Dienste!$C$18,IF(H22=Dienste!$A$19,Dienste!$C$19,IF(H22=Dienste!$A$20,Dienste!$C$20,IF(H22=Dienste!$A$21,Dienste!$C$21,IF(H22=Dienste!$A$22,Dienste!$C$22,IF(H22=Dienste!$A$23,Dienste!$C$23,IF(H22=Dienste!$A$24,Dienste!$C$24,IF(H22=Dienste!$A$25,Dienste!$C$25,IF(H22=Dienste!$A$26,Dienste!$C$26,IF(H22=Dienste!$A$27,Dienste!$C$27,IF(H22=Dienste!$A$28,Dienste!$C$28,IF(H22=Dienste!#REF!,Dienste!#REF!,IF(H22=Dienste!#REF!,Dienste!#REF!,IF(H22=Dienste!#REF!,Dienste!#REF!,IF(H22=Dienste!#REF!,Dienste!#REF!,IF(H22=Dienste!$A$33,Dienste!$C$33,IF(H22=Dienste!$A$34,Dienste!$C$34,IF(H22=Dienste!$A$35,Dienste!$C$35,IF(H22=Dienste!$A$36,Dienste!$C$36,)))))))))))))))))))))))))))))))))))</f>
        <v>8</v>
      </c>
      <c r="BC22" s="27" t="e">
        <f>IF(I22=Dienste!$A$2,Dienste!$C$2,IF(I22=Dienste!$A$3,Dienste!$C$3,IF(I22=Dienste!$A$4,Dienste!$C$4,IF(I22=Dienste!$A$5,Dienste!$C$5,IF(I22=Dienste!$A$6,Dienste!$C$6,IF(I22=Dienste!$A$7,Dienste!$C$7,IF(I22=Dienste!$A$8,Dienste!$C$8,IF(I22=Dienste!$A$9,Dienste!$C$9,IF(I22=Dienste!$A$10,Dienste!$C$10,IF(I22=Dienste!$A$11,Dienste!$C$11,IF(I22=Dienste!$A$12,Dienste!$C$12,IF(I22=Dienste!$A$13,Dienste!$C$13,IF(I22=Dienste!$A$14,Dienste!$C$14,IF(I22=Dienste!$A$15,Dienste!$C$15,IF(I22=Dienste!$A$16,Dienste!$C$16,IF(I22=Dienste!$A$17,Dienste!$C$17,IF(I22=Dienste!$A$18,Dienste!$C$18,IF(I22=Dienste!$A$19,Dienste!$C$19,IF(I22=Dienste!$A$20,Dienste!$C$20,IF(I22=Dienste!$A$21,Dienste!$C$21,IF(I22=Dienste!$A$22,Dienste!$C$22,IF(I22=Dienste!$A$23,Dienste!$C$23,IF(I22=Dienste!$A$24,Dienste!$C$24,IF(I22=Dienste!$A$25,Dienste!$C$25,IF(I22=Dienste!$A$26,Dienste!$C$26,IF(I22=Dienste!$A$27,Dienste!$C$27,IF(I22=Dienste!$A$28,Dienste!$C$28,IF(I22=Dienste!#REF!,Dienste!#REF!,IF(I22=Dienste!#REF!,Dienste!#REF!,IF(I22=Dienste!#REF!,Dienste!#REF!,IF(I22=Dienste!#REF!,Dienste!#REF!,IF(I22=Dienste!$A$33,Dienste!$C$33,IF(I22=Dienste!$A$34,Dienste!$C$34,IF(I22=Dienste!$A$35,Dienste!$C$35,IF(I22=Dienste!$A$36,Dienste!$C$36,)))))))))))))))))))))))))))))))))))</f>
        <v>#REF!</v>
      </c>
      <c r="BD22" s="27">
        <f>IF(J22=Dienste!$A$2,Dienste!$C$2,IF(J22=Dienste!$A$3,Dienste!$C$3,IF(J22=Dienste!$A$4,Dienste!$C$4,IF(J22=Dienste!$A$5,Dienste!$C$5,IF(J22=Dienste!$A$6,Dienste!$C$6,IF(J22=Dienste!$A$7,Dienste!$C$7,IF(J22=Dienste!$A$8,Dienste!$C$8,IF(J22=Dienste!$A$9,Dienste!$C$9,IF(J22=Dienste!$A$10,Dienste!$C$10,IF(J22=Dienste!$A$11,Dienste!$C$11,IF(J22=Dienste!$A$12,Dienste!$C$12,IF(J22=Dienste!$A$13,Dienste!$C$13,IF(J22=Dienste!$A$14,Dienste!$C$14,IF(J22=Dienste!$A$15,Dienste!$C$15,IF(J22=Dienste!$A$16,Dienste!$C$16,IF(J22=Dienste!$A$17,Dienste!$C$17,IF(J22=Dienste!$A$18,Dienste!$C$18,IF(J22=Dienste!$A$19,Dienste!$C$19,IF(J22=Dienste!$A$20,Dienste!$C$20,IF(J22=Dienste!$A$21,Dienste!$C$21,IF(J22=Dienste!$A$22,Dienste!$C$22,IF(J22=Dienste!$A$23,Dienste!$C$23,IF(J22=Dienste!$A$24,Dienste!$C$24,IF(J22=Dienste!$A$25,Dienste!$C$25,IF(J22=Dienste!$A$26,Dienste!$C$26,IF(J22=Dienste!$A$27,Dienste!$C$27,IF(J22=Dienste!$A$28,Dienste!$C$28,IF(J22=Dienste!#REF!,Dienste!#REF!,IF(J22=Dienste!#REF!,Dienste!#REF!,IF(J22=Dienste!#REF!,Dienste!#REF!,IF(J22=Dienste!#REF!,Dienste!#REF!,IF(J22=Dienste!$A$33,Dienste!$C$33,IF(J22=Dienste!$A$34,Dienste!$C$34,IF(J22=Dienste!$A$35,Dienste!$C$35,IF(J22=Dienste!$A$36,Dienste!$C$36,)))))))))))))))))))))))))))))))))))</f>
        <v>8</v>
      </c>
      <c r="BE22" s="27">
        <f>IF(K22=Dienste!$A$2,Dienste!$C$2,IF(K22=Dienste!$A$3,Dienste!$C$3,IF(K22=Dienste!$A$4,Dienste!$C$4,IF(K22=Dienste!$A$5,Dienste!$C$5,IF(K22=Dienste!$A$6,Dienste!$C$6,IF(K22=Dienste!$A$7,Dienste!$C$7,IF(K22=Dienste!$A$8,Dienste!$C$8,IF(K22=Dienste!$A$9,Dienste!$C$9,IF(K22=Dienste!$A$10,Dienste!$C$10,IF(K22=Dienste!$A$11,Dienste!$C$11,IF(K22=Dienste!$A$12,Dienste!$C$12,IF(K22=Dienste!$A$13,Dienste!$C$13,IF(K22=Dienste!$A$14,Dienste!$C$14,IF(K22=Dienste!$A$15,Dienste!$C$15,IF(K22=Dienste!$A$16,Dienste!$C$16,IF(K22=Dienste!$A$17,Dienste!$C$17,IF(K22=Dienste!$A$18,Dienste!$C$18,IF(K22=Dienste!$A$19,Dienste!$C$19,IF(K22=Dienste!$A$20,Dienste!$C$20,IF(K22=Dienste!$A$21,Dienste!$C$21,IF(K22=Dienste!$A$22,Dienste!$C$22,IF(K22=Dienste!$A$23,Dienste!$C$23,IF(K22=Dienste!$A$24,Dienste!$C$24,IF(K22=Dienste!$A$25,Dienste!$C$25,IF(K22=Dienste!$A$26,Dienste!$C$26,IF(K22=Dienste!$A$27,Dienste!$C$27,IF(K22=Dienste!$A$28,Dienste!$C$28,IF(K22=Dienste!#REF!,Dienste!#REF!,IF(K22=Dienste!#REF!,Dienste!#REF!,IF(K22=Dienste!#REF!,Dienste!#REF!,IF(K22=Dienste!#REF!,Dienste!#REF!,IF(K22=Dienste!$A$33,Dienste!$C$33,IF(K22=Dienste!$A$34,Dienste!$C$34,IF(K22=Dienste!$A$35,Dienste!$C$35,IF(K22=Dienste!$A$36,Dienste!$C$36,)))))))))))))))))))))))))))))))))))</f>
        <v>0</v>
      </c>
      <c r="BF22" s="27">
        <f>IF(L22=Dienste!$A$2,Dienste!$C$2,IF(L22=Dienste!$A$3,Dienste!$C$3,IF(L22=Dienste!$A$4,Dienste!$C$4,IF(L22=Dienste!$A$5,Dienste!$C$5,IF(L22=Dienste!$A$6,Dienste!$C$6,IF(L22=Dienste!$A$7,Dienste!$C$7,IF(L22=Dienste!$A$8,Dienste!$C$8,IF(L22=Dienste!$A$9,Dienste!$C$9,IF(L22=Dienste!$A$10,Dienste!$C$10,IF(L22=Dienste!$A$11,Dienste!$C$11,IF(L22=Dienste!$A$12,Dienste!$C$12,IF(L22=Dienste!$A$13,Dienste!$C$13,IF(L22=Dienste!$A$14,Dienste!$C$14,IF(L22=Dienste!$A$15,Dienste!$C$15,IF(L22=Dienste!$A$16,Dienste!$C$16,IF(L22=Dienste!$A$17,Dienste!$C$17,IF(L22=Dienste!$A$18,Dienste!$C$18,IF(L22=Dienste!$A$19,Dienste!$C$19,IF(L22=Dienste!$A$20,Dienste!$C$20,IF(L22=Dienste!$A$21,Dienste!$C$21,IF(L22=Dienste!$A$22,Dienste!$C$22,IF(L22=Dienste!$A$23,Dienste!$C$23,IF(L22=Dienste!$A$24,Dienste!$C$24,IF(L22=Dienste!$A$25,Dienste!$C$25,IF(L22=Dienste!$A$26,Dienste!$C$26,IF(L22=Dienste!$A$27,Dienste!$C$27,IF(L22=Dienste!$A$28,Dienste!$C$28,IF(L22=Dienste!#REF!,Dienste!#REF!,IF(L22=Dienste!#REF!,Dienste!#REF!,IF(L22=Dienste!#REF!,Dienste!#REF!,IF(L22=Dienste!#REF!,Dienste!#REF!,IF(L22=Dienste!$A$33,Dienste!$C$33,IF(L22=Dienste!$A$34,Dienste!$C$34,IF(L22=Dienste!$A$35,Dienste!$C$35,IF(L22=Dienste!$A$36,Dienste!$C$36,)))))))))))))))))))))))))))))))))))</f>
        <v>0</v>
      </c>
      <c r="BG22" s="27">
        <f>IF(M22=Dienste!$A$2,Dienste!$C$2,IF(M22=Dienste!$A$3,Dienste!$C$3,IF(M22=Dienste!$A$4,Dienste!$C$4,IF(M22=Dienste!$A$5,Dienste!$C$5,IF(M22=Dienste!$A$6,Dienste!$C$6,IF(M22=Dienste!$A$7,Dienste!$C$7,IF(M22=Dienste!$A$8,Dienste!$C$8,IF(M22=Dienste!$A$9,Dienste!$C$9,IF(M22=Dienste!$A$10,Dienste!$C$10,IF(M22=Dienste!$A$11,Dienste!$C$11,IF(M22=Dienste!$A$12,Dienste!$C$12,IF(M22=Dienste!$A$13,Dienste!$C$13,IF(M22=Dienste!$A$14,Dienste!$C$14,IF(M22=Dienste!$A$15,Dienste!$C$15,IF(M22=Dienste!$A$16,Dienste!$C$16,IF(M22=Dienste!$A$17,Dienste!$C$17,IF(M22=Dienste!$A$18,Dienste!$C$18,IF(M22=Dienste!$A$19,Dienste!$C$19,IF(M22=Dienste!$A$20,Dienste!$C$20,IF(M22=Dienste!$A$21,Dienste!$C$21,IF(M22=Dienste!$A$22,Dienste!$C$22,IF(M22=Dienste!$A$23,Dienste!$C$23,IF(M22=Dienste!$A$24,Dienste!$C$24,IF(M22=Dienste!$A$25,Dienste!$C$25,IF(M22=Dienste!$A$26,Dienste!$C$26,IF(M22=Dienste!$A$27,Dienste!$C$27,IF(M22=Dienste!$A$28,Dienste!$C$28,IF(M22=Dienste!#REF!,Dienste!#REF!,IF(M22=Dienste!#REF!,Dienste!#REF!,IF(M22=Dienste!#REF!,Dienste!#REF!,IF(M22=Dienste!#REF!,Dienste!#REF!,IF(M22=Dienste!$A$33,Dienste!$C$33,IF(M22=Dienste!$A$34,Dienste!$C$34,IF(M22=Dienste!$A$35,Dienste!$C$35,IF(M22=Dienste!$A$36,Dienste!$C$36,)))))))))))))))))))))))))))))))))))</f>
        <v>8</v>
      </c>
      <c r="BH22" s="27">
        <f>IF(N22=Dienste!$A$2,Dienste!$C$2,IF(N22=Dienste!$A$3,Dienste!$C$3,IF(N22=Dienste!$A$4,Dienste!$C$4,IF(N22=Dienste!$A$5,Dienste!$C$5,IF(N22=Dienste!$A$6,Dienste!$C$6,IF(N22=Dienste!$A$7,Dienste!$C$7,IF(N22=Dienste!$A$8,Dienste!$C$8,IF(N22=Dienste!$A$9,Dienste!$C$9,IF(N22=Dienste!$A$10,Dienste!$C$10,IF(N22=Dienste!$A$11,Dienste!$C$11,IF(N22=Dienste!$A$12,Dienste!$C$12,IF(N22=Dienste!$A$13,Dienste!$C$13,IF(N22=Dienste!$A$14,Dienste!$C$14,IF(N22=Dienste!$A$15,Dienste!$C$15,IF(N22=Dienste!$A$16,Dienste!$C$16,IF(N22=Dienste!$A$17,Dienste!$C$17,IF(N22=Dienste!$A$18,Dienste!$C$18,IF(N22=Dienste!$A$19,Dienste!$C$19,IF(N22=Dienste!$A$20,Dienste!$C$20,IF(N22=Dienste!$A$21,Dienste!$C$21,IF(N22=Dienste!$A$22,Dienste!$C$22,IF(N22=Dienste!$A$23,Dienste!$C$23,IF(N22=Dienste!$A$24,Dienste!$C$24,IF(N22=Dienste!$A$25,Dienste!$C$25,IF(N22=Dienste!$A$26,Dienste!$C$26,IF(N22=Dienste!$A$27,Dienste!$C$27,IF(N22=Dienste!$A$28,Dienste!$C$28,IF(N22=Dienste!#REF!,Dienste!#REF!,IF(N22=Dienste!#REF!,Dienste!#REF!,IF(N22=Dienste!#REF!,Dienste!#REF!,IF(N22=Dienste!#REF!,Dienste!#REF!,IF(N22=Dienste!$A$33,Dienste!$C$33,IF(N22=Dienste!$A$34,Dienste!$C$34,IF(N22=Dienste!$A$35,Dienste!$C$35,IF(N22=Dienste!$A$36,Dienste!$C$36,)))))))))))))))))))))))))))))))))))</f>
        <v>8</v>
      </c>
      <c r="BI22" s="27">
        <f>IF(O22=Dienste!$A$2,Dienste!$C$2,IF(O22=Dienste!$A$3,Dienste!$C$3,IF(O22=Dienste!$A$4,Dienste!$C$4,IF(O22=Dienste!$A$5,Dienste!$C$5,IF(O22=Dienste!$A$6,Dienste!$C$6,IF(O22=Dienste!$A$7,Dienste!$C$7,IF(O22=Dienste!$A$8,Dienste!$C$8,IF(O22=Dienste!$A$9,Dienste!$C$9,IF(O22=Dienste!$A$10,Dienste!$C$10,IF(O22=Dienste!$A$11,Dienste!$C$11,IF(O22=Dienste!$A$12,Dienste!$C$12,IF(O22=Dienste!$A$13,Dienste!$C$13,IF(O22=Dienste!$A$14,Dienste!$C$14,IF(O22=Dienste!$A$15,Dienste!$C$15,IF(O22=Dienste!$A$16,Dienste!$C$16,IF(O22=Dienste!$A$17,Dienste!$C$17,IF(O22=Dienste!$A$18,Dienste!$C$18,IF(O22=Dienste!$A$19,Dienste!$C$19,IF(O22=Dienste!$A$20,Dienste!$C$20,IF(O22=Dienste!$A$21,Dienste!$C$21,IF(O22=Dienste!$A$22,Dienste!$C$22,IF(O22=Dienste!$A$23,Dienste!$C$23,IF(O22=Dienste!$A$24,Dienste!$C$24,IF(O22=Dienste!$A$25,Dienste!$C$25,IF(O22=Dienste!$A$26,Dienste!$C$26,IF(O22=Dienste!$A$27,Dienste!$C$27,IF(O22=Dienste!$A$28,Dienste!$C$28,IF(O22=Dienste!#REF!,Dienste!#REF!,IF(O22=Dienste!#REF!,Dienste!#REF!,IF(O22=Dienste!#REF!,Dienste!#REF!,IF(O22=Dienste!#REF!,Dienste!#REF!,IF(O22=Dienste!$A$33,Dienste!$C$33,IF(O22=Dienste!$A$34,Dienste!$C$34,IF(O22=Dienste!$A$35,Dienste!$C$35,IF(O22=Dienste!$A$36,Dienste!$C$36,)))))))))))))))))))))))))))))))))))</f>
        <v>8</v>
      </c>
      <c r="BJ22" s="27">
        <f>IF(P22=Dienste!$A$2,Dienste!$C$2,IF(P22=Dienste!$A$3,Dienste!$C$3,IF(P22=Dienste!$A$4,Dienste!$C$4,IF(P22=Dienste!$A$5,Dienste!$C$5,IF(P22=Dienste!$A$6,Dienste!$C$6,IF(P22=Dienste!$A$7,Dienste!$C$7,IF(P22=Dienste!$A$8,Dienste!$C$8,IF(P22=Dienste!$A$9,Dienste!$C$9,IF(P22=Dienste!$A$10,Dienste!$C$10,IF(P22=Dienste!$A$11,Dienste!$C$11,IF(P22=Dienste!$A$12,Dienste!$C$12,IF(P22=Dienste!$A$13,Dienste!$C$13,IF(P22=Dienste!$A$14,Dienste!$C$14,IF(P22=Dienste!$A$15,Dienste!$C$15,IF(P22=Dienste!$A$16,Dienste!$C$16,IF(P22=Dienste!$A$17,Dienste!$C$17,IF(P22=Dienste!$A$18,Dienste!$C$18,IF(P22=Dienste!$A$19,Dienste!$C$19,IF(P22=Dienste!$A$20,Dienste!$C$20,IF(P22=Dienste!$A$21,Dienste!$C$21,IF(P22=Dienste!$A$22,Dienste!$C$22,IF(P22=Dienste!$A$23,Dienste!$C$23,IF(P22=Dienste!$A$24,Dienste!$C$24,IF(P22=Dienste!$A$25,Dienste!$C$25,IF(P22=Dienste!$A$26,Dienste!$C$26,IF(P22=Dienste!$A$27,Dienste!$C$27,IF(P22=Dienste!$A$28,Dienste!$C$28,IF(P22=Dienste!#REF!,Dienste!#REF!,IF(P22=Dienste!#REF!,Dienste!#REF!,IF(P22=Dienste!#REF!,Dienste!#REF!,IF(P22=Dienste!#REF!,Dienste!#REF!,IF(P22=Dienste!$A$33,Dienste!$C$33,IF(P22=Dienste!$A$34,Dienste!$C$34,IF(P22=Dienste!$A$35,Dienste!$C$35,IF(P22=Dienste!$A$36,Dienste!$C$36,)))))))))))))))))))))))))))))))))))</f>
        <v>8</v>
      </c>
      <c r="BK22" s="27">
        <f>IF(Q22=Dienste!$A$2,Dienste!$C$2,IF(Q22=Dienste!$A$3,Dienste!$C$3,IF(Q22=Dienste!$A$4,Dienste!$C$4,IF(Q22=Dienste!$A$5,Dienste!$C$5,IF(Q22=Dienste!$A$6,Dienste!$C$6,IF(Q22=Dienste!$A$7,Dienste!$C$7,IF(Q22=Dienste!$A$8,Dienste!$C$8,IF(Q22=Dienste!$A$9,Dienste!$C$9,IF(Q22=Dienste!$A$10,Dienste!$C$10,IF(Q22=Dienste!$A$11,Dienste!$C$11,IF(Q22=Dienste!$A$12,Dienste!$C$12,IF(Q22=Dienste!$A$13,Dienste!$C$13,IF(Q22=Dienste!$A$14,Dienste!$C$14,IF(Q22=Dienste!$A$15,Dienste!$C$15,IF(Q22=Dienste!$A$16,Dienste!$C$16,IF(Q22=Dienste!$A$17,Dienste!$C$17,IF(Q22=Dienste!$A$18,Dienste!$C$18,IF(Q22=Dienste!$A$19,Dienste!$C$19,IF(Q22=Dienste!$A$20,Dienste!$C$20,IF(Q22=Dienste!$A$21,Dienste!$C$21,IF(Q22=Dienste!$A$22,Dienste!$C$22,IF(Q22=Dienste!$A$23,Dienste!$C$23,IF(Q22=Dienste!$A$24,Dienste!$C$24,IF(Q22=Dienste!$A$25,Dienste!$C$25,IF(Q22=Dienste!$A$26,Dienste!$C$26,IF(Q22=Dienste!$A$27,Dienste!$C$27,IF(Q22=Dienste!$A$28,Dienste!$C$28,IF(Q22=Dienste!#REF!,Dienste!#REF!,IF(Q22=Dienste!#REF!,Dienste!#REF!,IF(Q22=Dienste!#REF!,Dienste!#REF!,IF(Q22=Dienste!#REF!,Dienste!#REF!,IF(Q22=Dienste!$A$33,Dienste!$C$33,IF(Q22=Dienste!$A$34,Dienste!$C$34,IF(Q22=Dienste!$A$35,Dienste!$C$35,IF(Q22=Dienste!$A$36,Dienste!$C$36,)))))))))))))))))))))))))))))))))))</f>
        <v>8</v>
      </c>
      <c r="BL22" s="27">
        <f>IF(R22=Dienste!$A$2,Dienste!$C$2,IF(R22=Dienste!$A$3,Dienste!$C$3,IF(R22=Dienste!$A$4,Dienste!$C$4,IF(R22=Dienste!$A$5,Dienste!$C$5,IF(R22=Dienste!$A$6,Dienste!$C$6,IF(R22=Dienste!$A$7,Dienste!$C$7,IF(R22=Dienste!$A$8,Dienste!$C$8,IF(R22=Dienste!$A$9,Dienste!$C$9,IF(R22=Dienste!$A$10,Dienste!$C$10,IF(R22=Dienste!$A$11,Dienste!$C$11,IF(R22=Dienste!$A$12,Dienste!$C$12,IF(R22=Dienste!$A$13,Dienste!$C$13,IF(R22=Dienste!$A$14,Dienste!$C$14,IF(R22=Dienste!$A$15,Dienste!$C$15,IF(R22=Dienste!$A$16,Dienste!$C$16,IF(R22=Dienste!$A$17,Dienste!$C$17,IF(R22=Dienste!$A$18,Dienste!$C$18,IF(R22=Dienste!$A$19,Dienste!$C$19,IF(R22=Dienste!$A$20,Dienste!$C$20,IF(R22=Dienste!$A$21,Dienste!$C$21,IF(R22=Dienste!$A$22,Dienste!$C$22,IF(R22=Dienste!$A$23,Dienste!$C$23,IF(R22=Dienste!$A$24,Dienste!$C$24,IF(R22=Dienste!$A$25,Dienste!$C$25,IF(R22=Dienste!$A$26,Dienste!$C$26,IF(R22=Dienste!$A$27,Dienste!$C$27,IF(R22=Dienste!$A$28,Dienste!$C$28,IF(R22=Dienste!#REF!,Dienste!#REF!,IF(R22=Dienste!#REF!,Dienste!#REF!,IF(R22=Dienste!#REF!,Dienste!#REF!,IF(R22=Dienste!#REF!,Dienste!#REF!,IF(R22=Dienste!$A$33,Dienste!$C$33,IF(R22=Dienste!$A$34,Dienste!$C$34,IF(R22=Dienste!$A$35,Dienste!$C$35,IF(R22=Dienste!$A$36,Dienste!$C$36,)))))))))))))))))))))))))))))))))))</f>
        <v>0</v>
      </c>
      <c r="BM22" s="27">
        <f>IF(S22=Dienste!$A$2,Dienste!$C$2,IF(S22=Dienste!$A$3,Dienste!$C$3,IF(S22=Dienste!$A$4,Dienste!$C$4,IF(S22=Dienste!$A$5,Dienste!$C$5,IF(S22=Dienste!$A$6,Dienste!$C$6,IF(S22=Dienste!$A$7,Dienste!$C$7,IF(S22=Dienste!$A$8,Dienste!$C$8,IF(S22=Dienste!$A$9,Dienste!$C$9,IF(S22=Dienste!$A$10,Dienste!$C$10,IF(S22=Dienste!$A$11,Dienste!$C$11,IF(S22=Dienste!$A$12,Dienste!$C$12,IF(S22=Dienste!$A$13,Dienste!$C$13,IF(S22=Dienste!$A$14,Dienste!$C$14,IF(S22=Dienste!$A$15,Dienste!$C$15,IF(S22=Dienste!$A$16,Dienste!$C$16,IF(S22=Dienste!$A$17,Dienste!$C$17,IF(S22=Dienste!$A$18,Dienste!$C$18,IF(S22=Dienste!$A$19,Dienste!$C$19,IF(S22=Dienste!$A$20,Dienste!$C$20,IF(S22=Dienste!$A$21,Dienste!$C$21,IF(S22=Dienste!$A$22,Dienste!$C$22,IF(S22=Dienste!$A$23,Dienste!$C$23,IF(S22=Dienste!$A$24,Dienste!$C$24,IF(S22=Dienste!$A$25,Dienste!$C$25,IF(S22=Dienste!$A$26,Dienste!$C$26,IF(S22=Dienste!$A$27,Dienste!$C$27,IF(S22=Dienste!$A$28,Dienste!$C$28,IF(S22=Dienste!#REF!,Dienste!#REF!,IF(S22=Dienste!#REF!,Dienste!#REF!,IF(S22=Dienste!#REF!,Dienste!#REF!,IF(S22=Dienste!#REF!,Dienste!#REF!,IF(S22=Dienste!$A$33,Dienste!$C$33,IF(S22=Dienste!$A$34,Dienste!$C$34,IF(S22=Dienste!$A$35,Dienste!$C$35,IF(S22=Dienste!$A$36,Dienste!$C$36,)))))))))))))))))))))))))))))))))))</f>
        <v>0</v>
      </c>
      <c r="BN22" s="27">
        <f>IF(T22=Dienste!$A$2,Dienste!$C$2,IF(T22=Dienste!$A$3,Dienste!$C$3,IF(T22=Dienste!$A$4,Dienste!$C$4,IF(T22=Dienste!$A$5,Dienste!$C$5,IF(T22=Dienste!$A$6,Dienste!$C$6,IF(T22=Dienste!$A$7,Dienste!$C$7,IF(T22=Dienste!$A$8,Dienste!$C$8,IF(T22=Dienste!$A$9,Dienste!$C$9,IF(T22=Dienste!$A$10,Dienste!$C$10,IF(T22=Dienste!$A$11,Dienste!$C$11,IF(T22=Dienste!$A$12,Dienste!$C$12,IF(T22=Dienste!$A$13,Dienste!$C$13,IF(T22=Dienste!$A$14,Dienste!$C$14,IF(T22=Dienste!$A$15,Dienste!$C$15,IF(T22=Dienste!$A$16,Dienste!$C$16,IF(T22=Dienste!$A$17,Dienste!$C$17,IF(T22=Dienste!$A$18,Dienste!$C$18,IF(T22=Dienste!$A$19,Dienste!$C$19,IF(T22=Dienste!$A$20,Dienste!$C$20,IF(T22=Dienste!$A$21,Dienste!$C$21,IF(T22=Dienste!$A$22,Dienste!$C$22,IF(T22=Dienste!$A$23,Dienste!$C$23,IF(T22=Dienste!$A$24,Dienste!$C$24,IF(T22=Dienste!$A$25,Dienste!$C$25,IF(T22=Dienste!$A$26,Dienste!$C$26,IF(T22=Dienste!$A$27,Dienste!$C$27,IF(T22=Dienste!$A$28,Dienste!$C$28,IF(T22=Dienste!#REF!,Dienste!#REF!,IF(T22=Dienste!#REF!,Dienste!#REF!,IF(T22=Dienste!#REF!,Dienste!#REF!,IF(T22=Dienste!#REF!,Dienste!#REF!,IF(T22=Dienste!$A$33,Dienste!$C$33,IF(T22=Dienste!$A$34,Dienste!$C$34,IF(T22=Dienste!$A$35,Dienste!$C$35,IF(T22=Dienste!$A$36,Dienste!$C$36,)))))))))))))))))))))))))))))))))))</f>
        <v>8</v>
      </c>
      <c r="BO22" s="27">
        <f>IF(U22=Dienste!$A$2,Dienste!$C$2,IF(U22=Dienste!$A$3,Dienste!$C$3,IF(U22=Dienste!$A$4,Dienste!$C$4,IF(U22=Dienste!$A$5,Dienste!$C$5,IF(U22=Dienste!$A$6,Dienste!$C$6,IF(U22=Dienste!$A$7,Dienste!$C$7,IF(U22=Dienste!$A$8,Dienste!$C$8,IF(U22=Dienste!$A$9,Dienste!$C$9,IF(U22=Dienste!$A$10,Dienste!$C$10,IF(U22=Dienste!$A$11,Dienste!$C$11,IF(U22=Dienste!$A$12,Dienste!$C$12,IF(U22=Dienste!$A$13,Dienste!$C$13,IF(U22=Dienste!$A$14,Dienste!$C$14,IF(U22=Dienste!$A$15,Dienste!$C$15,IF(U22=Dienste!$A$16,Dienste!$C$16,IF(U22=Dienste!$A$17,Dienste!$C$17,IF(U22=Dienste!$A$18,Dienste!$C$18,IF(U22=Dienste!$A$19,Dienste!$C$19,IF(U22=Dienste!$A$20,Dienste!$C$20,IF(U22=Dienste!$A$21,Dienste!$C$21,IF(U22=Dienste!$A$22,Dienste!$C$22,IF(U22=Dienste!$A$23,Dienste!$C$23,IF(U22=Dienste!$A$24,Dienste!$C$24,IF(U22=Dienste!$A$25,Dienste!$C$25,IF(U22=Dienste!$A$26,Dienste!$C$26,IF(U22=Dienste!$A$27,Dienste!$C$27,IF(U22=Dienste!$A$28,Dienste!$C$28,IF(U22=Dienste!#REF!,Dienste!#REF!,IF(U22=Dienste!#REF!,Dienste!#REF!,IF(U22=Dienste!#REF!,Dienste!#REF!,IF(U22=Dienste!#REF!,Dienste!#REF!,IF(U22=Dienste!$A$33,Dienste!$C$33,IF(U22=Dienste!$A$34,Dienste!$C$34,IF(U22=Dienste!$A$35,Dienste!$C$35,IF(U22=Dienste!$A$36,Dienste!$C$36,)))))))))))))))))))))))))))))))))))</f>
        <v>8</v>
      </c>
      <c r="BP22" s="27">
        <f>IF(V22=Dienste!$A$2,Dienste!$C$2,IF(V22=Dienste!$A$3,Dienste!$C$3,IF(V22=Dienste!$A$4,Dienste!$C$4,IF(V22=Dienste!$A$5,Dienste!$C$5,IF(V22=Dienste!$A$6,Dienste!$C$6,IF(V22=Dienste!$A$7,Dienste!$C$7,IF(V22=Dienste!$A$8,Dienste!$C$8,IF(V22=Dienste!$A$9,Dienste!$C$9,IF(V22=Dienste!$A$10,Dienste!$C$10,IF(V22=Dienste!$A$11,Dienste!$C$11,IF(V22=Dienste!$A$12,Dienste!$C$12,IF(V22=Dienste!$A$13,Dienste!$C$13,IF(V22=Dienste!$A$14,Dienste!$C$14,IF(V22=Dienste!$A$15,Dienste!$C$15,IF(V22=Dienste!$A$16,Dienste!$C$16,IF(V22=Dienste!$A$17,Dienste!$C$17,IF(V22=Dienste!$A$18,Dienste!$C$18,IF(V22=Dienste!$A$19,Dienste!$C$19,IF(V22=Dienste!$A$20,Dienste!$C$20,IF(V22=Dienste!$A$21,Dienste!$C$21,IF(V22=Dienste!$A$22,Dienste!$C$22,IF(V22=Dienste!$A$23,Dienste!$C$23,IF(V22=Dienste!$A$24,Dienste!$C$24,IF(V22=Dienste!$A$25,Dienste!$C$25,IF(V22=Dienste!$A$26,Dienste!$C$26,IF(V22=Dienste!$A$27,Dienste!$C$27,IF(V22=Dienste!$A$28,Dienste!$C$28,IF(V22=Dienste!#REF!,Dienste!#REF!,IF(V22=Dienste!#REF!,Dienste!#REF!,IF(V22=Dienste!#REF!,Dienste!#REF!,IF(V22=Dienste!#REF!,Dienste!#REF!,IF(V22=Dienste!$A$33,Dienste!$C$33,IF(V22=Dienste!$A$34,Dienste!$C$34,IF(V22=Dienste!$A$35,Dienste!$C$35,IF(V22=Dienste!$A$36,Dienste!$C$36,)))))))))))))))))))))))))))))))))))</f>
        <v>8</v>
      </c>
      <c r="BQ22" s="27">
        <f>IF(W22=Dienste!$A$2,Dienste!$C$2,IF(W22=Dienste!$A$3,Dienste!$C$3,IF(W22=Dienste!$A$4,Dienste!$C$4,IF(W22=Dienste!$A$5,Dienste!$C$5,IF(W22=Dienste!$A$6,Dienste!$C$6,IF(W22=Dienste!$A$7,Dienste!$C$7,IF(W22=Dienste!$A$8,Dienste!$C$8,IF(W22=Dienste!$A$9,Dienste!$C$9,IF(W22=Dienste!$A$10,Dienste!$C$10,IF(W22=Dienste!$A$11,Dienste!$C$11,IF(W22=Dienste!$A$12,Dienste!$C$12,IF(W22=Dienste!$A$13,Dienste!$C$13,IF(W22=Dienste!$A$14,Dienste!$C$14,IF(W22=Dienste!$A$15,Dienste!$C$15,IF(W22=Dienste!$A$16,Dienste!$C$16,IF(W22=Dienste!$A$17,Dienste!$C$17,IF(W22=Dienste!$A$18,Dienste!$C$18,IF(W22=Dienste!$A$19,Dienste!$C$19,IF(W22=Dienste!$A$20,Dienste!$C$20,IF(W22=Dienste!$A$21,Dienste!$C$21,IF(W22=Dienste!$A$22,Dienste!$C$22,IF(W22=Dienste!$A$23,Dienste!$C$23,IF(W22=Dienste!$A$24,Dienste!$C$24,IF(W22=Dienste!$A$25,Dienste!$C$25,IF(W22=Dienste!$A$26,Dienste!$C$26,IF(W22=Dienste!$A$27,Dienste!$C$27,IF(W22=Dienste!$A$28,Dienste!$C$28,IF(W22=Dienste!#REF!,Dienste!#REF!,IF(W22=Dienste!#REF!,Dienste!#REF!,IF(W22=Dienste!#REF!,Dienste!#REF!,IF(W22=Dienste!#REF!,Dienste!#REF!,IF(W22=Dienste!$A$33,Dienste!$C$33,IF(W22=Dienste!$A$34,Dienste!$C$34,IF(W22=Dienste!$A$35,Dienste!$C$35,IF(W22=Dienste!$A$36,Dienste!$C$36,)))))))))))))))))))))))))))))))))))</f>
        <v>8</v>
      </c>
      <c r="BR22" s="27">
        <f>IF(X22=Dienste!$A$2,Dienste!$C$2,IF(X22=Dienste!$A$3,Dienste!$C$3,IF(X22=Dienste!$A$4,Dienste!$C$4,IF(X22=Dienste!$A$5,Dienste!$C$5,IF(X22=Dienste!$A$6,Dienste!$C$6,IF(X22=Dienste!$A$7,Dienste!$C$7,IF(X22=Dienste!$A$8,Dienste!$C$8,IF(X22=Dienste!$A$9,Dienste!$C$9,IF(X22=Dienste!$A$10,Dienste!$C$10,IF(X22=Dienste!$A$11,Dienste!$C$11,IF(X22=Dienste!$A$12,Dienste!$C$12,IF(X22=Dienste!$A$13,Dienste!$C$13,IF(X22=Dienste!$A$14,Dienste!$C$14,IF(X22=Dienste!$A$15,Dienste!$C$15,IF(X22=Dienste!$A$16,Dienste!$C$16,IF(X22=Dienste!$A$17,Dienste!$C$17,IF(X22=Dienste!$A$18,Dienste!$C$18,IF(X22=Dienste!$A$19,Dienste!$C$19,IF(X22=Dienste!$A$20,Dienste!$C$20,IF(X22=Dienste!$A$21,Dienste!$C$21,IF(X22=Dienste!$A$22,Dienste!$C$22,IF(X22=Dienste!$A$23,Dienste!$C$23,IF(X22=Dienste!$A$24,Dienste!$C$24,IF(X22=Dienste!$A$25,Dienste!$C$25,IF(X22=Dienste!$A$26,Dienste!$C$26,IF(X22=Dienste!$A$27,Dienste!$C$27,IF(X22=Dienste!$A$28,Dienste!$C$28,IF(X22=Dienste!#REF!,Dienste!#REF!,IF(X22=Dienste!#REF!,Dienste!#REF!,IF(X22=Dienste!#REF!,Dienste!#REF!,IF(X22=Dienste!#REF!,Dienste!#REF!,IF(X22=Dienste!$A$33,Dienste!$C$33,IF(X22=Dienste!$A$34,Dienste!$C$34,IF(X22=Dienste!$A$35,Dienste!$C$35,IF(X22=Dienste!$A$36,Dienste!$C$36,)))))))))))))))))))))))))))))))))))</f>
        <v>8</v>
      </c>
      <c r="BS22" s="27">
        <f>IF(Y22=Dienste!$A$2,Dienste!$C$2,IF(Y22=Dienste!$A$3,Dienste!$C$3,IF(Y22=Dienste!$A$4,Dienste!$C$4,IF(Y22=Dienste!$A$5,Dienste!$C$5,IF(Y22=Dienste!$A$6,Dienste!$C$6,IF(Y22=Dienste!$A$7,Dienste!$C$7,IF(Y22=Dienste!$A$8,Dienste!$C$8,IF(Y22=Dienste!$A$9,Dienste!$C$9,IF(Y22=Dienste!$A$10,Dienste!$C$10,IF(Y22=Dienste!$A$11,Dienste!$C$11,IF(Y22=Dienste!$A$12,Dienste!$C$12,IF(Y22=Dienste!$A$13,Dienste!$C$13,IF(Y22=Dienste!$A$14,Dienste!$C$14,IF(Y22=Dienste!$A$15,Dienste!$C$15,IF(Y22=Dienste!$A$16,Dienste!$C$16,IF(Y22=Dienste!$A$17,Dienste!$C$17,IF(Y22=Dienste!$A$18,Dienste!$C$18,IF(Y22=Dienste!$A$19,Dienste!$C$19,IF(Y22=Dienste!$A$20,Dienste!$C$20,IF(Y22=Dienste!$A$21,Dienste!$C$21,IF(Y22=Dienste!$A$22,Dienste!$C$22,IF(Y22=Dienste!$A$23,Dienste!$C$23,IF(Y22=Dienste!$A$24,Dienste!$C$24,IF(Y22=Dienste!$A$25,Dienste!$C$25,IF(Y22=Dienste!$A$26,Dienste!$C$26,IF(Y22=Dienste!$A$27,Dienste!$C$27,IF(Y22=Dienste!$A$28,Dienste!$C$28,IF(Y22=Dienste!#REF!,Dienste!#REF!,IF(Y22=Dienste!#REF!,Dienste!#REF!,IF(Y22=Dienste!#REF!,Dienste!#REF!,IF(Y22=Dienste!#REF!,Dienste!#REF!,IF(Y22=Dienste!$A$33,Dienste!$C$33,IF(Y22=Dienste!$A$34,Dienste!$C$34,IF(Y22=Dienste!$A$35,Dienste!$C$35,IF(Y22=Dienste!$A$36,Dienste!$C$36,)))))))))))))))))))))))))))))))))))</f>
        <v>0</v>
      </c>
      <c r="BT22" s="27">
        <f>IF(Z22=Dienste!$A$2,Dienste!$C$2,IF(Z22=Dienste!$A$3,Dienste!$C$3,IF(Z22=Dienste!$A$4,Dienste!$C$4,IF(Z22=Dienste!$A$5,Dienste!$C$5,IF(Z22=Dienste!$A$6,Dienste!$C$6,IF(Z22=Dienste!$A$7,Dienste!$C$7,IF(Z22=Dienste!$A$8,Dienste!$C$8,IF(Z22=Dienste!$A$9,Dienste!$C$9,IF(Z22=Dienste!$A$10,Dienste!$C$10,IF(Z22=Dienste!$A$11,Dienste!$C$11,IF(Z22=Dienste!$A$12,Dienste!$C$12,IF(Z22=Dienste!$A$13,Dienste!$C$13,IF(Z22=Dienste!$A$14,Dienste!$C$14,IF(Z22=Dienste!$A$15,Dienste!$C$15,IF(Z22=Dienste!$A$16,Dienste!$C$16,IF(Z22=Dienste!$A$17,Dienste!$C$17,IF(Z22=Dienste!$A$18,Dienste!$C$18,IF(Z22=Dienste!$A$19,Dienste!$C$19,IF(Z22=Dienste!$A$20,Dienste!$C$20,IF(Z22=Dienste!$A$21,Dienste!$C$21,IF(Z22=Dienste!$A$22,Dienste!$C$22,IF(Z22=Dienste!$A$23,Dienste!$C$23,IF(Z22=Dienste!$A$24,Dienste!$C$24,IF(Z22=Dienste!$A$25,Dienste!$C$25,IF(Z22=Dienste!$A$26,Dienste!$C$26,IF(Z22=Dienste!$A$27,Dienste!$C$27,IF(Z22=Dienste!$A$28,Dienste!$C$28,IF(Z22=Dienste!#REF!,Dienste!#REF!,IF(Z22=Dienste!#REF!,Dienste!#REF!,IF(Z22=Dienste!#REF!,Dienste!#REF!,IF(Z22=Dienste!#REF!,Dienste!#REF!,IF(Z22=Dienste!$A$33,Dienste!$C$33,IF(Z22=Dienste!$A$34,Dienste!$C$34,IF(Z22=Dienste!$A$35,Dienste!$C$35,IF(Z22=Dienste!$A$36,Dienste!$C$36,)))))))))))))))))))))))))))))))))))</f>
        <v>0</v>
      </c>
      <c r="BU22" s="27">
        <f>IF(AA22=Dienste!$A$2,Dienste!$C$2,IF(AA22=Dienste!$A$3,Dienste!$C$3,IF(AA22=Dienste!$A$4,Dienste!$C$4,IF(AA22=Dienste!$A$5,Dienste!$C$5,IF(AA22=Dienste!$A$6,Dienste!$C$6,IF(AA22=Dienste!$A$7,Dienste!$C$7,IF(AA22=Dienste!$A$8,Dienste!$C$8,IF(AA22=Dienste!$A$9,Dienste!$C$9,IF(AA22=Dienste!$A$10,Dienste!$C$10,IF(AA22=Dienste!$A$11,Dienste!$C$11,IF(AA22=Dienste!$A$12,Dienste!$C$12,IF(AA22=Dienste!$A$13,Dienste!$C$13,IF(AA22=Dienste!$A$14,Dienste!$C$14,IF(AA22=Dienste!$A$15,Dienste!$C$15,IF(AA22=Dienste!$A$16,Dienste!$C$16,IF(AA22=Dienste!$A$17,Dienste!$C$17,IF(AA22=Dienste!$A$18,Dienste!$C$18,IF(AA22=Dienste!$A$19,Dienste!$C$19,IF(AA22=Dienste!$A$20,Dienste!$C$20,IF(AA22=Dienste!$A$21,Dienste!$C$21,IF(AA22=Dienste!$A$22,Dienste!$C$22,IF(AA22=Dienste!$A$23,Dienste!$C$23,IF(AA22=Dienste!$A$24,Dienste!$C$24,IF(AA22=Dienste!$A$25,Dienste!$C$25,IF(AA22=Dienste!$A$26,Dienste!$C$26,IF(AA22=Dienste!$A$27,Dienste!$C$27,IF(AA22=Dienste!$A$28,Dienste!$C$28,IF(AA22=Dienste!#REF!,Dienste!#REF!,IF(AA22=Dienste!#REF!,Dienste!#REF!,IF(AA22=Dienste!#REF!,Dienste!#REF!,IF(AA22=Dienste!#REF!,Dienste!#REF!,IF(AA22=Dienste!$A$33,Dienste!$C$33,IF(AA22=Dienste!$A$34,Dienste!$C$34,IF(AA22=Dienste!$A$35,Dienste!$C$35,IF(AA22=Dienste!$A$36,Dienste!$C$36,)))))))))))))))))))))))))))))))))))</f>
        <v>8</v>
      </c>
      <c r="BV22" s="27">
        <f>IF(AB22=Dienste!$A$2,Dienste!$C$2,IF(AB22=Dienste!$A$3,Dienste!$C$3,IF(AB22=Dienste!$A$4,Dienste!$C$4,IF(AB22=Dienste!$A$5,Dienste!$C$5,IF(AB22=Dienste!$A$6,Dienste!$C$6,IF(AB22=Dienste!$A$7,Dienste!$C$7,IF(AB22=Dienste!$A$8,Dienste!$C$8,IF(AB22=Dienste!$A$9,Dienste!$C$9,IF(AB22=Dienste!$A$10,Dienste!$C$10,IF(AB22=Dienste!$A$11,Dienste!$C$11,IF(AB22=Dienste!$A$12,Dienste!$C$12,IF(AB22=Dienste!$A$13,Dienste!$C$13,IF(AB22=Dienste!$A$14,Dienste!$C$14,IF(AB22=Dienste!$A$15,Dienste!$C$15,IF(AB22=Dienste!$A$16,Dienste!$C$16,IF(AB22=Dienste!$A$17,Dienste!$C$17,IF(AB22=Dienste!$A$18,Dienste!$C$18,IF(AB22=Dienste!$A$19,Dienste!$C$19,IF(AB22=Dienste!$A$20,Dienste!$C$20,IF(AB22=Dienste!$A$21,Dienste!$C$21,IF(AB22=Dienste!$A$22,Dienste!$C$22,IF(AB22=Dienste!$A$23,Dienste!$C$23,IF(AB22=Dienste!$A$24,Dienste!$C$24,IF(AB22=Dienste!$A$25,Dienste!$C$25,IF(AB22=Dienste!$A$26,Dienste!$C$26,IF(AB22=Dienste!$A$27,Dienste!$C$27,IF(AB22=Dienste!$A$28,Dienste!$C$28,IF(AB22=Dienste!#REF!,Dienste!#REF!,IF(AB22=Dienste!#REF!,Dienste!#REF!,IF(AB22=Dienste!#REF!,Dienste!#REF!,IF(AB22=Dienste!#REF!,Dienste!#REF!,IF(AB22=Dienste!$A$33,Dienste!$C$33,IF(AB22=Dienste!$A$34,Dienste!$C$34,IF(AB22=Dienste!$A$35,Dienste!$C$35,IF(AB22=Dienste!$A$36,Dienste!$C$36,)))))))))))))))))))))))))))))))))))</f>
        <v>8</v>
      </c>
      <c r="BW22" s="27">
        <f>IF(AC22=Dienste!$A$2,Dienste!$C$2,IF(AC22=Dienste!$A$3,Dienste!$C$3,IF(AC22=Dienste!$A$4,Dienste!$C$4,IF(AC22=Dienste!$A$5,Dienste!$C$5,IF(AC22=Dienste!$A$6,Dienste!$C$6,IF(AC22=Dienste!$A$7,Dienste!$C$7,IF(AC22=Dienste!$A$8,Dienste!$C$8,IF(AC22=Dienste!$A$9,Dienste!$C$9,IF(AC22=Dienste!$A$10,Dienste!$C$10,IF(AC22=Dienste!$A$11,Dienste!$C$11,IF(AC22=Dienste!$A$12,Dienste!$C$12,IF(AC22=Dienste!$A$13,Dienste!$C$13,IF(AC22=Dienste!$A$14,Dienste!$C$14,IF(AC22=Dienste!$A$15,Dienste!$C$15,IF(AC22=Dienste!$A$16,Dienste!$C$16,IF(AC22=Dienste!$A$17,Dienste!$C$17,IF(AC22=Dienste!$A$18,Dienste!$C$18,IF(AC22=Dienste!$A$19,Dienste!$C$19,IF(AC22=Dienste!$A$20,Dienste!$C$20,IF(AC22=Dienste!$A$21,Dienste!$C$21,IF(AC22=Dienste!$A$22,Dienste!$C$22,IF(AC22=Dienste!$A$23,Dienste!$C$23,IF(AC22=Dienste!$A$24,Dienste!$C$24,IF(AC22=Dienste!$A$25,Dienste!$C$25,IF(AC22=Dienste!$A$26,Dienste!$C$26,IF(AC22=Dienste!$A$27,Dienste!$C$27,IF(AC22=Dienste!$A$28,Dienste!$C$28,IF(AC22=Dienste!#REF!,Dienste!#REF!,IF(AC22=Dienste!#REF!,Dienste!#REF!,IF(AC22=Dienste!#REF!,Dienste!#REF!,IF(AC22=Dienste!#REF!,Dienste!#REF!,IF(AC22=Dienste!$A$33,Dienste!$C$33,IF(AC22=Dienste!$A$34,Dienste!$C$34,IF(AC22=Dienste!$A$35,Dienste!$C$35,IF(AC22=Dienste!$A$36,Dienste!$C$36,)))))))))))))))))))))))))))))))))))</f>
        <v>8</v>
      </c>
      <c r="BX22" s="27">
        <f>IF(AD22=Dienste!$A$2,Dienste!$C$2,IF(AD22=Dienste!$A$3,Dienste!$C$3,IF(AD22=Dienste!$A$4,Dienste!$C$4,IF(AD22=Dienste!$A$5,Dienste!$C$5,IF(AD22=Dienste!$A$6,Dienste!$C$6,IF(AD22=Dienste!$A$7,Dienste!$C$7,IF(AD22=Dienste!$A$8,Dienste!$C$8,IF(AD22=Dienste!$A$9,Dienste!$C$9,IF(AD22=Dienste!$A$10,Dienste!$C$10,IF(AD22=Dienste!$A$11,Dienste!$C$11,IF(AD22=Dienste!$A$12,Dienste!$C$12,IF(AD22=Dienste!$A$13,Dienste!$C$13,IF(AD22=Dienste!$A$14,Dienste!$C$14,IF(AD22=Dienste!$A$15,Dienste!$C$15,IF(AD22=Dienste!$A$16,Dienste!$C$16,IF(AD22=Dienste!$A$17,Dienste!$C$17,IF(AD22=Dienste!$A$18,Dienste!$C$18,IF(AD22=Dienste!$A$19,Dienste!$C$19,IF(AD22=Dienste!$A$20,Dienste!$C$20,IF(AD22=Dienste!$A$21,Dienste!$C$21,IF(AD22=Dienste!$A$22,Dienste!$C$22,IF(AD22=Dienste!$A$23,Dienste!$C$23,IF(AD22=Dienste!$A$24,Dienste!$C$24,IF(AD22=Dienste!$A$25,Dienste!$C$25,IF(AD22=Dienste!$A$26,Dienste!$C$26,IF(AD22=Dienste!$A$27,Dienste!$C$27,IF(AD22=Dienste!$A$28,Dienste!$C$28,IF(AD22=Dienste!#REF!,Dienste!#REF!,IF(AD22=Dienste!#REF!,Dienste!#REF!,IF(AD22=Dienste!#REF!,Dienste!#REF!,IF(AD22=Dienste!#REF!,Dienste!#REF!,IF(AD22=Dienste!$A$33,Dienste!$C$33,IF(AD22=Dienste!$A$34,Dienste!$C$34,IF(AD22=Dienste!$A$35,Dienste!$C$35,IF(AD22=Dienste!$A$36,Dienste!$C$36,)))))))))))))))))))))))))))))))))))</f>
        <v>8</v>
      </c>
      <c r="BY22" s="27">
        <f>IF(AE22=Dienste!$A$2,Dienste!$C$2,IF(AE22=Dienste!$A$3,Dienste!$C$3,IF(AE22=Dienste!$A$4,Dienste!$C$4,IF(AE22=Dienste!$A$5,Dienste!$C$5,IF(AE22=Dienste!$A$6,Dienste!$C$6,IF(AE22=Dienste!$A$7,Dienste!$C$7,IF(AE22=Dienste!$A$8,Dienste!$C$8,IF(AE22=Dienste!$A$9,Dienste!$C$9,IF(AE22=Dienste!$A$10,Dienste!$C$10,IF(AE22=Dienste!$A$11,Dienste!$C$11,IF(AE22=Dienste!$A$12,Dienste!$C$12,IF(AE22=Dienste!$A$13,Dienste!$C$13,IF(AE22=Dienste!$A$14,Dienste!$C$14,IF(AE22=Dienste!$A$15,Dienste!$C$15,IF(AE22=Dienste!$A$16,Dienste!$C$16,IF(AE22=Dienste!$A$17,Dienste!$C$17,IF(AE22=Dienste!$A$18,Dienste!$C$18,IF(AE22=Dienste!$A$19,Dienste!$C$19,IF(AE22=Dienste!$A$20,Dienste!$C$20,IF(AE22=Dienste!$A$21,Dienste!$C$21,IF(AE22=Dienste!$A$22,Dienste!$C$22,IF(AE22=Dienste!$A$23,Dienste!$C$23,IF(AE22=Dienste!$A$24,Dienste!$C$24,IF(AE22=Dienste!$A$25,Dienste!$C$25,IF(AE22=Dienste!$A$26,Dienste!$C$26,IF(AE22=Dienste!$A$27,Dienste!$C$27,IF(AE22=Dienste!$A$28,Dienste!$C$28,IF(AE22=Dienste!#REF!,Dienste!#REF!,IF(AE22=Dienste!#REF!,Dienste!#REF!,IF(AE22=Dienste!#REF!,Dienste!#REF!,IF(AE22=Dienste!#REF!,Dienste!#REF!,IF(AE22=Dienste!$A$33,Dienste!$C$33,IF(AE22=Dienste!$A$34,Dienste!$C$34,IF(AE22=Dienste!$A$35,Dienste!$C$35,IF(AE22=Dienste!$A$36,Dienste!$C$36,)))))))))))))))))))))))))))))))))))</f>
        <v>8</v>
      </c>
      <c r="BZ22" s="27">
        <f>IF(AF22=Dienste!$A$2,Dienste!$C$2,IF(AF22=Dienste!$A$3,Dienste!$C$3,IF(AF22=Dienste!$A$4,Dienste!$C$4,IF(AF22=Dienste!$A$5,Dienste!$C$5,IF(AF22=Dienste!$A$6,Dienste!$C$6,IF(AF22=Dienste!$A$7,Dienste!$C$7,IF(AF22=Dienste!$A$8,Dienste!$C$8,IF(AF22=Dienste!$A$9,Dienste!$C$9,IF(AF22=Dienste!$A$10,Dienste!$C$10,IF(AF22=Dienste!$A$11,Dienste!$C$11,IF(AF22=Dienste!$A$12,Dienste!$C$12,IF(AF22=Dienste!$A$13,Dienste!$C$13,IF(AF22=Dienste!$A$14,Dienste!$C$14,IF(AF22=Dienste!$A$15,Dienste!$C$15,IF(AF22=Dienste!$A$16,Dienste!$C$16,IF(AF22=Dienste!$A$17,Dienste!$C$17,IF(AF22=Dienste!$A$18,Dienste!$C$18,IF(AF22=Dienste!$A$19,Dienste!$C$19,IF(AF22=Dienste!$A$20,Dienste!$C$20,IF(AF22=Dienste!$A$21,Dienste!$C$21,IF(AF22=Dienste!$A$22,Dienste!$C$22,IF(AF22=Dienste!$A$23,Dienste!$C$23,IF(AF22=Dienste!$A$24,Dienste!$C$24,IF(AF22=Dienste!$A$25,Dienste!$C$25,IF(AF22=Dienste!$A$26,Dienste!$C$26,IF(AF22=Dienste!$A$27,Dienste!$C$27,IF(AF22=Dienste!$A$28,Dienste!$C$28,IF(AF22=Dienste!#REF!,Dienste!#REF!,IF(AF22=Dienste!#REF!,Dienste!#REF!,IF(AF22=Dienste!#REF!,Dienste!#REF!,IF(AF22=Dienste!#REF!,Dienste!#REF!,IF(AF22=Dienste!$A$33,Dienste!$C$33,IF(AF22=Dienste!$A$34,Dienste!$C$34,IF(AF22=Dienste!$A$35,Dienste!$C$35,IF(AF22=Dienste!$A$36,Dienste!$C$36,)))))))))))))))))))))))))))))))))))</f>
        <v>0</v>
      </c>
      <c r="CA22" s="27">
        <f>IF(AG22=Dienste!$A$2,Dienste!$C$2,IF(AG22=Dienste!$A$3,Dienste!$C$3,IF(AG22=Dienste!$A$4,Dienste!$C$4,IF(AG22=Dienste!$A$5,Dienste!$C$5,IF(AG22=Dienste!$A$6,Dienste!$C$6,IF(AG22=Dienste!$A$7,Dienste!$C$7,IF(AG22=Dienste!$A$8,Dienste!$C$8,IF(AG22=Dienste!$A$9,Dienste!$C$9,IF(AG22=Dienste!$A$10,Dienste!$C$10,IF(AG22=Dienste!$A$11,Dienste!$C$11,IF(AG22=Dienste!$A$12,Dienste!$C$12,IF(AG22=Dienste!$A$13,Dienste!$C$13,IF(AG22=Dienste!$A$14,Dienste!$C$14,IF(AG22=Dienste!$A$15,Dienste!$C$15,IF(AG22=Dienste!$A$16,Dienste!$C$16,IF(AG22=Dienste!$A$17,Dienste!$C$17,IF(AG22=Dienste!$A$18,Dienste!$C$18,IF(AG22=Dienste!$A$19,Dienste!$C$19,IF(AG22=Dienste!$A$20,Dienste!$C$20,IF(AG22=Dienste!$A$21,Dienste!$C$21,IF(AG22=Dienste!$A$22,Dienste!$C$22,IF(AG22=Dienste!$A$23,Dienste!$C$23,IF(AG22=Dienste!$A$24,Dienste!$C$24,IF(AG22=Dienste!$A$25,Dienste!$C$25,IF(AG22=Dienste!$A$26,Dienste!$C$26,IF(AG22=Dienste!$A$27,Dienste!$C$27,IF(AG22=Dienste!$A$28,Dienste!$C$28,IF(AG22=Dienste!#REF!,Dienste!#REF!,IF(AG22=Dienste!#REF!,Dienste!#REF!,IF(AG22=Dienste!#REF!,Dienste!#REF!,IF(AG22=Dienste!#REF!,Dienste!#REF!,IF(AG22=Dienste!$A$33,Dienste!$C$33,IF(AG22=Dienste!$A$34,Dienste!$C$34,IF(AG22=Dienste!$A$35,Dienste!$C$35,IF(AG22=Dienste!$A$36,Dienste!$C$36,)))))))))))))))))))))))))))))))))))</f>
        <v>0</v>
      </c>
      <c r="CB22" s="27">
        <f>IF(AH22=Dienste!$A$2,Dienste!$C$2,IF(AH22=Dienste!$A$3,Dienste!$C$3,IF(AH22=Dienste!$A$4,Dienste!$C$4,IF(AH22=Dienste!$A$5,Dienste!$C$5,IF(AH22=Dienste!$A$6,Dienste!$C$6,IF(AH22=Dienste!$A$7,Dienste!$C$7,IF(AH22=Dienste!$A$8,Dienste!$C$8,IF(AH22=Dienste!$A$9,Dienste!$C$9,IF(AH22=Dienste!$A$10,Dienste!$C$10,IF(AH22=Dienste!$A$11,Dienste!$C$11,IF(AH22=Dienste!$A$12,Dienste!$C$12,IF(AH22=Dienste!$A$13,Dienste!$C$13,IF(AH22=Dienste!$A$14,Dienste!$C$14,IF(AH22=Dienste!$A$15,Dienste!$C$15,IF(AH22=Dienste!$A$16,Dienste!$C$16,IF(AH22=Dienste!$A$17,Dienste!$C$17,IF(AH22=Dienste!$A$18,Dienste!$C$18,IF(AH22=Dienste!$A$19,Dienste!$C$19,IF(AH22=Dienste!$A$20,Dienste!$C$20,IF(AH22=Dienste!$A$21,Dienste!$C$21,IF(AH22=Dienste!$A$22,Dienste!$C$22,IF(AH22=Dienste!$A$23,Dienste!$C$23,IF(AH22=Dienste!$A$24,Dienste!$C$24,IF(AH22=Dienste!$A$25,Dienste!$C$25,IF(AH22=Dienste!$A$26,Dienste!$C$26,IF(AH22=Dienste!$A$27,Dienste!$C$27,IF(AH22=Dienste!$A$28,Dienste!$C$28,IF(AH22=Dienste!#REF!,Dienste!#REF!,IF(AH22=Dienste!#REF!,Dienste!#REF!,IF(AH22=Dienste!#REF!,Dienste!#REF!,IF(AH22=Dienste!#REF!,Dienste!#REF!,IF(AH22=Dienste!$A$33,Dienste!$C$33,IF(AH22=Dienste!$A$34,Dienste!$C$34,IF(AH22=Dienste!$A$35,Dienste!$C$35,IF(AH22=Dienste!$A$36,Dienste!$C$36,)))))))))))))))))))))))))))))))))))</f>
        <v>8</v>
      </c>
      <c r="CC22" s="27" t="e">
        <f>IF(AI22=Dienste!$A$2,Dienste!$C$2,IF(AI22=Dienste!$A$3,Dienste!$C$3,IF(AI22=Dienste!$A$4,Dienste!$C$4,IF(AI22=Dienste!$A$5,Dienste!$C$5,IF(AI22=Dienste!$A$6,Dienste!$C$6,IF(AI22=Dienste!$A$7,Dienste!$C$7,IF(AI22=Dienste!$A$8,Dienste!$C$8,IF(AI22=Dienste!$A$9,Dienste!$C$9,IF(AI22=Dienste!$A$10,Dienste!$C$10,IF(AI22=Dienste!$A$11,Dienste!$C$11,IF(AI22=Dienste!$A$12,Dienste!$C$12,IF(AI22=Dienste!$A$13,Dienste!$C$13,IF(AI22=Dienste!$A$14,Dienste!$C$14,IF(AI22=Dienste!$A$15,Dienste!$C$15,IF(AI22=Dienste!$A$16,Dienste!$C$16,IF(AI22=Dienste!$A$17,Dienste!$C$17,IF(AI22=Dienste!$A$18,Dienste!$C$18,IF(AI22=Dienste!$A$19,Dienste!$C$19,IF(AI22=Dienste!$A$20,Dienste!$C$20,IF(AI22=Dienste!$A$21,Dienste!$C$21,IF(AI22=Dienste!$A$22,Dienste!$C$22,IF(AI22=Dienste!$A$23,Dienste!$C$23,IF(AI22=Dienste!$A$24,Dienste!$C$24,IF(AI22=Dienste!$A$25,Dienste!$C$25,IF(AI22=Dienste!$A$26,Dienste!$C$26,IF(AI22=Dienste!$A$27,Dienste!$C$27,IF(AI22=Dienste!$A$28,Dienste!$C$28,IF(AI22=Dienste!#REF!,Dienste!#REF!,IF(AI22=Dienste!#REF!,Dienste!#REF!,IF(AI22=Dienste!#REF!,Dienste!#REF!,IF(AI22=Dienste!#REF!,Dienste!#REF!,IF(AI22=Dienste!$A$33,Dienste!$C$33,IF(AI22=Dienste!$A$34,Dienste!$C$34,IF(AI22=Dienste!$A$35,Dienste!$C$35,IF(AI22=Dienste!$A$36,Dienste!$C$36,)))))))))))))))))))))))))))))))))))</f>
        <v>#REF!</v>
      </c>
    </row>
    <row r="23" spans="1:81" x14ac:dyDescent="0.25">
      <c r="A23" s="109" t="s">
        <v>146</v>
      </c>
      <c r="B23" s="15" t="s">
        <v>231</v>
      </c>
      <c r="C23" s="15">
        <v>20</v>
      </c>
      <c r="D23" s="98">
        <v>1</v>
      </c>
      <c r="E23" s="104" t="s">
        <v>35</v>
      </c>
      <c r="F23" s="9" t="s">
        <v>5</v>
      </c>
      <c r="G23" s="9" t="s">
        <v>83</v>
      </c>
      <c r="H23" s="9" t="s">
        <v>5</v>
      </c>
      <c r="I23" s="9" t="s">
        <v>5</v>
      </c>
      <c r="J23" s="9" t="s">
        <v>5</v>
      </c>
      <c r="K23" s="9" t="s">
        <v>83</v>
      </c>
      <c r="L23" s="9" t="s">
        <v>83</v>
      </c>
      <c r="M23" s="9" t="s">
        <v>53</v>
      </c>
      <c r="N23" s="9" t="s">
        <v>65</v>
      </c>
      <c r="O23" s="9" t="s">
        <v>5</v>
      </c>
      <c r="P23" s="9" t="s">
        <v>5</v>
      </c>
      <c r="Q23" s="9" t="s">
        <v>31</v>
      </c>
      <c r="R23" s="9" t="s">
        <v>53</v>
      </c>
      <c r="S23" s="9" t="s">
        <v>83</v>
      </c>
      <c r="T23" s="9" t="s">
        <v>83</v>
      </c>
      <c r="U23" s="9" t="s">
        <v>31</v>
      </c>
      <c r="V23" s="9" t="s">
        <v>31</v>
      </c>
      <c r="W23" s="9" t="s">
        <v>5</v>
      </c>
      <c r="X23" s="9" t="s">
        <v>5</v>
      </c>
      <c r="Y23" s="9" t="s">
        <v>83</v>
      </c>
      <c r="Z23" s="9" t="s">
        <v>83</v>
      </c>
      <c r="AA23" s="9" t="s">
        <v>6</v>
      </c>
      <c r="AB23" s="9" t="s">
        <v>31</v>
      </c>
      <c r="AC23" s="9" t="s">
        <v>5</v>
      </c>
      <c r="AD23" s="9" t="s">
        <v>31</v>
      </c>
      <c r="AE23" s="9" t="s">
        <v>53</v>
      </c>
      <c r="AF23" s="9" t="s">
        <v>83</v>
      </c>
      <c r="AG23" s="9" t="s">
        <v>83</v>
      </c>
      <c r="AH23" s="9" t="s">
        <v>5</v>
      </c>
      <c r="AI23" s="15"/>
      <c r="AJ23" s="109">
        <v>11</v>
      </c>
      <c r="AK23" s="15">
        <v>84</v>
      </c>
      <c r="AL23" s="109">
        <v>83</v>
      </c>
      <c r="AM23" s="15">
        <v>10</v>
      </c>
      <c r="AN23" s="170">
        <v>-1</v>
      </c>
      <c r="AO23" s="109">
        <v>18.400000000000002</v>
      </c>
      <c r="AP23" s="15">
        <v>3</v>
      </c>
      <c r="AQ23" s="98">
        <v>2</v>
      </c>
      <c r="AR23" s="109">
        <v>30</v>
      </c>
      <c r="AS23" s="15">
        <v>22.469230769230769</v>
      </c>
      <c r="AT23" s="98">
        <v>26</v>
      </c>
      <c r="AU23" s="96" t="e">
        <f t="shared" si="2"/>
        <v>#REF!</v>
      </c>
      <c r="AV23" s="27" t="e">
        <f t="shared" si="0"/>
        <v>#REF!</v>
      </c>
      <c r="AW23" s="58" t="e">
        <f t="shared" si="1"/>
        <v>#REF!</v>
      </c>
      <c r="AY23" s="27">
        <f>IF(E23=Dienste!$A$2,Dienste!$C$2,IF(E23=Dienste!$A$3,Dienste!$C$3,IF(E23=Dienste!$A$4,Dienste!$C$4,IF(E23=Dienste!$A$5,Dienste!$C$5,IF(E23=Dienste!$A$6,Dienste!$C$6,IF(E23=Dienste!$A$7,Dienste!$C$7,IF(E23=Dienste!$A$8,Dienste!$C$8,IF(E23=Dienste!$A$9,Dienste!$C$9,IF(E23=Dienste!$A$10,Dienste!$C$10,IF(E23=Dienste!$A$11,Dienste!$C$11,IF(E23=Dienste!$A$12,Dienste!$C$12,IF(E23=Dienste!$A$13,Dienste!$C$13,IF(E23=Dienste!$A$14,Dienste!$C$14,IF(E23=Dienste!$A$15,Dienste!$C$15,IF(E23=Dienste!$A$16,Dienste!$C$16,IF(E23=Dienste!$A$17,Dienste!$C$17,IF(E23=Dienste!$A$18,Dienste!$C$18,IF(E23=Dienste!$A$19,Dienste!$C$19,IF(E23=Dienste!$A$20,Dienste!$C$20,IF(E23=Dienste!$A$21,Dienste!$C$21,IF(E23=Dienste!$A$22,Dienste!$C$22,IF(E23=Dienste!$A$23,Dienste!$C$23,IF(E23=Dienste!$A$24,Dienste!$C$24,IF(E23=Dienste!$A$25,Dienste!$C$25,IF(E23=Dienste!$A$26,Dienste!$C$26,IF(E23=Dienste!$A$27,Dienste!$C$27,IF(E23=Dienste!$A$28,Dienste!$C$28,IF(E23=Dienste!#REF!,Dienste!#REF!,IF(E23=Dienste!#REF!,Dienste!#REF!,IF(E23=Dienste!#REF!,Dienste!#REF!,IF(E23=Dienste!#REF!,Dienste!#REF!,IF(E23=Dienste!$A$33,Dienste!$C$33,IF(E23=Dienste!$A$34,Dienste!$C$34,IF(E23=Dienste!$A$35,Dienste!$C$35,IF(E23=Dienste!$A$36,Dienste!$C$36,)))))))))))))))))))))))))))))))))))</f>
        <v>0</v>
      </c>
      <c r="AZ23" s="27">
        <f>IF(F23=Dienste!$A$2,Dienste!$C$2,IF(F23=Dienste!$A$3,Dienste!$C$3,IF(F23=Dienste!$A$4,Dienste!$C$4,IF(F23=Dienste!$A$5,Dienste!$C$5,IF(F23=Dienste!$A$6,Dienste!$C$6,IF(F23=Dienste!$A$7,Dienste!$C$7,IF(F23=Dienste!$A$8,Dienste!$C$8,IF(F23=Dienste!$A$9,Dienste!$C$9,IF(F23=Dienste!$A$10,Dienste!$C$10,IF(F23=Dienste!$A$11,Dienste!$C$11,IF(F23=Dienste!$A$12,Dienste!$C$12,IF(F23=Dienste!$A$13,Dienste!$C$13,IF(F23=Dienste!$A$14,Dienste!$C$14,IF(F23=Dienste!$A$15,Dienste!$C$15,IF(F23=Dienste!$A$16,Dienste!$C$16,IF(F23=Dienste!$A$17,Dienste!$C$17,IF(F23=Dienste!$A$18,Dienste!$C$18,IF(F23=Dienste!$A$19,Dienste!$C$19,IF(F23=Dienste!$A$20,Dienste!$C$20,IF(F23=Dienste!$A$21,Dienste!$C$21,IF(F23=Dienste!$A$22,Dienste!$C$22,IF(F23=Dienste!$A$23,Dienste!$C$23,IF(F23=Dienste!$A$24,Dienste!$C$24,IF(F23=Dienste!$A$25,Dienste!$C$25,IF(F23=Dienste!$A$26,Dienste!$C$26,IF(F23=Dienste!$A$27,Dienste!$C$27,IF(F23=Dienste!$A$28,Dienste!$C$28,IF(F23=Dienste!#REF!,Dienste!#REF!,IF(F23=Dienste!#REF!,Dienste!#REF!,IF(F23=Dienste!#REF!,Dienste!#REF!,IF(F23=Dienste!#REF!,Dienste!#REF!,IF(F23=Dienste!$A$33,Dienste!$C$33,IF(F23=Dienste!$A$34,Dienste!$C$34,IF(F23=Dienste!$A$35,Dienste!$C$35,IF(F23=Dienste!$A$36,Dienste!$C$36,)))))))))))))))))))))))))))))))))))</f>
        <v>0</v>
      </c>
      <c r="BA23" s="27">
        <f>IF(G23=Dienste!$A$2,Dienste!$C$2,IF(G23=Dienste!$A$3,Dienste!$C$3,IF(G23=Dienste!$A$4,Dienste!$C$4,IF(G23=Dienste!$A$5,Dienste!$C$5,IF(G23=Dienste!$A$6,Dienste!$C$6,IF(G23=Dienste!$A$7,Dienste!$C$7,IF(G23=Dienste!$A$8,Dienste!$C$8,IF(G23=Dienste!$A$9,Dienste!$C$9,IF(G23=Dienste!$A$10,Dienste!$C$10,IF(G23=Dienste!$A$11,Dienste!$C$11,IF(G23=Dienste!$A$12,Dienste!$C$12,IF(G23=Dienste!$A$13,Dienste!$C$13,IF(G23=Dienste!$A$14,Dienste!$C$14,IF(G23=Dienste!$A$15,Dienste!$C$15,IF(G23=Dienste!$A$16,Dienste!$C$16,IF(G23=Dienste!$A$17,Dienste!$C$17,IF(G23=Dienste!$A$18,Dienste!$C$18,IF(G23=Dienste!$A$19,Dienste!$C$19,IF(G23=Dienste!$A$20,Dienste!$C$20,IF(G23=Dienste!$A$21,Dienste!$C$21,IF(G23=Dienste!$A$22,Dienste!$C$22,IF(G23=Dienste!$A$23,Dienste!$C$23,IF(G23=Dienste!$A$24,Dienste!$C$24,IF(G23=Dienste!$A$25,Dienste!$C$25,IF(G23=Dienste!$A$26,Dienste!$C$26,IF(G23=Dienste!$A$27,Dienste!$C$27,IF(G23=Dienste!$A$28,Dienste!$C$28,IF(G23=Dienste!#REF!,Dienste!#REF!,IF(G23=Dienste!#REF!,Dienste!#REF!,IF(G23=Dienste!#REF!,Dienste!#REF!,IF(G23=Dienste!#REF!,Dienste!#REF!,IF(G23=Dienste!$A$33,Dienste!$C$33,IF(G23=Dienste!$A$34,Dienste!$C$34,IF(G23=Dienste!$A$35,Dienste!$C$35,IF(G23=Dienste!$A$36,Dienste!$C$36,)))))))))))))))))))))))))))))))))))</f>
        <v>0</v>
      </c>
      <c r="BB23" s="27">
        <f>IF(H23=Dienste!$A$2,Dienste!$C$2,IF(H23=Dienste!$A$3,Dienste!$C$3,IF(H23=Dienste!$A$4,Dienste!$C$4,IF(H23=Dienste!$A$5,Dienste!$C$5,IF(H23=Dienste!$A$6,Dienste!$C$6,IF(H23=Dienste!$A$7,Dienste!$C$7,IF(H23=Dienste!$A$8,Dienste!$C$8,IF(H23=Dienste!$A$9,Dienste!$C$9,IF(H23=Dienste!$A$10,Dienste!$C$10,IF(H23=Dienste!$A$11,Dienste!$C$11,IF(H23=Dienste!$A$12,Dienste!$C$12,IF(H23=Dienste!$A$13,Dienste!$C$13,IF(H23=Dienste!$A$14,Dienste!$C$14,IF(H23=Dienste!$A$15,Dienste!$C$15,IF(H23=Dienste!$A$16,Dienste!$C$16,IF(H23=Dienste!$A$17,Dienste!$C$17,IF(H23=Dienste!$A$18,Dienste!$C$18,IF(H23=Dienste!$A$19,Dienste!$C$19,IF(H23=Dienste!$A$20,Dienste!$C$20,IF(H23=Dienste!$A$21,Dienste!$C$21,IF(H23=Dienste!$A$22,Dienste!$C$22,IF(H23=Dienste!$A$23,Dienste!$C$23,IF(H23=Dienste!$A$24,Dienste!$C$24,IF(H23=Dienste!$A$25,Dienste!$C$25,IF(H23=Dienste!$A$26,Dienste!$C$26,IF(H23=Dienste!$A$27,Dienste!$C$27,IF(H23=Dienste!$A$28,Dienste!$C$28,IF(H23=Dienste!#REF!,Dienste!#REF!,IF(H23=Dienste!#REF!,Dienste!#REF!,IF(H23=Dienste!#REF!,Dienste!#REF!,IF(H23=Dienste!#REF!,Dienste!#REF!,IF(H23=Dienste!$A$33,Dienste!$C$33,IF(H23=Dienste!$A$34,Dienste!$C$34,IF(H23=Dienste!$A$35,Dienste!$C$35,IF(H23=Dienste!$A$36,Dienste!$C$36,)))))))))))))))))))))))))))))))))))</f>
        <v>0</v>
      </c>
      <c r="BC23" s="27">
        <f>IF(I23=Dienste!$A$2,Dienste!$C$2,IF(I23=Dienste!$A$3,Dienste!$C$3,IF(I23=Dienste!$A$4,Dienste!$C$4,IF(I23=Dienste!$A$5,Dienste!$C$5,IF(I23=Dienste!$A$6,Dienste!$C$6,IF(I23=Dienste!$A$7,Dienste!$C$7,IF(I23=Dienste!$A$8,Dienste!$C$8,IF(I23=Dienste!$A$9,Dienste!$C$9,IF(I23=Dienste!$A$10,Dienste!$C$10,IF(I23=Dienste!$A$11,Dienste!$C$11,IF(I23=Dienste!$A$12,Dienste!$C$12,IF(I23=Dienste!$A$13,Dienste!$C$13,IF(I23=Dienste!$A$14,Dienste!$C$14,IF(I23=Dienste!$A$15,Dienste!$C$15,IF(I23=Dienste!$A$16,Dienste!$C$16,IF(I23=Dienste!$A$17,Dienste!$C$17,IF(I23=Dienste!$A$18,Dienste!$C$18,IF(I23=Dienste!$A$19,Dienste!$C$19,IF(I23=Dienste!$A$20,Dienste!$C$20,IF(I23=Dienste!$A$21,Dienste!$C$21,IF(I23=Dienste!$A$22,Dienste!$C$22,IF(I23=Dienste!$A$23,Dienste!$C$23,IF(I23=Dienste!$A$24,Dienste!$C$24,IF(I23=Dienste!$A$25,Dienste!$C$25,IF(I23=Dienste!$A$26,Dienste!$C$26,IF(I23=Dienste!$A$27,Dienste!$C$27,IF(I23=Dienste!$A$28,Dienste!$C$28,IF(I23=Dienste!#REF!,Dienste!#REF!,IF(I23=Dienste!#REF!,Dienste!#REF!,IF(I23=Dienste!#REF!,Dienste!#REF!,IF(I23=Dienste!#REF!,Dienste!#REF!,IF(I23=Dienste!$A$33,Dienste!$C$33,IF(I23=Dienste!$A$34,Dienste!$C$34,IF(I23=Dienste!$A$35,Dienste!$C$35,IF(I23=Dienste!$A$36,Dienste!$C$36,)))))))))))))))))))))))))))))))))))</f>
        <v>0</v>
      </c>
      <c r="BD23" s="27">
        <f>IF(J23=Dienste!$A$2,Dienste!$C$2,IF(J23=Dienste!$A$3,Dienste!$C$3,IF(J23=Dienste!$A$4,Dienste!$C$4,IF(J23=Dienste!$A$5,Dienste!$C$5,IF(J23=Dienste!$A$6,Dienste!$C$6,IF(J23=Dienste!$A$7,Dienste!$C$7,IF(J23=Dienste!$A$8,Dienste!$C$8,IF(J23=Dienste!$A$9,Dienste!$C$9,IF(J23=Dienste!$A$10,Dienste!$C$10,IF(J23=Dienste!$A$11,Dienste!$C$11,IF(J23=Dienste!$A$12,Dienste!$C$12,IF(J23=Dienste!$A$13,Dienste!$C$13,IF(J23=Dienste!$A$14,Dienste!$C$14,IF(J23=Dienste!$A$15,Dienste!$C$15,IF(J23=Dienste!$A$16,Dienste!$C$16,IF(J23=Dienste!$A$17,Dienste!$C$17,IF(J23=Dienste!$A$18,Dienste!$C$18,IF(J23=Dienste!$A$19,Dienste!$C$19,IF(J23=Dienste!$A$20,Dienste!$C$20,IF(J23=Dienste!$A$21,Dienste!$C$21,IF(J23=Dienste!$A$22,Dienste!$C$22,IF(J23=Dienste!$A$23,Dienste!$C$23,IF(J23=Dienste!$A$24,Dienste!$C$24,IF(J23=Dienste!$A$25,Dienste!$C$25,IF(J23=Dienste!$A$26,Dienste!$C$26,IF(J23=Dienste!$A$27,Dienste!$C$27,IF(J23=Dienste!$A$28,Dienste!$C$28,IF(J23=Dienste!#REF!,Dienste!#REF!,IF(J23=Dienste!#REF!,Dienste!#REF!,IF(J23=Dienste!#REF!,Dienste!#REF!,IF(J23=Dienste!#REF!,Dienste!#REF!,IF(J23=Dienste!$A$33,Dienste!$C$33,IF(J23=Dienste!$A$34,Dienste!$C$34,IF(J23=Dienste!$A$35,Dienste!$C$35,IF(J23=Dienste!$A$36,Dienste!$C$36,)))))))))))))))))))))))))))))))))))</f>
        <v>0</v>
      </c>
      <c r="BE23" s="27">
        <f>IF(K23=Dienste!$A$2,Dienste!$C$2,IF(K23=Dienste!$A$3,Dienste!$C$3,IF(K23=Dienste!$A$4,Dienste!$C$4,IF(K23=Dienste!$A$5,Dienste!$C$5,IF(K23=Dienste!$A$6,Dienste!$C$6,IF(K23=Dienste!$A$7,Dienste!$C$7,IF(K23=Dienste!$A$8,Dienste!$C$8,IF(K23=Dienste!$A$9,Dienste!$C$9,IF(K23=Dienste!$A$10,Dienste!$C$10,IF(K23=Dienste!$A$11,Dienste!$C$11,IF(K23=Dienste!$A$12,Dienste!$C$12,IF(K23=Dienste!$A$13,Dienste!$C$13,IF(K23=Dienste!$A$14,Dienste!$C$14,IF(K23=Dienste!$A$15,Dienste!$C$15,IF(K23=Dienste!$A$16,Dienste!$C$16,IF(K23=Dienste!$A$17,Dienste!$C$17,IF(K23=Dienste!$A$18,Dienste!$C$18,IF(K23=Dienste!$A$19,Dienste!$C$19,IF(K23=Dienste!$A$20,Dienste!$C$20,IF(K23=Dienste!$A$21,Dienste!$C$21,IF(K23=Dienste!$A$22,Dienste!$C$22,IF(K23=Dienste!$A$23,Dienste!$C$23,IF(K23=Dienste!$A$24,Dienste!$C$24,IF(K23=Dienste!$A$25,Dienste!$C$25,IF(K23=Dienste!$A$26,Dienste!$C$26,IF(K23=Dienste!$A$27,Dienste!$C$27,IF(K23=Dienste!$A$28,Dienste!$C$28,IF(K23=Dienste!#REF!,Dienste!#REF!,IF(K23=Dienste!#REF!,Dienste!#REF!,IF(K23=Dienste!#REF!,Dienste!#REF!,IF(K23=Dienste!#REF!,Dienste!#REF!,IF(K23=Dienste!$A$33,Dienste!$C$33,IF(K23=Dienste!$A$34,Dienste!$C$34,IF(K23=Dienste!$A$35,Dienste!$C$35,IF(K23=Dienste!$A$36,Dienste!$C$36,)))))))))))))))))))))))))))))))))))</f>
        <v>0</v>
      </c>
      <c r="BF23" s="27">
        <f>IF(L23=Dienste!$A$2,Dienste!$C$2,IF(L23=Dienste!$A$3,Dienste!$C$3,IF(L23=Dienste!$A$4,Dienste!$C$4,IF(L23=Dienste!$A$5,Dienste!$C$5,IF(L23=Dienste!$A$6,Dienste!$C$6,IF(L23=Dienste!$A$7,Dienste!$C$7,IF(L23=Dienste!$A$8,Dienste!$C$8,IF(L23=Dienste!$A$9,Dienste!$C$9,IF(L23=Dienste!$A$10,Dienste!$C$10,IF(L23=Dienste!$A$11,Dienste!$C$11,IF(L23=Dienste!$A$12,Dienste!$C$12,IF(L23=Dienste!$A$13,Dienste!$C$13,IF(L23=Dienste!$A$14,Dienste!$C$14,IF(L23=Dienste!$A$15,Dienste!$C$15,IF(L23=Dienste!$A$16,Dienste!$C$16,IF(L23=Dienste!$A$17,Dienste!$C$17,IF(L23=Dienste!$A$18,Dienste!$C$18,IF(L23=Dienste!$A$19,Dienste!$C$19,IF(L23=Dienste!$A$20,Dienste!$C$20,IF(L23=Dienste!$A$21,Dienste!$C$21,IF(L23=Dienste!$A$22,Dienste!$C$22,IF(L23=Dienste!$A$23,Dienste!$C$23,IF(L23=Dienste!$A$24,Dienste!$C$24,IF(L23=Dienste!$A$25,Dienste!$C$25,IF(L23=Dienste!$A$26,Dienste!$C$26,IF(L23=Dienste!$A$27,Dienste!$C$27,IF(L23=Dienste!$A$28,Dienste!$C$28,IF(L23=Dienste!#REF!,Dienste!#REF!,IF(L23=Dienste!#REF!,Dienste!#REF!,IF(L23=Dienste!#REF!,Dienste!#REF!,IF(L23=Dienste!#REF!,Dienste!#REF!,IF(L23=Dienste!$A$33,Dienste!$C$33,IF(L23=Dienste!$A$34,Dienste!$C$34,IF(L23=Dienste!$A$35,Dienste!$C$35,IF(L23=Dienste!$A$36,Dienste!$C$36,)))))))))))))))))))))))))))))))))))</f>
        <v>0</v>
      </c>
      <c r="BG23" s="27">
        <f>IF(M23=Dienste!$A$2,Dienste!$C$2,IF(M23=Dienste!$A$3,Dienste!$C$3,IF(M23=Dienste!$A$4,Dienste!$C$4,IF(M23=Dienste!$A$5,Dienste!$C$5,IF(M23=Dienste!$A$6,Dienste!$C$6,IF(M23=Dienste!$A$7,Dienste!$C$7,IF(M23=Dienste!$A$8,Dienste!$C$8,IF(M23=Dienste!$A$9,Dienste!$C$9,IF(M23=Dienste!$A$10,Dienste!$C$10,IF(M23=Dienste!$A$11,Dienste!$C$11,IF(M23=Dienste!$A$12,Dienste!$C$12,IF(M23=Dienste!$A$13,Dienste!$C$13,IF(M23=Dienste!$A$14,Dienste!$C$14,IF(M23=Dienste!$A$15,Dienste!$C$15,IF(M23=Dienste!$A$16,Dienste!$C$16,IF(M23=Dienste!$A$17,Dienste!$C$17,IF(M23=Dienste!$A$18,Dienste!$C$18,IF(M23=Dienste!$A$19,Dienste!$C$19,IF(M23=Dienste!$A$20,Dienste!$C$20,IF(M23=Dienste!$A$21,Dienste!$C$21,IF(M23=Dienste!$A$22,Dienste!$C$22,IF(M23=Dienste!$A$23,Dienste!$C$23,IF(M23=Dienste!$A$24,Dienste!$C$24,IF(M23=Dienste!$A$25,Dienste!$C$25,IF(M23=Dienste!$A$26,Dienste!$C$26,IF(M23=Dienste!$A$27,Dienste!$C$27,IF(M23=Dienste!$A$28,Dienste!$C$28,IF(M23=Dienste!#REF!,Dienste!#REF!,IF(M23=Dienste!#REF!,Dienste!#REF!,IF(M23=Dienste!#REF!,Dienste!#REF!,IF(M23=Dienste!#REF!,Dienste!#REF!,IF(M23=Dienste!$A$33,Dienste!$C$33,IF(M23=Dienste!$A$34,Dienste!$C$34,IF(M23=Dienste!$A$35,Dienste!$C$35,IF(M23=Dienste!$A$36,Dienste!$C$36,)))))))))))))))))))))))))))))))))))</f>
        <v>9</v>
      </c>
      <c r="BH23" s="27">
        <f>IF(N23=Dienste!$A$2,Dienste!$C$2,IF(N23=Dienste!$A$3,Dienste!$C$3,IF(N23=Dienste!$A$4,Dienste!$C$4,IF(N23=Dienste!$A$5,Dienste!$C$5,IF(N23=Dienste!$A$6,Dienste!$C$6,IF(N23=Dienste!$A$7,Dienste!$C$7,IF(N23=Dienste!$A$8,Dienste!$C$8,IF(N23=Dienste!$A$9,Dienste!$C$9,IF(N23=Dienste!$A$10,Dienste!$C$10,IF(N23=Dienste!$A$11,Dienste!$C$11,IF(N23=Dienste!$A$12,Dienste!$C$12,IF(N23=Dienste!$A$13,Dienste!$C$13,IF(N23=Dienste!$A$14,Dienste!$C$14,IF(N23=Dienste!$A$15,Dienste!$C$15,IF(N23=Dienste!$A$16,Dienste!$C$16,IF(N23=Dienste!$A$17,Dienste!$C$17,IF(N23=Dienste!$A$18,Dienste!$C$18,IF(N23=Dienste!$A$19,Dienste!$C$19,IF(N23=Dienste!$A$20,Dienste!$C$20,IF(N23=Dienste!$A$21,Dienste!$C$21,IF(N23=Dienste!$A$22,Dienste!$C$22,IF(N23=Dienste!$A$23,Dienste!$C$23,IF(N23=Dienste!$A$24,Dienste!$C$24,IF(N23=Dienste!$A$25,Dienste!$C$25,IF(N23=Dienste!$A$26,Dienste!$C$26,IF(N23=Dienste!$A$27,Dienste!$C$27,IF(N23=Dienste!$A$28,Dienste!$C$28,IF(N23=Dienste!#REF!,Dienste!#REF!,IF(N23=Dienste!#REF!,Dienste!#REF!,IF(N23=Dienste!#REF!,Dienste!#REF!,IF(N23=Dienste!#REF!,Dienste!#REF!,IF(N23=Dienste!$A$33,Dienste!$C$33,IF(N23=Dienste!$A$34,Dienste!$C$34,IF(N23=Dienste!$A$35,Dienste!$C$35,IF(N23=Dienste!$A$36,Dienste!$C$36,)))))))))))))))))))))))))))))))))))</f>
        <v>8</v>
      </c>
      <c r="BI23" s="27">
        <f>IF(O23=Dienste!$A$2,Dienste!$C$2,IF(O23=Dienste!$A$3,Dienste!$C$3,IF(O23=Dienste!$A$4,Dienste!$C$4,IF(O23=Dienste!$A$5,Dienste!$C$5,IF(O23=Dienste!$A$6,Dienste!$C$6,IF(O23=Dienste!$A$7,Dienste!$C$7,IF(O23=Dienste!$A$8,Dienste!$C$8,IF(O23=Dienste!$A$9,Dienste!$C$9,IF(O23=Dienste!$A$10,Dienste!$C$10,IF(O23=Dienste!$A$11,Dienste!$C$11,IF(O23=Dienste!$A$12,Dienste!$C$12,IF(O23=Dienste!$A$13,Dienste!$C$13,IF(O23=Dienste!$A$14,Dienste!$C$14,IF(O23=Dienste!$A$15,Dienste!$C$15,IF(O23=Dienste!$A$16,Dienste!$C$16,IF(O23=Dienste!$A$17,Dienste!$C$17,IF(O23=Dienste!$A$18,Dienste!$C$18,IF(O23=Dienste!$A$19,Dienste!$C$19,IF(O23=Dienste!$A$20,Dienste!$C$20,IF(O23=Dienste!$A$21,Dienste!$C$21,IF(O23=Dienste!$A$22,Dienste!$C$22,IF(O23=Dienste!$A$23,Dienste!$C$23,IF(O23=Dienste!$A$24,Dienste!$C$24,IF(O23=Dienste!$A$25,Dienste!$C$25,IF(O23=Dienste!$A$26,Dienste!$C$26,IF(O23=Dienste!$A$27,Dienste!$C$27,IF(O23=Dienste!$A$28,Dienste!$C$28,IF(O23=Dienste!#REF!,Dienste!#REF!,IF(O23=Dienste!#REF!,Dienste!#REF!,IF(O23=Dienste!#REF!,Dienste!#REF!,IF(O23=Dienste!#REF!,Dienste!#REF!,IF(O23=Dienste!$A$33,Dienste!$C$33,IF(O23=Dienste!$A$34,Dienste!$C$34,IF(O23=Dienste!$A$35,Dienste!$C$35,IF(O23=Dienste!$A$36,Dienste!$C$36,)))))))))))))))))))))))))))))))))))</f>
        <v>0</v>
      </c>
      <c r="BJ23" s="27">
        <f>IF(P23=Dienste!$A$2,Dienste!$C$2,IF(P23=Dienste!$A$3,Dienste!$C$3,IF(P23=Dienste!$A$4,Dienste!$C$4,IF(P23=Dienste!$A$5,Dienste!$C$5,IF(P23=Dienste!$A$6,Dienste!$C$6,IF(P23=Dienste!$A$7,Dienste!$C$7,IF(P23=Dienste!$A$8,Dienste!$C$8,IF(P23=Dienste!$A$9,Dienste!$C$9,IF(P23=Dienste!$A$10,Dienste!$C$10,IF(P23=Dienste!$A$11,Dienste!$C$11,IF(P23=Dienste!$A$12,Dienste!$C$12,IF(P23=Dienste!$A$13,Dienste!$C$13,IF(P23=Dienste!$A$14,Dienste!$C$14,IF(P23=Dienste!$A$15,Dienste!$C$15,IF(P23=Dienste!$A$16,Dienste!$C$16,IF(P23=Dienste!$A$17,Dienste!$C$17,IF(P23=Dienste!$A$18,Dienste!$C$18,IF(P23=Dienste!$A$19,Dienste!$C$19,IF(P23=Dienste!$A$20,Dienste!$C$20,IF(P23=Dienste!$A$21,Dienste!$C$21,IF(P23=Dienste!$A$22,Dienste!$C$22,IF(P23=Dienste!$A$23,Dienste!$C$23,IF(P23=Dienste!$A$24,Dienste!$C$24,IF(P23=Dienste!$A$25,Dienste!$C$25,IF(P23=Dienste!$A$26,Dienste!$C$26,IF(P23=Dienste!$A$27,Dienste!$C$27,IF(P23=Dienste!$A$28,Dienste!$C$28,IF(P23=Dienste!#REF!,Dienste!#REF!,IF(P23=Dienste!#REF!,Dienste!#REF!,IF(P23=Dienste!#REF!,Dienste!#REF!,IF(P23=Dienste!#REF!,Dienste!#REF!,IF(P23=Dienste!$A$33,Dienste!$C$33,IF(P23=Dienste!$A$34,Dienste!$C$34,IF(P23=Dienste!$A$35,Dienste!$C$35,IF(P23=Dienste!$A$36,Dienste!$C$36,)))))))))))))))))))))))))))))))))))</f>
        <v>0</v>
      </c>
      <c r="BK23" s="27">
        <f>IF(Q23=Dienste!$A$2,Dienste!$C$2,IF(Q23=Dienste!$A$3,Dienste!$C$3,IF(Q23=Dienste!$A$4,Dienste!$C$4,IF(Q23=Dienste!$A$5,Dienste!$C$5,IF(Q23=Dienste!$A$6,Dienste!$C$6,IF(Q23=Dienste!$A$7,Dienste!$C$7,IF(Q23=Dienste!$A$8,Dienste!$C$8,IF(Q23=Dienste!$A$9,Dienste!$C$9,IF(Q23=Dienste!$A$10,Dienste!$C$10,IF(Q23=Dienste!$A$11,Dienste!$C$11,IF(Q23=Dienste!$A$12,Dienste!$C$12,IF(Q23=Dienste!$A$13,Dienste!$C$13,IF(Q23=Dienste!$A$14,Dienste!$C$14,IF(Q23=Dienste!$A$15,Dienste!$C$15,IF(Q23=Dienste!$A$16,Dienste!$C$16,IF(Q23=Dienste!$A$17,Dienste!$C$17,IF(Q23=Dienste!$A$18,Dienste!$C$18,IF(Q23=Dienste!$A$19,Dienste!$C$19,IF(Q23=Dienste!$A$20,Dienste!$C$20,IF(Q23=Dienste!$A$21,Dienste!$C$21,IF(Q23=Dienste!$A$22,Dienste!$C$22,IF(Q23=Dienste!$A$23,Dienste!$C$23,IF(Q23=Dienste!$A$24,Dienste!$C$24,IF(Q23=Dienste!$A$25,Dienste!$C$25,IF(Q23=Dienste!$A$26,Dienste!$C$26,IF(Q23=Dienste!$A$27,Dienste!$C$27,IF(Q23=Dienste!$A$28,Dienste!$C$28,IF(Q23=Dienste!#REF!,Dienste!#REF!,IF(Q23=Dienste!#REF!,Dienste!#REF!,IF(Q23=Dienste!#REF!,Dienste!#REF!,IF(Q23=Dienste!#REF!,Dienste!#REF!,IF(Q23=Dienste!$A$33,Dienste!$C$33,IF(Q23=Dienste!$A$34,Dienste!$C$34,IF(Q23=Dienste!$A$35,Dienste!$C$35,IF(Q23=Dienste!$A$36,Dienste!$C$36,)))))))))))))))))))))))))))))))))))</f>
        <v>8</v>
      </c>
      <c r="BL23" s="27">
        <f>IF(R23=Dienste!$A$2,Dienste!$C$2,IF(R23=Dienste!$A$3,Dienste!$C$3,IF(R23=Dienste!$A$4,Dienste!$C$4,IF(R23=Dienste!$A$5,Dienste!$C$5,IF(R23=Dienste!$A$6,Dienste!$C$6,IF(R23=Dienste!$A$7,Dienste!$C$7,IF(R23=Dienste!$A$8,Dienste!$C$8,IF(R23=Dienste!$A$9,Dienste!$C$9,IF(R23=Dienste!$A$10,Dienste!$C$10,IF(R23=Dienste!$A$11,Dienste!$C$11,IF(R23=Dienste!$A$12,Dienste!$C$12,IF(R23=Dienste!$A$13,Dienste!$C$13,IF(R23=Dienste!$A$14,Dienste!$C$14,IF(R23=Dienste!$A$15,Dienste!$C$15,IF(R23=Dienste!$A$16,Dienste!$C$16,IF(R23=Dienste!$A$17,Dienste!$C$17,IF(R23=Dienste!$A$18,Dienste!$C$18,IF(R23=Dienste!$A$19,Dienste!$C$19,IF(R23=Dienste!$A$20,Dienste!$C$20,IF(R23=Dienste!$A$21,Dienste!$C$21,IF(R23=Dienste!$A$22,Dienste!$C$22,IF(R23=Dienste!$A$23,Dienste!$C$23,IF(R23=Dienste!$A$24,Dienste!$C$24,IF(R23=Dienste!$A$25,Dienste!$C$25,IF(R23=Dienste!$A$26,Dienste!$C$26,IF(R23=Dienste!$A$27,Dienste!$C$27,IF(R23=Dienste!$A$28,Dienste!$C$28,IF(R23=Dienste!#REF!,Dienste!#REF!,IF(R23=Dienste!#REF!,Dienste!#REF!,IF(R23=Dienste!#REF!,Dienste!#REF!,IF(R23=Dienste!#REF!,Dienste!#REF!,IF(R23=Dienste!$A$33,Dienste!$C$33,IF(R23=Dienste!$A$34,Dienste!$C$34,IF(R23=Dienste!$A$35,Dienste!$C$35,IF(R23=Dienste!$A$36,Dienste!$C$36,)))))))))))))))))))))))))))))))))))</f>
        <v>9</v>
      </c>
      <c r="BM23" s="27">
        <f>IF(S23=Dienste!$A$2,Dienste!$C$2,IF(S23=Dienste!$A$3,Dienste!$C$3,IF(S23=Dienste!$A$4,Dienste!$C$4,IF(S23=Dienste!$A$5,Dienste!$C$5,IF(S23=Dienste!$A$6,Dienste!$C$6,IF(S23=Dienste!$A$7,Dienste!$C$7,IF(S23=Dienste!$A$8,Dienste!$C$8,IF(S23=Dienste!$A$9,Dienste!$C$9,IF(S23=Dienste!$A$10,Dienste!$C$10,IF(S23=Dienste!$A$11,Dienste!$C$11,IF(S23=Dienste!$A$12,Dienste!$C$12,IF(S23=Dienste!$A$13,Dienste!$C$13,IF(S23=Dienste!$A$14,Dienste!$C$14,IF(S23=Dienste!$A$15,Dienste!$C$15,IF(S23=Dienste!$A$16,Dienste!$C$16,IF(S23=Dienste!$A$17,Dienste!$C$17,IF(S23=Dienste!$A$18,Dienste!$C$18,IF(S23=Dienste!$A$19,Dienste!$C$19,IF(S23=Dienste!$A$20,Dienste!$C$20,IF(S23=Dienste!$A$21,Dienste!$C$21,IF(S23=Dienste!$A$22,Dienste!$C$22,IF(S23=Dienste!$A$23,Dienste!$C$23,IF(S23=Dienste!$A$24,Dienste!$C$24,IF(S23=Dienste!$A$25,Dienste!$C$25,IF(S23=Dienste!$A$26,Dienste!$C$26,IF(S23=Dienste!$A$27,Dienste!$C$27,IF(S23=Dienste!$A$28,Dienste!$C$28,IF(S23=Dienste!#REF!,Dienste!#REF!,IF(S23=Dienste!#REF!,Dienste!#REF!,IF(S23=Dienste!#REF!,Dienste!#REF!,IF(S23=Dienste!#REF!,Dienste!#REF!,IF(S23=Dienste!$A$33,Dienste!$C$33,IF(S23=Dienste!$A$34,Dienste!$C$34,IF(S23=Dienste!$A$35,Dienste!$C$35,IF(S23=Dienste!$A$36,Dienste!$C$36,)))))))))))))))))))))))))))))))))))</f>
        <v>0</v>
      </c>
      <c r="BN23" s="27">
        <f>IF(T23=Dienste!$A$2,Dienste!$C$2,IF(T23=Dienste!$A$3,Dienste!$C$3,IF(T23=Dienste!$A$4,Dienste!$C$4,IF(T23=Dienste!$A$5,Dienste!$C$5,IF(T23=Dienste!$A$6,Dienste!$C$6,IF(T23=Dienste!$A$7,Dienste!$C$7,IF(T23=Dienste!$A$8,Dienste!$C$8,IF(T23=Dienste!$A$9,Dienste!$C$9,IF(T23=Dienste!$A$10,Dienste!$C$10,IF(T23=Dienste!$A$11,Dienste!$C$11,IF(T23=Dienste!$A$12,Dienste!$C$12,IF(T23=Dienste!$A$13,Dienste!$C$13,IF(T23=Dienste!$A$14,Dienste!$C$14,IF(T23=Dienste!$A$15,Dienste!$C$15,IF(T23=Dienste!$A$16,Dienste!$C$16,IF(T23=Dienste!$A$17,Dienste!$C$17,IF(T23=Dienste!$A$18,Dienste!$C$18,IF(T23=Dienste!$A$19,Dienste!$C$19,IF(T23=Dienste!$A$20,Dienste!$C$20,IF(T23=Dienste!$A$21,Dienste!$C$21,IF(T23=Dienste!$A$22,Dienste!$C$22,IF(T23=Dienste!$A$23,Dienste!$C$23,IF(T23=Dienste!$A$24,Dienste!$C$24,IF(T23=Dienste!$A$25,Dienste!$C$25,IF(T23=Dienste!$A$26,Dienste!$C$26,IF(T23=Dienste!$A$27,Dienste!$C$27,IF(T23=Dienste!$A$28,Dienste!$C$28,IF(T23=Dienste!#REF!,Dienste!#REF!,IF(T23=Dienste!#REF!,Dienste!#REF!,IF(T23=Dienste!#REF!,Dienste!#REF!,IF(T23=Dienste!#REF!,Dienste!#REF!,IF(T23=Dienste!$A$33,Dienste!$C$33,IF(T23=Dienste!$A$34,Dienste!$C$34,IF(T23=Dienste!$A$35,Dienste!$C$35,IF(T23=Dienste!$A$36,Dienste!$C$36,)))))))))))))))))))))))))))))))))))</f>
        <v>0</v>
      </c>
      <c r="BO23" s="27">
        <f>IF(U23=Dienste!$A$2,Dienste!$C$2,IF(U23=Dienste!$A$3,Dienste!$C$3,IF(U23=Dienste!$A$4,Dienste!$C$4,IF(U23=Dienste!$A$5,Dienste!$C$5,IF(U23=Dienste!$A$6,Dienste!$C$6,IF(U23=Dienste!$A$7,Dienste!$C$7,IF(U23=Dienste!$A$8,Dienste!$C$8,IF(U23=Dienste!$A$9,Dienste!$C$9,IF(U23=Dienste!$A$10,Dienste!$C$10,IF(U23=Dienste!$A$11,Dienste!$C$11,IF(U23=Dienste!$A$12,Dienste!$C$12,IF(U23=Dienste!$A$13,Dienste!$C$13,IF(U23=Dienste!$A$14,Dienste!$C$14,IF(U23=Dienste!$A$15,Dienste!$C$15,IF(U23=Dienste!$A$16,Dienste!$C$16,IF(U23=Dienste!$A$17,Dienste!$C$17,IF(U23=Dienste!$A$18,Dienste!$C$18,IF(U23=Dienste!$A$19,Dienste!$C$19,IF(U23=Dienste!$A$20,Dienste!$C$20,IF(U23=Dienste!$A$21,Dienste!$C$21,IF(U23=Dienste!$A$22,Dienste!$C$22,IF(U23=Dienste!$A$23,Dienste!$C$23,IF(U23=Dienste!$A$24,Dienste!$C$24,IF(U23=Dienste!$A$25,Dienste!$C$25,IF(U23=Dienste!$A$26,Dienste!$C$26,IF(U23=Dienste!$A$27,Dienste!$C$27,IF(U23=Dienste!$A$28,Dienste!$C$28,IF(U23=Dienste!#REF!,Dienste!#REF!,IF(U23=Dienste!#REF!,Dienste!#REF!,IF(U23=Dienste!#REF!,Dienste!#REF!,IF(U23=Dienste!#REF!,Dienste!#REF!,IF(U23=Dienste!$A$33,Dienste!$C$33,IF(U23=Dienste!$A$34,Dienste!$C$34,IF(U23=Dienste!$A$35,Dienste!$C$35,IF(U23=Dienste!$A$36,Dienste!$C$36,)))))))))))))))))))))))))))))))))))</f>
        <v>8</v>
      </c>
      <c r="BP23" s="27">
        <f>IF(V23=Dienste!$A$2,Dienste!$C$2,IF(V23=Dienste!$A$3,Dienste!$C$3,IF(V23=Dienste!$A$4,Dienste!$C$4,IF(V23=Dienste!$A$5,Dienste!$C$5,IF(V23=Dienste!$A$6,Dienste!$C$6,IF(V23=Dienste!$A$7,Dienste!$C$7,IF(V23=Dienste!$A$8,Dienste!$C$8,IF(V23=Dienste!$A$9,Dienste!$C$9,IF(V23=Dienste!$A$10,Dienste!$C$10,IF(V23=Dienste!$A$11,Dienste!$C$11,IF(V23=Dienste!$A$12,Dienste!$C$12,IF(V23=Dienste!$A$13,Dienste!$C$13,IF(V23=Dienste!$A$14,Dienste!$C$14,IF(V23=Dienste!$A$15,Dienste!$C$15,IF(V23=Dienste!$A$16,Dienste!$C$16,IF(V23=Dienste!$A$17,Dienste!$C$17,IF(V23=Dienste!$A$18,Dienste!$C$18,IF(V23=Dienste!$A$19,Dienste!$C$19,IF(V23=Dienste!$A$20,Dienste!$C$20,IF(V23=Dienste!$A$21,Dienste!$C$21,IF(V23=Dienste!$A$22,Dienste!$C$22,IF(V23=Dienste!$A$23,Dienste!$C$23,IF(V23=Dienste!$A$24,Dienste!$C$24,IF(V23=Dienste!$A$25,Dienste!$C$25,IF(V23=Dienste!$A$26,Dienste!$C$26,IF(V23=Dienste!$A$27,Dienste!$C$27,IF(V23=Dienste!$A$28,Dienste!$C$28,IF(V23=Dienste!#REF!,Dienste!#REF!,IF(V23=Dienste!#REF!,Dienste!#REF!,IF(V23=Dienste!#REF!,Dienste!#REF!,IF(V23=Dienste!#REF!,Dienste!#REF!,IF(V23=Dienste!$A$33,Dienste!$C$33,IF(V23=Dienste!$A$34,Dienste!$C$34,IF(V23=Dienste!$A$35,Dienste!$C$35,IF(V23=Dienste!$A$36,Dienste!$C$36,)))))))))))))))))))))))))))))))))))</f>
        <v>8</v>
      </c>
      <c r="BQ23" s="27">
        <f>IF(W23=Dienste!$A$2,Dienste!$C$2,IF(W23=Dienste!$A$3,Dienste!$C$3,IF(W23=Dienste!$A$4,Dienste!$C$4,IF(W23=Dienste!$A$5,Dienste!$C$5,IF(W23=Dienste!$A$6,Dienste!$C$6,IF(W23=Dienste!$A$7,Dienste!$C$7,IF(W23=Dienste!$A$8,Dienste!$C$8,IF(W23=Dienste!$A$9,Dienste!$C$9,IF(W23=Dienste!$A$10,Dienste!$C$10,IF(W23=Dienste!$A$11,Dienste!$C$11,IF(W23=Dienste!$A$12,Dienste!$C$12,IF(W23=Dienste!$A$13,Dienste!$C$13,IF(W23=Dienste!$A$14,Dienste!$C$14,IF(W23=Dienste!$A$15,Dienste!$C$15,IF(W23=Dienste!$A$16,Dienste!$C$16,IF(W23=Dienste!$A$17,Dienste!$C$17,IF(W23=Dienste!$A$18,Dienste!$C$18,IF(W23=Dienste!$A$19,Dienste!$C$19,IF(W23=Dienste!$A$20,Dienste!$C$20,IF(W23=Dienste!$A$21,Dienste!$C$21,IF(W23=Dienste!$A$22,Dienste!$C$22,IF(W23=Dienste!$A$23,Dienste!$C$23,IF(W23=Dienste!$A$24,Dienste!$C$24,IF(W23=Dienste!$A$25,Dienste!$C$25,IF(W23=Dienste!$A$26,Dienste!$C$26,IF(W23=Dienste!$A$27,Dienste!$C$27,IF(W23=Dienste!$A$28,Dienste!$C$28,IF(W23=Dienste!#REF!,Dienste!#REF!,IF(W23=Dienste!#REF!,Dienste!#REF!,IF(W23=Dienste!#REF!,Dienste!#REF!,IF(W23=Dienste!#REF!,Dienste!#REF!,IF(W23=Dienste!$A$33,Dienste!$C$33,IF(W23=Dienste!$A$34,Dienste!$C$34,IF(W23=Dienste!$A$35,Dienste!$C$35,IF(W23=Dienste!$A$36,Dienste!$C$36,)))))))))))))))))))))))))))))))))))</f>
        <v>0</v>
      </c>
      <c r="BR23" s="27">
        <f>IF(X23=Dienste!$A$2,Dienste!$C$2,IF(X23=Dienste!$A$3,Dienste!$C$3,IF(X23=Dienste!$A$4,Dienste!$C$4,IF(X23=Dienste!$A$5,Dienste!$C$5,IF(X23=Dienste!$A$6,Dienste!$C$6,IF(X23=Dienste!$A$7,Dienste!$C$7,IF(X23=Dienste!$A$8,Dienste!$C$8,IF(X23=Dienste!$A$9,Dienste!$C$9,IF(X23=Dienste!$A$10,Dienste!$C$10,IF(X23=Dienste!$A$11,Dienste!$C$11,IF(X23=Dienste!$A$12,Dienste!$C$12,IF(X23=Dienste!$A$13,Dienste!$C$13,IF(X23=Dienste!$A$14,Dienste!$C$14,IF(X23=Dienste!$A$15,Dienste!$C$15,IF(X23=Dienste!$A$16,Dienste!$C$16,IF(X23=Dienste!$A$17,Dienste!$C$17,IF(X23=Dienste!$A$18,Dienste!$C$18,IF(X23=Dienste!$A$19,Dienste!$C$19,IF(X23=Dienste!$A$20,Dienste!$C$20,IF(X23=Dienste!$A$21,Dienste!$C$21,IF(X23=Dienste!$A$22,Dienste!$C$22,IF(X23=Dienste!$A$23,Dienste!$C$23,IF(X23=Dienste!$A$24,Dienste!$C$24,IF(X23=Dienste!$A$25,Dienste!$C$25,IF(X23=Dienste!$A$26,Dienste!$C$26,IF(X23=Dienste!$A$27,Dienste!$C$27,IF(X23=Dienste!$A$28,Dienste!$C$28,IF(X23=Dienste!#REF!,Dienste!#REF!,IF(X23=Dienste!#REF!,Dienste!#REF!,IF(X23=Dienste!#REF!,Dienste!#REF!,IF(X23=Dienste!#REF!,Dienste!#REF!,IF(X23=Dienste!$A$33,Dienste!$C$33,IF(X23=Dienste!$A$34,Dienste!$C$34,IF(X23=Dienste!$A$35,Dienste!$C$35,IF(X23=Dienste!$A$36,Dienste!$C$36,)))))))))))))))))))))))))))))))))))</f>
        <v>0</v>
      </c>
      <c r="BS23" s="27">
        <f>IF(Y23=Dienste!$A$2,Dienste!$C$2,IF(Y23=Dienste!$A$3,Dienste!$C$3,IF(Y23=Dienste!$A$4,Dienste!$C$4,IF(Y23=Dienste!$A$5,Dienste!$C$5,IF(Y23=Dienste!$A$6,Dienste!$C$6,IF(Y23=Dienste!$A$7,Dienste!$C$7,IF(Y23=Dienste!$A$8,Dienste!$C$8,IF(Y23=Dienste!$A$9,Dienste!$C$9,IF(Y23=Dienste!$A$10,Dienste!$C$10,IF(Y23=Dienste!$A$11,Dienste!$C$11,IF(Y23=Dienste!$A$12,Dienste!$C$12,IF(Y23=Dienste!$A$13,Dienste!$C$13,IF(Y23=Dienste!$A$14,Dienste!$C$14,IF(Y23=Dienste!$A$15,Dienste!$C$15,IF(Y23=Dienste!$A$16,Dienste!$C$16,IF(Y23=Dienste!$A$17,Dienste!$C$17,IF(Y23=Dienste!$A$18,Dienste!$C$18,IF(Y23=Dienste!$A$19,Dienste!$C$19,IF(Y23=Dienste!$A$20,Dienste!$C$20,IF(Y23=Dienste!$A$21,Dienste!$C$21,IF(Y23=Dienste!$A$22,Dienste!$C$22,IF(Y23=Dienste!$A$23,Dienste!$C$23,IF(Y23=Dienste!$A$24,Dienste!$C$24,IF(Y23=Dienste!$A$25,Dienste!$C$25,IF(Y23=Dienste!$A$26,Dienste!$C$26,IF(Y23=Dienste!$A$27,Dienste!$C$27,IF(Y23=Dienste!$A$28,Dienste!$C$28,IF(Y23=Dienste!#REF!,Dienste!#REF!,IF(Y23=Dienste!#REF!,Dienste!#REF!,IF(Y23=Dienste!#REF!,Dienste!#REF!,IF(Y23=Dienste!#REF!,Dienste!#REF!,IF(Y23=Dienste!$A$33,Dienste!$C$33,IF(Y23=Dienste!$A$34,Dienste!$C$34,IF(Y23=Dienste!$A$35,Dienste!$C$35,IF(Y23=Dienste!$A$36,Dienste!$C$36,)))))))))))))))))))))))))))))))))))</f>
        <v>0</v>
      </c>
      <c r="BT23" s="27">
        <f>IF(Z23=Dienste!$A$2,Dienste!$C$2,IF(Z23=Dienste!$A$3,Dienste!$C$3,IF(Z23=Dienste!$A$4,Dienste!$C$4,IF(Z23=Dienste!$A$5,Dienste!$C$5,IF(Z23=Dienste!$A$6,Dienste!$C$6,IF(Z23=Dienste!$A$7,Dienste!$C$7,IF(Z23=Dienste!$A$8,Dienste!$C$8,IF(Z23=Dienste!$A$9,Dienste!$C$9,IF(Z23=Dienste!$A$10,Dienste!$C$10,IF(Z23=Dienste!$A$11,Dienste!$C$11,IF(Z23=Dienste!$A$12,Dienste!$C$12,IF(Z23=Dienste!$A$13,Dienste!$C$13,IF(Z23=Dienste!$A$14,Dienste!$C$14,IF(Z23=Dienste!$A$15,Dienste!$C$15,IF(Z23=Dienste!$A$16,Dienste!$C$16,IF(Z23=Dienste!$A$17,Dienste!$C$17,IF(Z23=Dienste!$A$18,Dienste!$C$18,IF(Z23=Dienste!$A$19,Dienste!$C$19,IF(Z23=Dienste!$A$20,Dienste!$C$20,IF(Z23=Dienste!$A$21,Dienste!$C$21,IF(Z23=Dienste!$A$22,Dienste!$C$22,IF(Z23=Dienste!$A$23,Dienste!$C$23,IF(Z23=Dienste!$A$24,Dienste!$C$24,IF(Z23=Dienste!$A$25,Dienste!$C$25,IF(Z23=Dienste!$A$26,Dienste!$C$26,IF(Z23=Dienste!$A$27,Dienste!$C$27,IF(Z23=Dienste!$A$28,Dienste!$C$28,IF(Z23=Dienste!#REF!,Dienste!#REF!,IF(Z23=Dienste!#REF!,Dienste!#REF!,IF(Z23=Dienste!#REF!,Dienste!#REF!,IF(Z23=Dienste!#REF!,Dienste!#REF!,IF(Z23=Dienste!$A$33,Dienste!$C$33,IF(Z23=Dienste!$A$34,Dienste!$C$34,IF(Z23=Dienste!$A$35,Dienste!$C$35,IF(Z23=Dienste!$A$36,Dienste!$C$36,)))))))))))))))))))))))))))))))))))</f>
        <v>0</v>
      </c>
      <c r="BU23" s="27">
        <f>IF(AA23=Dienste!$A$2,Dienste!$C$2,IF(AA23=Dienste!$A$3,Dienste!$C$3,IF(AA23=Dienste!$A$4,Dienste!$C$4,IF(AA23=Dienste!$A$5,Dienste!$C$5,IF(AA23=Dienste!$A$6,Dienste!$C$6,IF(AA23=Dienste!$A$7,Dienste!$C$7,IF(AA23=Dienste!$A$8,Dienste!$C$8,IF(AA23=Dienste!$A$9,Dienste!$C$9,IF(AA23=Dienste!$A$10,Dienste!$C$10,IF(AA23=Dienste!$A$11,Dienste!$C$11,IF(AA23=Dienste!$A$12,Dienste!$C$12,IF(AA23=Dienste!$A$13,Dienste!$C$13,IF(AA23=Dienste!$A$14,Dienste!$C$14,IF(AA23=Dienste!$A$15,Dienste!$C$15,IF(AA23=Dienste!$A$16,Dienste!$C$16,IF(AA23=Dienste!$A$17,Dienste!$C$17,IF(AA23=Dienste!$A$18,Dienste!$C$18,IF(AA23=Dienste!$A$19,Dienste!$C$19,IF(AA23=Dienste!$A$20,Dienste!$C$20,IF(AA23=Dienste!$A$21,Dienste!$C$21,IF(AA23=Dienste!$A$22,Dienste!$C$22,IF(AA23=Dienste!$A$23,Dienste!$C$23,IF(AA23=Dienste!$A$24,Dienste!$C$24,IF(AA23=Dienste!$A$25,Dienste!$C$25,IF(AA23=Dienste!$A$26,Dienste!$C$26,IF(AA23=Dienste!$A$27,Dienste!$C$27,IF(AA23=Dienste!$A$28,Dienste!$C$28,IF(AA23=Dienste!#REF!,Dienste!#REF!,IF(AA23=Dienste!#REF!,Dienste!#REF!,IF(AA23=Dienste!#REF!,Dienste!#REF!,IF(AA23=Dienste!#REF!,Dienste!#REF!,IF(AA23=Dienste!$A$33,Dienste!$C$33,IF(AA23=Dienste!$A$34,Dienste!$C$34,IF(AA23=Dienste!$A$35,Dienste!$C$35,IF(AA23=Dienste!$A$36,Dienste!$C$36,)))))))))))))))))))))))))))))))))))</f>
        <v>8</v>
      </c>
      <c r="BV23" s="27">
        <f>IF(AB23=Dienste!$A$2,Dienste!$C$2,IF(AB23=Dienste!$A$3,Dienste!$C$3,IF(AB23=Dienste!$A$4,Dienste!$C$4,IF(AB23=Dienste!$A$5,Dienste!$C$5,IF(AB23=Dienste!$A$6,Dienste!$C$6,IF(AB23=Dienste!$A$7,Dienste!$C$7,IF(AB23=Dienste!$A$8,Dienste!$C$8,IF(AB23=Dienste!$A$9,Dienste!$C$9,IF(AB23=Dienste!$A$10,Dienste!$C$10,IF(AB23=Dienste!$A$11,Dienste!$C$11,IF(AB23=Dienste!$A$12,Dienste!$C$12,IF(AB23=Dienste!$A$13,Dienste!$C$13,IF(AB23=Dienste!$A$14,Dienste!$C$14,IF(AB23=Dienste!$A$15,Dienste!$C$15,IF(AB23=Dienste!$A$16,Dienste!$C$16,IF(AB23=Dienste!$A$17,Dienste!$C$17,IF(AB23=Dienste!$A$18,Dienste!$C$18,IF(AB23=Dienste!$A$19,Dienste!$C$19,IF(AB23=Dienste!$A$20,Dienste!$C$20,IF(AB23=Dienste!$A$21,Dienste!$C$21,IF(AB23=Dienste!$A$22,Dienste!$C$22,IF(AB23=Dienste!$A$23,Dienste!$C$23,IF(AB23=Dienste!$A$24,Dienste!$C$24,IF(AB23=Dienste!$A$25,Dienste!$C$25,IF(AB23=Dienste!$A$26,Dienste!$C$26,IF(AB23=Dienste!$A$27,Dienste!$C$27,IF(AB23=Dienste!$A$28,Dienste!$C$28,IF(AB23=Dienste!#REF!,Dienste!#REF!,IF(AB23=Dienste!#REF!,Dienste!#REF!,IF(AB23=Dienste!#REF!,Dienste!#REF!,IF(AB23=Dienste!#REF!,Dienste!#REF!,IF(AB23=Dienste!$A$33,Dienste!$C$33,IF(AB23=Dienste!$A$34,Dienste!$C$34,IF(AB23=Dienste!$A$35,Dienste!$C$35,IF(AB23=Dienste!$A$36,Dienste!$C$36,)))))))))))))))))))))))))))))))))))</f>
        <v>8</v>
      </c>
      <c r="BW23" s="27">
        <f>IF(AC23=Dienste!$A$2,Dienste!$C$2,IF(AC23=Dienste!$A$3,Dienste!$C$3,IF(AC23=Dienste!$A$4,Dienste!$C$4,IF(AC23=Dienste!$A$5,Dienste!$C$5,IF(AC23=Dienste!$A$6,Dienste!$C$6,IF(AC23=Dienste!$A$7,Dienste!$C$7,IF(AC23=Dienste!$A$8,Dienste!$C$8,IF(AC23=Dienste!$A$9,Dienste!$C$9,IF(AC23=Dienste!$A$10,Dienste!$C$10,IF(AC23=Dienste!$A$11,Dienste!$C$11,IF(AC23=Dienste!$A$12,Dienste!$C$12,IF(AC23=Dienste!$A$13,Dienste!$C$13,IF(AC23=Dienste!$A$14,Dienste!$C$14,IF(AC23=Dienste!$A$15,Dienste!$C$15,IF(AC23=Dienste!$A$16,Dienste!$C$16,IF(AC23=Dienste!$A$17,Dienste!$C$17,IF(AC23=Dienste!$A$18,Dienste!$C$18,IF(AC23=Dienste!$A$19,Dienste!$C$19,IF(AC23=Dienste!$A$20,Dienste!$C$20,IF(AC23=Dienste!$A$21,Dienste!$C$21,IF(AC23=Dienste!$A$22,Dienste!$C$22,IF(AC23=Dienste!$A$23,Dienste!$C$23,IF(AC23=Dienste!$A$24,Dienste!$C$24,IF(AC23=Dienste!$A$25,Dienste!$C$25,IF(AC23=Dienste!$A$26,Dienste!$C$26,IF(AC23=Dienste!$A$27,Dienste!$C$27,IF(AC23=Dienste!$A$28,Dienste!$C$28,IF(AC23=Dienste!#REF!,Dienste!#REF!,IF(AC23=Dienste!#REF!,Dienste!#REF!,IF(AC23=Dienste!#REF!,Dienste!#REF!,IF(AC23=Dienste!#REF!,Dienste!#REF!,IF(AC23=Dienste!$A$33,Dienste!$C$33,IF(AC23=Dienste!$A$34,Dienste!$C$34,IF(AC23=Dienste!$A$35,Dienste!$C$35,IF(AC23=Dienste!$A$36,Dienste!$C$36,)))))))))))))))))))))))))))))))))))</f>
        <v>0</v>
      </c>
      <c r="BX23" s="27">
        <f>IF(AD23=Dienste!$A$2,Dienste!$C$2,IF(AD23=Dienste!$A$3,Dienste!$C$3,IF(AD23=Dienste!$A$4,Dienste!$C$4,IF(AD23=Dienste!$A$5,Dienste!$C$5,IF(AD23=Dienste!$A$6,Dienste!$C$6,IF(AD23=Dienste!$A$7,Dienste!$C$7,IF(AD23=Dienste!$A$8,Dienste!$C$8,IF(AD23=Dienste!$A$9,Dienste!$C$9,IF(AD23=Dienste!$A$10,Dienste!$C$10,IF(AD23=Dienste!$A$11,Dienste!$C$11,IF(AD23=Dienste!$A$12,Dienste!$C$12,IF(AD23=Dienste!$A$13,Dienste!$C$13,IF(AD23=Dienste!$A$14,Dienste!$C$14,IF(AD23=Dienste!$A$15,Dienste!$C$15,IF(AD23=Dienste!$A$16,Dienste!$C$16,IF(AD23=Dienste!$A$17,Dienste!$C$17,IF(AD23=Dienste!$A$18,Dienste!$C$18,IF(AD23=Dienste!$A$19,Dienste!$C$19,IF(AD23=Dienste!$A$20,Dienste!$C$20,IF(AD23=Dienste!$A$21,Dienste!$C$21,IF(AD23=Dienste!$A$22,Dienste!$C$22,IF(AD23=Dienste!$A$23,Dienste!$C$23,IF(AD23=Dienste!$A$24,Dienste!$C$24,IF(AD23=Dienste!$A$25,Dienste!$C$25,IF(AD23=Dienste!$A$26,Dienste!$C$26,IF(AD23=Dienste!$A$27,Dienste!$C$27,IF(AD23=Dienste!$A$28,Dienste!$C$28,IF(AD23=Dienste!#REF!,Dienste!#REF!,IF(AD23=Dienste!#REF!,Dienste!#REF!,IF(AD23=Dienste!#REF!,Dienste!#REF!,IF(AD23=Dienste!#REF!,Dienste!#REF!,IF(AD23=Dienste!$A$33,Dienste!$C$33,IF(AD23=Dienste!$A$34,Dienste!$C$34,IF(AD23=Dienste!$A$35,Dienste!$C$35,IF(AD23=Dienste!$A$36,Dienste!$C$36,)))))))))))))))))))))))))))))))))))</f>
        <v>8</v>
      </c>
      <c r="BY23" s="27">
        <f>IF(AE23=Dienste!$A$2,Dienste!$C$2,IF(AE23=Dienste!$A$3,Dienste!$C$3,IF(AE23=Dienste!$A$4,Dienste!$C$4,IF(AE23=Dienste!$A$5,Dienste!$C$5,IF(AE23=Dienste!$A$6,Dienste!$C$6,IF(AE23=Dienste!$A$7,Dienste!$C$7,IF(AE23=Dienste!$A$8,Dienste!$C$8,IF(AE23=Dienste!$A$9,Dienste!$C$9,IF(AE23=Dienste!$A$10,Dienste!$C$10,IF(AE23=Dienste!$A$11,Dienste!$C$11,IF(AE23=Dienste!$A$12,Dienste!$C$12,IF(AE23=Dienste!$A$13,Dienste!$C$13,IF(AE23=Dienste!$A$14,Dienste!$C$14,IF(AE23=Dienste!$A$15,Dienste!$C$15,IF(AE23=Dienste!$A$16,Dienste!$C$16,IF(AE23=Dienste!$A$17,Dienste!$C$17,IF(AE23=Dienste!$A$18,Dienste!$C$18,IF(AE23=Dienste!$A$19,Dienste!$C$19,IF(AE23=Dienste!$A$20,Dienste!$C$20,IF(AE23=Dienste!$A$21,Dienste!$C$21,IF(AE23=Dienste!$A$22,Dienste!$C$22,IF(AE23=Dienste!$A$23,Dienste!$C$23,IF(AE23=Dienste!$A$24,Dienste!$C$24,IF(AE23=Dienste!$A$25,Dienste!$C$25,IF(AE23=Dienste!$A$26,Dienste!$C$26,IF(AE23=Dienste!$A$27,Dienste!$C$27,IF(AE23=Dienste!$A$28,Dienste!$C$28,IF(AE23=Dienste!#REF!,Dienste!#REF!,IF(AE23=Dienste!#REF!,Dienste!#REF!,IF(AE23=Dienste!#REF!,Dienste!#REF!,IF(AE23=Dienste!#REF!,Dienste!#REF!,IF(AE23=Dienste!$A$33,Dienste!$C$33,IF(AE23=Dienste!$A$34,Dienste!$C$34,IF(AE23=Dienste!$A$35,Dienste!$C$35,IF(AE23=Dienste!$A$36,Dienste!$C$36,)))))))))))))))))))))))))))))))))))</f>
        <v>9</v>
      </c>
      <c r="BZ23" s="27">
        <f>IF(AF23=Dienste!$A$2,Dienste!$C$2,IF(AF23=Dienste!$A$3,Dienste!$C$3,IF(AF23=Dienste!$A$4,Dienste!$C$4,IF(AF23=Dienste!$A$5,Dienste!$C$5,IF(AF23=Dienste!$A$6,Dienste!$C$6,IF(AF23=Dienste!$A$7,Dienste!$C$7,IF(AF23=Dienste!$A$8,Dienste!$C$8,IF(AF23=Dienste!$A$9,Dienste!$C$9,IF(AF23=Dienste!$A$10,Dienste!$C$10,IF(AF23=Dienste!$A$11,Dienste!$C$11,IF(AF23=Dienste!$A$12,Dienste!$C$12,IF(AF23=Dienste!$A$13,Dienste!$C$13,IF(AF23=Dienste!$A$14,Dienste!$C$14,IF(AF23=Dienste!$A$15,Dienste!$C$15,IF(AF23=Dienste!$A$16,Dienste!$C$16,IF(AF23=Dienste!$A$17,Dienste!$C$17,IF(AF23=Dienste!$A$18,Dienste!$C$18,IF(AF23=Dienste!$A$19,Dienste!$C$19,IF(AF23=Dienste!$A$20,Dienste!$C$20,IF(AF23=Dienste!$A$21,Dienste!$C$21,IF(AF23=Dienste!$A$22,Dienste!$C$22,IF(AF23=Dienste!$A$23,Dienste!$C$23,IF(AF23=Dienste!$A$24,Dienste!$C$24,IF(AF23=Dienste!$A$25,Dienste!$C$25,IF(AF23=Dienste!$A$26,Dienste!$C$26,IF(AF23=Dienste!$A$27,Dienste!$C$27,IF(AF23=Dienste!$A$28,Dienste!$C$28,IF(AF23=Dienste!#REF!,Dienste!#REF!,IF(AF23=Dienste!#REF!,Dienste!#REF!,IF(AF23=Dienste!#REF!,Dienste!#REF!,IF(AF23=Dienste!#REF!,Dienste!#REF!,IF(AF23=Dienste!$A$33,Dienste!$C$33,IF(AF23=Dienste!$A$34,Dienste!$C$34,IF(AF23=Dienste!$A$35,Dienste!$C$35,IF(AF23=Dienste!$A$36,Dienste!$C$36,)))))))))))))))))))))))))))))))))))</f>
        <v>0</v>
      </c>
      <c r="CA23" s="27">
        <f>IF(AG23=Dienste!$A$2,Dienste!$C$2,IF(AG23=Dienste!$A$3,Dienste!$C$3,IF(AG23=Dienste!$A$4,Dienste!$C$4,IF(AG23=Dienste!$A$5,Dienste!$C$5,IF(AG23=Dienste!$A$6,Dienste!$C$6,IF(AG23=Dienste!$A$7,Dienste!$C$7,IF(AG23=Dienste!$A$8,Dienste!$C$8,IF(AG23=Dienste!$A$9,Dienste!$C$9,IF(AG23=Dienste!$A$10,Dienste!$C$10,IF(AG23=Dienste!$A$11,Dienste!$C$11,IF(AG23=Dienste!$A$12,Dienste!$C$12,IF(AG23=Dienste!$A$13,Dienste!$C$13,IF(AG23=Dienste!$A$14,Dienste!$C$14,IF(AG23=Dienste!$A$15,Dienste!$C$15,IF(AG23=Dienste!$A$16,Dienste!$C$16,IF(AG23=Dienste!$A$17,Dienste!$C$17,IF(AG23=Dienste!$A$18,Dienste!$C$18,IF(AG23=Dienste!$A$19,Dienste!$C$19,IF(AG23=Dienste!$A$20,Dienste!$C$20,IF(AG23=Dienste!$A$21,Dienste!$C$21,IF(AG23=Dienste!$A$22,Dienste!$C$22,IF(AG23=Dienste!$A$23,Dienste!$C$23,IF(AG23=Dienste!$A$24,Dienste!$C$24,IF(AG23=Dienste!$A$25,Dienste!$C$25,IF(AG23=Dienste!$A$26,Dienste!$C$26,IF(AG23=Dienste!$A$27,Dienste!$C$27,IF(AG23=Dienste!$A$28,Dienste!$C$28,IF(AG23=Dienste!#REF!,Dienste!#REF!,IF(AG23=Dienste!#REF!,Dienste!#REF!,IF(AG23=Dienste!#REF!,Dienste!#REF!,IF(AG23=Dienste!#REF!,Dienste!#REF!,IF(AG23=Dienste!$A$33,Dienste!$C$33,IF(AG23=Dienste!$A$34,Dienste!$C$34,IF(AG23=Dienste!$A$35,Dienste!$C$35,IF(AG23=Dienste!$A$36,Dienste!$C$36,)))))))))))))))))))))))))))))))))))</f>
        <v>0</v>
      </c>
      <c r="CB23" s="27">
        <f>IF(AH23=Dienste!$A$2,Dienste!$C$2,IF(AH23=Dienste!$A$3,Dienste!$C$3,IF(AH23=Dienste!$A$4,Dienste!$C$4,IF(AH23=Dienste!$A$5,Dienste!$C$5,IF(AH23=Dienste!$A$6,Dienste!$C$6,IF(AH23=Dienste!$A$7,Dienste!$C$7,IF(AH23=Dienste!$A$8,Dienste!$C$8,IF(AH23=Dienste!$A$9,Dienste!$C$9,IF(AH23=Dienste!$A$10,Dienste!$C$10,IF(AH23=Dienste!$A$11,Dienste!$C$11,IF(AH23=Dienste!$A$12,Dienste!$C$12,IF(AH23=Dienste!$A$13,Dienste!$C$13,IF(AH23=Dienste!$A$14,Dienste!$C$14,IF(AH23=Dienste!$A$15,Dienste!$C$15,IF(AH23=Dienste!$A$16,Dienste!$C$16,IF(AH23=Dienste!$A$17,Dienste!$C$17,IF(AH23=Dienste!$A$18,Dienste!$C$18,IF(AH23=Dienste!$A$19,Dienste!$C$19,IF(AH23=Dienste!$A$20,Dienste!$C$20,IF(AH23=Dienste!$A$21,Dienste!$C$21,IF(AH23=Dienste!$A$22,Dienste!$C$22,IF(AH23=Dienste!$A$23,Dienste!$C$23,IF(AH23=Dienste!$A$24,Dienste!$C$24,IF(AH23=Dienste!$A$25,Dienste!$C$25,IF(AH23=Dienste!$A$26,Dienste!$C$26,IF(AH23=Dienste!$A$27,Dienste!$C$27,IF(AH23=Dienste!$A$28,Dienste!$C$28,IF(AH23=Dienste!#REF!,Dienste!#REF!,IF(AH23=Dienste!#REF!,Dienste!#REF!,IF(AH23=Dienste!#REF!,Dienste!#REF!,IF(AH23=Dienste!#REF!,Dienste!#REF!,IF(AH23=Dienste!$A$33,Dienste!$C$33,IF(AH23=Dienste!$A$34,Dienste!$C$34,IF(AH23=Dienste!$A$35,Dienste!$C$35,IF(AH23=Dienste!$A$36,Dienste!$C$36,)))))))))))))))))))))))))))))))))))</f>
        <v>0</v>
      </c>
      <c r="CC23" s="27" t="e">
        <f>IF(AI23=Dienste!$A$2,Dienste!$C$2,IF(AI23=Dienste!$A$3,Dienste!$C$3,IF(AI23=Dienste!$A$4,Dienste!$C$4,IF(AI23=Dienste!$A$5,Dienste!$C$5,IF(AI23=Dienste!$A$6,Dienste!$C$6,IF(AI23=Dienste!$A$7,Dienste!$C$7,IF(AI23=Dienste!$A$8,Dienste!$C$8,IF(AI23=Dienste!$A$9,Dienste!$C$9,IF(AI23=Dienste!$A$10,Dienste!$C$10,IF(AI23=Dienste!$A$11,Dienste!$C$11,IF(AI23=Dienste!$A$12,Dienste!$C$12,IF(AI23=Dienste!$A$13,Dienste!$C$13,IF(AI23=Dienste!$A$14,Dienste!$C$14,IF(AI23=Dienste!$A$15,Dienste!$C$15,IF(AI23=Dienste!$A$16,Dienste!$C$16,IF(AI23=Dienste!$A$17,Dienste!$C$17,IF(AI23=Dienste!$A$18,Dienste!$C$18,IF(AI23=Dienste!$A$19,Dienste!$C$19,IF(AI23=Dienste!$A$20,Dienste!$C$20,IF(AI23=Dienste!$A$21,Dienste!$C$21,IF(AI23=Dienste!$A$22,Dienste!$C$22,IF(AI23=Dienste!$A$23,Dienste!$C$23,IF(AI23=Dienste!$A$24,Dienste!$C$24,IF(AI23=Dienste!$A$25,Dienste!$C$25,IF(AI23=Dienste!$A$26,Dienste!$C$26,IF(AI23=Dienste!$A$27,Dienste!$C$27,IF(AI23=Dienste!$A$28,Dienste!$C$28,IF(AI23=Dienste!#REF!,Dienste!#REF!,IF(AI23=Dienste!#REF!,Dienste!#REF!,IF(AI23=Dienste!#REF!,Dienste!#REF!,IF(AI23=Dienste!#REF!,Dienste!#REF!,IF(AI23=Dienste!$A$33,Dienste!$C$33,IF(AI23=Dienste!$A$34,Dienste!$C$34,IF(AI23=Dienste!$A$35,Dienste!$C$35,IF(AI23=Dienste!$A$36,Dienste!$C$36,)))))))))))))))))))))))))))))))))))</f>
        <v>#REF!</v>
      </c>
    </row>
    <row r="24" spans="1:81" x14ac:dyDescent="0.25">
      <c r="A24" s="109" t="s">
        <v>138</v>
      </c>
      <c r="B24" s="15" t="s">
        <v>231</v>
      </c>
      <c r="C24" s="15">
        <v>40</v>
      </c>
      <c r="D24" s="98">
        <v>1</v>
      </c>
      <c r="E24" s="104" t="s">
        <v>26</v>
      </c>
      <c r="F24" s="9" t="s">
        <v>26</v>
      </c>
      <c r="G24" s="9" t="s">
        <v>53</v>
      </c>
      <c r="H24" s="9" t="s">
        <v>65</v>
      </c>
      <c r="I24" s="9" t="s">
        <v>83</v>
      </c>
      <c r="J24" s="9" t="s">
        <v>83</v>
      </c>
      <c r="K24" s="9" t="s">
        <v>84</v>
      </c>
      <c r="L24" s="9" t="s">
        <v>84</v>
      </c>
      <c r="M24" s="9" t="s">
        <v>63</v>
      </c>
      <c r="N24" s="9" t="s">
        <v>63</v>
      </c>
      <c r="O24" s="9" t="s">
        <v>63</v>
      </c>
      <c r="P24" s="9" t="s">
        <v>63</v>
      </c>
      <c r="Q24" s="9" t="s">
        <v>63</v>
      </c>
      <c r="R24" s="9" t="s">
        <v>84</v>
      </c>
      <c r="S24" s="9" t="s">
        <v>84</v>
      </c>
      <c r="T24" s="9" t="s">
        <v>63</v>
      </c>
      <c r="U24" s="9" t="s">
        <v>63</v>
      </c>
      <c r="V24" s="9" t="s">
        <v>63</v>
      </c>
      <c r="W24" s="9" t="s">
        <v>63</v>
      </c>
      <c r="X24" s="9" t="s">
        <v>63</v>
      </c>
      <c r="Y24" s="9" t="s">
        <v>84</v>
      </c>
      <c r="Z24" s="9" t="s">
        <v>84</v>
      </c>
      <c r="AA24" s="9" t="s">
        <v>63</v>
      </c>
      <c r="AB24" s="9" t="s">
        <v>63</v>
      </c>
      <c r="AC24" s="9" t="s">
        <v>63</v>
      </c>
      <c r="AD24" s="9" t="s">
        <v>63</v>
      </c>
      <c r="AE24" s="9" t="s">
        <v>63</v>
      </c>
      <c r="AF24" s="9" t="s">
        <v>84</v>
      </c>
      <c r="AG24" s="9" t="s">
        <v>371</v>
      </c>
      <c r="AH24" s="9" t="s">
        <v>31</v>
      </c>
      <c r="AI24" s="15"/>
      <c r="AJ24" s="109">
        <v>15.1</v>
      </c>
      <c r="AK24" s="15">
        <v>168</v>
      </c>
      <c r="AL24" s="109">
        <v>161</v>
      </c>
      <c r="AM24" s="15">
        <v>8.1</v>
      </c>
      <c r="AN24" s="170">
        <v>-7</v>
      </c>
      <c r="AO24" s="109">
        <v>12.8</v>
      </c>
      <c r="AP24" s="15">
        <v>2</v>
      </c>
      <c r="AQ24" s="98">
        <v>3</v>
      </c>
      <c r="AR24" s="109">
        <v>60</v>
      </c>
      <c r="AS24" s="15">
        <v>42.146153846153844</v>
      </c>
      <c r="AT24" s="98">
        <v>26</v>
      </c>
      <c r="AU24" s="96" t="e">
        <f t="shared" si="2"/>
        <v>#REF!</v>
      </c>
      <c r="AV24" s="27" t="e">
        <f t="shared" si="0"/>
        <v>#REF!</v>
      </c>
      <c r="AW24" s="58" t="e">
        <f t="shared" si="1"/>
        <v>#REF!</v>
      </c>
      <c r="AY24" s="27">
        <f>IF(E24=Dienste!$A$2,Dienste!$C$2,IF(E24=Dienste!$A$3,Dienste!$C$3,IF(E24=Dienste!$A$4,Dienste!$C$4,IF(E24=Dienste!$A$5,Dienste!$C$5,IF(E24=Dienste!$A$6,Dienste!$C$6,IF(E24=Dienste!$A$7,Dienste!$C$7,IF(E24=Dienste!$A$8,Dienste!$C$8,IF(E24=Dienste!$A$9,Dienste!$C$9,IF(E24=Dienste!$A$10,Dienste!$C$10,IF(E24=Dienste!$A$11,Dienste!$C$11,IF(E24=Dienste!$A$12,Dienste!$C$12,IF(E24=Dienste!$A$13,Dienste!$C$13,IF(E24=Dienste!$A$14,Dienste!$C$14,IF(E24=Dienste!$A$15,Dienste!$C$15,IF(E24=Dienste!$A$16,Dienste!$C$16,IF(E24=Dienste!$A$17,Dienste!$C$17,IF(E24=Dienste!$A$18,Dienste!$C$18,IF(E24=Dienste!$A$19,Dienste!$C$19,IF(E24=Dienste!$A$20,Dienste!$C$20,IF(E24=Dienste!$A$21,Dienste!$C$21,IF(E24=Dienste!$A$22,Dienste!$C$22,IF(E24=Dienste!$A$23,Dienste!$C$23,IF(E24=Dienste!$A$24,Dienste!$C$24,IF(E24=Dienste!$A$25,Dienste!$C$25,IF(E24=Dienste!$A$26,Dienste!$C$26,IF(E24=Dienste!$A$27,Dienste!$C$27,IF(E24=Dienste!$A$28,Dienste!$C$28,IF(E24=Dienste!#REF!,Dienste!#REF!,IF(E24=Dienste!#REF!,Dienste!#REF!,IF(E24=Dienste!#REF!,Dienste!#REF!,IF(E24=Dienste!#REF!,Dienste!#REF!,IF(E24=Dienste!$A$33,Dienste!$C$33,IF(E24=Dienste!$A$34,Dienste!$C$34,IF(E24=Dienste!$A$35,Dienste!$C$35,IF(E24=Dienste!$A$36,Dienste!$C$36,)))))))))))))))))))))))))))))))))))</f>
        <v>8</v>
      </c>
      <c r="AZ24" s="27">
        <f>IF(F24=Dienste!$A$2,Dienste!$C$2,IF(F24=Dienste!$A$3,Dienste!$C$3,IF(F24=Dienste!$A$4,Dienste!$C$4,IF(F24=Dienste!$A$5,Dienste!$C$5,IF(F24=Dienste!$A$6,Dienste!$C$6,IF(F24=Dienste!$A$7,Dienste!$C$7,IF(F24=Dienste!$A$8,Dienste!$C$8,IF(F24=Dienste!$A$9,Dienste!$C$9,IF(F24=Dienste!$A$10,Dienste!$C$10,IF(F24=Dienste!$A$11,Dienste!$C$11,IF(F24=Dienste!$A$12,Dienste!$C$12,IF(F24=Dienste!$A$13,Dienste!$C$13,IF(F24=Dienste!$A$14,Dienste!$C$14,IF(F24=Dienste!$A$15,Dienste!$C$15,IF(F24=Dienste!$A$16,Dienste!$C$16,IF(F24=Dienste!$A$17,Dienste!$C$17,IF(F24=Dienste!$A$18,Dienste!$C$18,IF(F24=Dienste!$A$19,Dienste!$C$19,IF(F24=Dienste!$A$20,Dienste!$C$20,IF(F24=Dienste!$A$21,Dienste!$C$21,IF(F24=Dienste!$A$22,Dienste!$C$22,IF(F24=Dienste!$A$23,Dienste!$C$23,IF(F24=Dienste!$A$24,Dienste!$C$24,IF(F24=Dienste!$A$25,Dienste!$C$25,IF(F24=Dienste!$A$26,Dienste!$C$26,IF(F24=Dienste!$A$27,Dienste!$C$27,IF(F24=Dienste!$A$28,Dienste!$C$28,IF(F24=Dienste!#REF!,Dienste!#REF!,IF(F24=Dienste!#REF!,Dienste!#REF!,IF(F24=Dienste!#REF!,Dienste!#REF!,IF(F24=Dienste!#REF!,Dienste!#REF!,IF(F24=Dienste!$A$33,Dienste!$C$33,IF(F24=Dienste!$A$34,Dienste!$C$34,IF(F24=Dienste!$A$35,Dienste!$C$35,IF(F24=Dienste!$A$36,Dienste!$C$36,)))))))))))))))))))))))))))))))))))</f>
        <v>8</v>
      </c>
      <c r="BA24" s="27">
        <f>IF(G24=Dienste!$A$2,Dienste!$C$2,IF(G24=Dienste!$A$3,Dienste!$C$3,IF(G24=Dienste!$A$4,Dienste!$C$4,IF(G24=Dienste!$A$5,Dienste!$C$5,IF(G24=Dienste!$A$6,Dienste!$C$6,IF(G24=Dienste!$A$7,Dienste!$C$7,IF(G24=Dienste!$A$8,Dienste!$C$8,IF(G24=Dienste!$A$9,Dienste!$C$9,IF(G24=Dienste!$A$10,Dienste!$C$10,IF(G24=Dienste!$A$11,Dienste!$C$11,IF(G24=Dienste!$A$12,Dienste!$C$12,IF(G24=Dienste!$A$13,Dienste!$C$13,IF(G24=Dienste!$A$14,Dienste!$C$14,IF(G24=Dienste!$A$15,Dienste!$C$15,IF(G24=Dienste!$A$16,Dienste!$C$16,IF(G24=Dienste!$A$17,Dienste!$C$17,IF(G24=Dienste!$A$18,Dienste!$C$18,IF(G24=Dienste!$A$19,Dienste!$C$19,IF(G24=Dienste!$A$20,Dienste!$C$20,IF(G24=Dienste!$A$21,Dienste!$C$21,IF(G24=Dienste!$A$22,Dienste!$C$22,IF(G24=Dienste!$A$23,Dienste!$C$23,IF(G24=Dienste!$A$24,Dienste!$C$24,IF(G24=Dienste!$A$25,Dienste!$C$25,IF(G24=Dienste!$A$26,Dienste!$C$26,IF(G24=Dienste!$A$27,Dienste!$C$27,IF(G24=Dienste!$A$28,Dienste!$C$28,IF(G24=Dienste!#REF!,Dienste!#REF!,IF(G24=Dienste!#REF!,Dienste!#REF!,IF(G24=Dienste!#REF!,Dienste!#REF!,IF(G24=Dienste!#REF!,Dienste!#REF!,IF(G24=Dienste!$A$33,Dienste!$C$33,IF(G24=Dienste!$A$34,Dienste!$C$34,IF(G24=Dienste!$A$35,Dienste!$C$35,IF(G24=Dienste!$A$36,Dienste!$C$36,)))))))))))))))))))))))))))))))))))</f>
        <v>9</v>
      </c>
      <c r="BB24" s="27">
        <f>IF(H24=Dienste!$A$2,Dienste!$C$2,IF(H24=Dienste!$A$3,Dienste!$C$3,IF(H24=Dienste!$A$4,Dienste!$C$4,IF(H24=Dienste!$A$5,Dienste!$C$5,IF(H24=Dienste!$A$6,Dienste!$C$6,IF(H24=Dienste!$A$7,Dienste!$C$7,IF(H24=Dienste!$A$8,Dienste!$C$8,IF(H24=Dienste!$A$9,Dienste!$C$9,IF(H24=Dienste!$A$10,Dienste!$C$10,IF(H24=Dienste!$A$11,Dienste!$C$11,IF(H24=Dienste!$A$12,Dienste!$C$12,IF(H24=Dienste!$A$13,Dienste!$C$13,IF(H24=Dienste!$A$14,Dienste!$C$14,IF(H24=Dienste!$A$15,Dienste!$C$15,IF(H24=Dienste!$A$16,Dienste!$C$16,IF(H24=Dienste!$A$17,Dienste!$C$17,IF(H24=Dienste!$A$18,Dienste!$C$18,IF(H24=Dienste!$A$19,Dienste!$C$19,IF(H24=Dienste!$A$20,Dienste!$C$20,IF(H24=Dienste!$A$21,Dienste!$C$21,IF(H24=Dienste!$A$22,Dienste!$C$22,IF(H24=Dienste!$A$23,Dienste!$C$23,IF(H24=Dienste!$A$24,Dienste!$C$24,IF(H24=Dienste!$A$25,Dienste!$C$25,IF(H24=Dienste!$A$26,Dienste!$C$26,IF(H24=Dienste!$A$27,Dienste!$C$27,IF(H24=Dienste!$A$28,Dienste!$C$28,IF(H24=Dienste!#REF!,Dienste!#REF!,IF(H24=Dienste!#REF!,Dienste!#REF!,IF(H24=Dienste!#REF!,Dienste!#REF!,IF(H24=Dienste!#REF!,Dienste!#REF!,IF(H24=Dienste!$A$33,Dienste!$C$33,IF(H24=Dienste!$A$34,Dienste!$C$34,IF(H24=Dienste!$A$35,Dienste!$C$35,IF(H24=Dienste!$A$36,Dienste!$C$36,)))))))))))))))))))))))))))))))))))</f>
        <v>8</v>
      </c>
      <c r="BC24" s="27">
        <f>IF(I24=Dienste!$A$2,Dienste!$C$2,IF(I24=Dienste!$A$3,Dienste!$C$3,IF(I24=Dienste!$A$4,Dienste!$C$4,IF(I24=Dienste!$A$5,Dienste!$C$5,IF(I24=Dienste!$A$6,Dienste!$C$6,IF(I24=Dienste!$A$7,Dienste!$C$7,IF(I24=Dienste!$A$8,Dienste!$C$8,IF(I24=Dienste!$A$9,Dienste!$C$9,IF(I24=Dienste!$A$10,Dienste!$C$10,IF(I24=Dienste!$A$11,Dienste!$C$11,IF(I24=Dienste!$A$12,Dienste!$C$12,IF(I24=Dienste!$A$13,Dienste!$C$13,IF(I24=Dienste!$A$14,Dienste!$C$14,IF(I24=Dienste!$A$15,Dienste!$C$15,IF(I24=Dienste!$A$16,Dienste!$C$16,IF(I24=Dienste!$A$17,Dienste!$C$17,IF(I24=Dienste!$A$18,Dienste!$C$18,IF(I24=Dienste!$A$19,Dienste!$C$19,IF(I24=Dienste!$A$20,Dienste!$C$20,IF(I24=Dienste!$A$21,Dienste!$C$21,IF(I24=Dienste!$A$22,Dienste!$C$22,IF(I24=Dienste!$A$23,Dienste!$C$23,IF(I24=Dienste!$A$24,Dienste!$C$24,IF(I24=Dienste!$A$25,Dienste!$C$25,IF(I24=Dienste!$A$26,Dienste!$C$26,IF(I24=Dienste!$A$27,Dienste!$C$27,IF(I24=Dienste!$A$28,Dienste!$C$28,IF(I24=Dienste!#REF!,Dienste!#REF!,IF(I24=Dienste!#REF!,Dienste!#REF!,IF(I24=Dienste!#REF!,Dienste!#REF!,IF(I24=Dienste!#REF!,Dienste!#REF!,IF(I24=Dienste!$A$33,Dienste!$C$33,IF(I24=Dienste!$A$34,Dienste!$C$34,IF(I24=Dienste!$A$35,Dienste!$C$35,IF(I24=Dienste!$A$36,Dienste!$C$36,)))))))))))))))))))))))))))))))))))</f>
        <v>0</v>
      </c>
      <c r="BD24" s="27">
        <f>IF(J24=Dienste!$A$2,Dienste!$C$2,IF(J24=Dienste!$A$3,Dienste!$C$3,IF(J24=Dienste!$A$4,Dienste!$C$4,IF(J24=Dienste!$A$5,Dienste!$C$5,IF(J24=Dienste!$A$6,Dienste!$C$6,IF(J24=Dienste!$A$7,Dienste!$C$7,IF(J24=Dienste!$A$8,Dienste!$C$8,IF(J24=Dienste!$A$9,Dienste!$C$9,IF(J24=Dienste!$A$10,Dienste!$C$10,IF(J24=Dienste!$A$11,Dienste!$C$11,IF(J24=Dienste!$A$12,Dienste!$C$12,IF(J24=Dienste!$A$13,Dienste!$C$13,IF(J24=Dienste!$A$14,Dienste!$C$14,IF(J24=Dienste!$A$15,Dienste!$C$15,IF(J24=Dienste!$A$16,Dienste!$C$16,IF(J24=Dienste!$A$17,Dienste!$C$17,IF(J24=Dienste!$A$18,Dienste!$C$18,IF(J24=Dienste!$A$19,Dienste!$C$19,IF(J24=Dienste!$A$20,Dienste!$C$20,IF(J24=Dienste!$A$21,Dienste!$C$21,IF(J24=Dienste!$A$22,Dienste!$C$22,IF(J24=Dienste!$A$23,Dienste!$C$23,IF(J24=Dienste!$A$24,Dienste!$C$24,IF(J24=Dienste!$A$25,Dienste!$C$25,IF(J24=Dienste!$A$26,Dienste!$C$26,IF(J24=Dienste!$A$27,Dienste!$C$27,IF(J24=Dienste!$A$28,Dienste!$C$28,IF(J24=Dienste!#REF!,Dienste!#REF!,IF(J24=Dienste!#REF!,Dienste!#REF!,IF(J24=Dienste!#REF!,Dienste!#REF!,IF(J24=Dienste!#REF!,Dienste!#REF!,IF(J24=Dienste!$A$33,Dienste!$C$33,IF(J24=Dienste!$A$34,Dienste!$C$34,IF(J24=Dienste!$A$35,Dienste!$C$35,IF(J24=Dienste!$A$36,Dienste!$C$36,)))))))))))))))))))))))))))))))))))</f>
        <v>0</v>
      </c>
      <c r="BE24" s="27">
        <f>IF(K24=Dienste!$A$2,Dienste!$C$2,IF(K24=Dienste!$A$3,Dienste!$C$3,IF(K24=Dienste!$A$4,Dienste!$C$4,IF(K24=Dienste!$A$5,Dienste!$C$5,IF(K24=Dienste!$A$6,Dienste!$C$6,IF(K24=Dienste!$A$7,Dienste!$C$7,IF(K24=Dienste!$A$8,Dienste!$C$8,IF(K24=Dienste!$A$9,Dienste!$C$9,IF(K24=Dienste!$A$10,Dienste!$C$10,IF(K24=Dienste!$A$11,Dienste!$C$11,IF(K24=Dienste!$A$12,Dienste!$C$12,IF(K24=Dienste!$A$13,Dienste!$C$13,IF(K24=Dienste!$A$14,Dienste!$C$14,IF(K24=Dienste!$A$15,Dienste!$C$15,IF(K24=Dienste!$A$16,Dienste!$C$16,IF(K24=Dienste!$A$17,Dienste!$C$17,IF(K24=Dienste!$A$18,Dienste!$C$18,IF(K24=Dienste!$A$19,Dienste!$C$19,IF(K24=Dienste!$A$20,Dienste!$C$20,IF(K24=Dienste!$A$21,Dienste!$C$21,IF(K24=Dienste!$A$22,Dienste!$C$22,IF(K24=Dienste!$A$23,Dienste!$C$23,IF(K24=Dienste!$A$24,Dienste!$C$24,IF(K24=Dienste!$A$25,Dienste!$C$25,IF(K24=Dienste!$A$26,Dienste!$C$26,IF(K24=Dienste!$A$27,Dienste!$C$27,IF(K24=Dienste!$A$28,Dienste!$C$28,IF(K24=Dienste!#REF!,Dienste!#REF!,IF(K24=Dienste!#REF!,Dienste!#REF!,IF(K24=Dienste!#REF!,Dienste!#REF!,IF(K24=Dienste!#REF!,Dienste!#REF!,IF(K24=Dienste!$A$33,Dienste!$C$33,IF(K24=Dienste!$A$34,Dienste!$C$34,IF(K24=Dienste!$A$35,Dienste!$C$35,IF(K24=Dienste!$A$36,Dienste!$C$36,)))))))))))))))))))))))))))))))))))</f>
        <v>0</v>
      </c>
      <c r="BF24" s="27">
        <f>IF(L24=Dienste!$A$2,Dienste!$C$2,IF(L24=Dienste!$A$3,Dienste!$C$3,IF(L24=Dienste!$A$4,Dienste!$C$4,IF(L24=Dienste!$A$5,Dienste!$C$5,IF(L24=Dienste!$A$6,Dienste!$C$6,IF(L24=Dienste!$A$7,Dienste!$C$7,IF(L24=Dienste!$A$8,Dienste!$C$8,IF(L24=Dienste!$A$9,Dienste!$C$9,IF(L24=Dienste!$A$10,Dienste!$C$10,IF(L24=Dienste!$A$11,Dienste!$C$11,IF(L24=Dienste!$A$12,Dienste!$C$12,IF(L24=Dienste!$A$13,Dienste!$C$13,IF(L24=Dienste!$A$14,Dienste!$C$14,IF(L24=Dienste!$A$15,Dienste!$C$15,IF(L24=Dienste!$A$16,Dienste!$C$16,IF(L24=Dienste!$A$17,Dienste!$C$17,IF(L24=Dienste!$A$18,Dienste!$C$18,IF(L24=Dienste!$A$19,Dienste!$C$19,IF(L24=Dienste!$A$20,Dienste!$C$20,IF(L24=Dienste!$A$21,Dienste!$C$21,IF(L24=Dienste!$A$22,Dienste!$C$22,IF(L24=Dienste!$A$23,Dienste!$C$23,IF(L24=Dienste!$A$24,Dienste!$C$24,IF(L24=Dienste!$A$25,Dienste!$C$25,IF(L24=Dienste!$A$26,Dienste!$C$26,IF(L24=Dienste!$A$27,Dienste!$C$27,IF(L24=Dienste!$A$28,Dienste!$C$28,IF(L24=Dienste!#REF!,Dienste!#REF!,IF(L24=Dienste!#REF!,Dienste!#REF!,IF(L24=Dienste!#REF!,Dienste!#REF!,IF(L24=Dienste!#REF!,Dienste!#REF!,IF(L24=Dienste!$A$33,Dienste!$C$33,IF(L24=Dienste!$A$34,Dienste!$C$34,IF(L24=Dienste!$A$35,Dienste!$C$35,IF(L24=Dienste!$A$36,Dienste!$C$36,)))))))))))))))))))))))))))))))))))</f>
        <v>0</v>
      </c>
      <c r="BG24" s="27">
        <f>IF(M24=Dienste!$A$2,Dienste!$C$2,IF(M24=Dienste!$A$3,Dienste!$C$3,IF(M24=Dienste!$A$4,Dienste!$C$4,IF(M24=Dienste!$A$5,Dienste!$C$5,IF(M24=Dienste!$A$6,Dienste!$C$6,IF(M24=Dienste!$A$7,Dienste!$C$7,IF(M24=Dienste!$A$8,Dienste!$C$8,IF(M24=Dienste!$A$9,Dienste!$C$9,IF(M24=Dienste!$A$10,Dienste!$C$10,IF(M24=Dienste!$A$11,Dienste!$C$11,IF(M24=Dienste!$A$12,Dienste!$C$12,IF(M24=Dienste!$A$13,Dienste!$C$13,IF(M24=Dienste!$A$14,Dienste!$C$14,IF(M24=Dienste!$A$15,Dienste!$C$15,IF(M24=Dienste!$A$16,Dienste!$C$16,IF(M24=Dienste!$A$17,Dienste!$C$17,IF(M24=Dienste!$A$18,Dienste!$C$18,IF(M24=Dienste!$A$19,Dienste!$C$19,IF(M24=Dienste!$A$20,Dienste!$C$20,IF(M24=Dienste!$A$21,Dienste!$C$21,IF(M24=Dienste!$A$22,Dienste!$C$22,IF(M24=Dienste!$A$23,Dienste!$C$23,IF(M24=Dienste!$A$24,Dienste!$C$24,IF(M24=Dienste!$A$25,Dienste!$C$25,IF(M24=Dienste!$A$26,Dienste!$C$26,IF(M24=Dienste!$A$27,Dienste!$C$27,IF(M24=Dienste!$A$28,Dienste!$C$28,IF(M24=Dienste!#REF!,Dienste!#REF!,IF(M24=Dienste!#REF!,Dienste!#REF!,IF(M24=Dienste!#REF!,Dienste!#REF!,IF(M24=Dienste!#REF!,Dienste!#REF!,IF(M24=Dienste!$A$33,Dienste!$C$33,IF(M24=Dienste!$A$34,Dienste!$C$34,IF(M24=Dienste!$A$35,Dienste!$C$35,IF(M24=Dienste!$A$36,Dienste!$C$36,)))))))))))))))))))))))))))))))))))</f>
        <v>8</v>
      </c>
      <c r="BH24" s="27">
        <f>IF(N24=Dienste!$A$2,Dienste!$C$2,IF(N24=Dienste!$A$3,Dienste!$C$3,IF(N24=Dienste!$A$4,Dienste!$C$4,IF(N24=Dienste!$A$5,Dienste!$C$5,IF(N24=Dienste!$A$6,Dienste!$C$6,IF(N24=Dienste!$A$7,Dienste!$C$7,IF(N24=Dienste!$A$8,Dienste!$C$8,IF(N24=Dienste!$A$9,Dienste!$C$9,IF(N24=Dienste!$A$10,Dienste!$C$10,IF(N24=Dienste!$A$11,Dienste!$C$11,IF(N24=Dienste!$A$12,Dienste!$C$12,IF(N24=Dienste!$A$13,Dienste!$C$13,IF(N24=Dienste!$A$14,Dienste!$C$14,IF(N24=Dienste!$A$15,Dienste!$C$15,IF(N24=Dienste!$A$16,Dienste!$C$16,IF(N24=Dienste!$A$17,Dienste!$C$17,IF(N24=Dienste!$A$18,Dienste!$C$18,IF(N24=Dienste!$A$19,Dienste!$C$19,IF(N24=Dienste!$A$20,Dienste!$C$20,IF(N24=Dienste!$A$21,Dienste!$C$21,IF(N24=Dienste!$A$22,Dienste!$C$22,IF(N24=Dienste!$A$23,Dienste!$C$23,IF(N24=Dienste!$A$24,Dienste!$C$24,IF(N24=Dienste!$A$25,Dienste!$C$25,IF(N24=Dienste!$A$26,Dienste!$C$26,IF(N24=Dienste!$A$27,Dienste!$C$27,IF(N24=Dienste!$A$28,Dienste!$C$28,IF(N24=Dienste!#REF!,Dienste!#REF!,IF(N24=Dienste!#REF!,Dienste!#REF!,IF(N24=Dienste!#REF!,Dienste!#REF!,IF(N24=Dienste!#REF!,Dienste!#REF!,IF(N24=Dienste!$A$33,Dienste!$C$33,IF(N24=Dienste!$A$34,Dienste!$C$34,IF(N24=Dienste!$A$35,Dienste!$C$35,IF(N24=Dienste!$A$36,Dienste!$C$36,)))))))))))))))))))))))))))))))))))</f>
        <v>8</v>
      </c>
      <c r="BI24" s="27">
        <f>IF(O24=Dienste!$A$2,Dienste!$C$2,IF(O24=Dienste!$A$3,Dienste!$C$3,IF(O24=Dienste!$A$4,Dienste!$C$4,IF(O24=Dienste!$A$5,Dienste!$C$5,IF(O24=Dienste!$A$6,Dienste!$C$6,IF(O24=Dienste!$A$7,Dienste!$C$7,IF(O24=Dienste!$A$8,Dienste!$C$8,IF(O24=Dienste!$A$9,Dienste!$C$9,IF(O24=Dienste!$A$10,Dienste!$C$10,IF(O24=Dienste!$A$11,Dienste!$C$11,IF(O24=Dienste!$A$12,Dienste!$C$12,IF(O24=Dienste!$A$13,Dienste!$C$13,IF(O24=Dienste!$A$14,Dienste!$C$14,IF(O24=Dienste!$A$15,Dienste!$C$15,IF(O24=Dienste!$A$16,Dienste!$C$16,IF(O24=Dienste!$A$17,Dienste!$C$17,IF(O24=Dienste!$A$18,Dienste!$C$18,IF(O24=Dienste!$A$19,Dienste!$C$19,IF(O24=Dienste!$A$20,Dienste!$C$20,IF(O24=Dienste!$A$21,Dienste!$C$21,IF(O24=Dienste!$A$22,Dienste!$C$22,IF(O24=Dienste!$A$23,Dienste!$C$23,IF(O24=Dienste!$A$24,Dienste!$C$24,IF(O24=Dienste!$A$25,Dienste!$C$25,IF(O24=Dienste!$A$26,Dienste!$C$26,IF(O24=Dienste!$A$27,Dienste!$C$27,IF(O24=Dienste!$A$28,Dienste!$C$28,IF(O24=Dienste!#REF!,Dienste!#REF!,IF(O24=Dienste!#REF!,Dienste!#REF!,IF(O24=Dienste!#REF!,Dienste!#REF!,IF(O24=Dienste!#REF!,Dienste!#REF!,IF(O24=Dienste!$A$33,Dienste!$C$33,IF(O24=Dienste!$A$34,Dienste!$C$34,IF(O24=Dienste!$A$35,Dienste!$C$35,IF(O24=Dienste!$A$36,Dienste!$C$36,)))))))))))))))))))))))))))))))))))</f>
        <v>8</v>
      </c>
      <c r="BJ24" s="27">
        <f>IF(P24=Dienste!$A$2,Dienste!$C$2,IF(P24=Dienste!$A$3,Dienste!$C$3,IF(P24=Dienste!$A$4,Dienste!$C$4,IF(P24=Dienste!$A$5,Dienste!$C$5,IF(P24=Dienste!$A$6,Dienste!$C$6,IF(P24=Dienste!$A$7,Dienste!$C$7,IF(P24=Dienste!$A$8,Dienste!$C$8,IF(P24=Dienste!$A$9,Dienste!$C$9,IF(P24=Dienste!$A$10,Dienste!$C$10,IF(P24=Dienste!$A$11,Dienste!$C$11,IF(P24=Dienste!$A$12,Dienste!$C$12,IF(P24=Dienste!$A$13,Dienste!$C$13,IF(P24=Dienste!$A$14,Dienste!$C$14,IF(P24=Dienste!$A$15,Dienste!$C$15,IF(P24=Dienste!$A$16,Dienste!$C$16,IF(P24=Dienste!$A$17,Dienste!$C$17,IF(P24=Dienste!$A$18,Dienste!$C$18,IF(P24=Dienste!$A$19,Dienste!$C$19,IF(P24=Dienste!$A$20,Dienste!$C$20,IF(P24=Dienste!$A$21,Dienste!$C$21,IF(P24=Dienste!$A$22,Dienste!$C$22,IF(P24=Dienste!$A$23,Dienste!$C$23,IF(P24=Dienste!$A$24,Dienste!$C$24,IF(P24=Dienste!$A$25,Dienste!$C$25,IF(P24=Dienste!$A$26,Dienste!$C$26,IF(P24=Dienste!$A$27,Dienste!$C$27,IF(P24=Dienste!$A$28,Dienste!$C$28,IF(P24=Dienste!#REF!,Dienste!#REF!,IF(P24=Dienste!#REF!,Dienste!#REF!,IF(P24=Dienste!#REF!,Dienste!#REF!,IF(P24=Dienste!#REF!,Dienste!#REF!,IF(P24=Dienste!$A$33,Dienste!$C$33,IF(P24=Dienste!$A$34,Dienste!$C$34,IF(P24=Dienste!$A$35,Dienste!$C$35,IF(P24=Dienste!$A$36,Dienste!$C$36,)))))))))))))))))))))))))))))))))))</f>
        <v>8</v>
      </c>
      <c r="BK24" s="27">
        <f>IF(Q24=Dienste!$A$2,Dienste!$C$2,IF(Q24=Dienste!$A$3,Dienste!$C$3,IF(Q24=Dienste!$A$4,Dienste!$C$4,IF(Q24=Dienste!$A$5,Dienste!$C$5,IF(Q24=Dienste!$A$6,Dienste!$C$6,IF(Q24=Dienste!$A$7,Dienste!$C$7,IF(Q24=Dienste!$A$8,Dienste!$C$8,IF(Q24=Dienste!$A$9,Dienste!$C$9,IF(Q24=Dienste!$A$10,Dienste!$C$10,IF(Q24=Dienste!$A$11,Dienste!$C$11,IF(Q24=Dienste!$A$12,Dienste!$C$12,IF(Q24=Dienste!$A$13,Dienste!$C$13,IF(Q24=Dienste!$A$14,Dienste!$C$14,IF(Q24=Dienste!$A$15,Dienste!$C$15,IF(Q24=Dienste!$A$16,Dienste!$C$16,IF(Q24=Dienste!$A$17,Dienste!$C$17,IF(Q24=Dienste!$A$18,Dienste!$C$18,IF(Q24=Dienste!$A$19,Dienste!$C$19,IF(Q24=Dienste!$A$20,Dienste!$C$20,IF(Q24=Dienste!$A$21,Dienste!$C$21,IF(Q24=Dienste!$A$22,Dienste!$C$22,IF(Q24=Dienste!$A$23,Dienste!$C$23,IF(Q24=Dienste!$A$24,Dienste!$C$24,IF(Q24=Dienste!$A$25,Dienste!$C$25,IF(Q24=Dienste!$A$26,Dienste!$C$26,IF(Q24=Dienste!$A$27,Dienste!$C$27,IF(Q24=Dienste!$A$28,Dienste!$C$28,IF(Q24=Dienste!#REF!,Dienste!#REF!,IF(Q24=Dienste!#REF!,Dienste!#REF!,IF(Q24=Dienste!#REF!,Dienste!#REF!,IF(Q24=Dienste!#REF!,Dienste!#REF!,IF(Q24=Dienste!$A$33,Dienste!$C$33,IF(Q24=Dienste!$A$34,Dienste!$C$34,IF(Q24=Dienste!$A$35,Dienste!$C$35,IF(Q24=Dienste!$A$36,Dienste!$C$36,)))))))))))))))))))))))))))))))))))</f>
        <v>8</v>
      </c>
      <c r="BL24" s="27">
        <f>IF(R24=Dienste!$A$2,Dienste!$C$2,IF(R24=Dienste!$A$3,Dienste!$C$3,IF(R24=Dienste!$A$4,Dienste!$C$4,IF(R24=Dienste!$A$5,Dienste!$C$5,IF(R24=Dienste!$A$6,Dienste!$C$6,IF(R24=Dienste!$A$7,Dienste!$C$7,IF(R24=Dienste!$A$8,Dienste!$C$8,IF(R24=Dienste!$A$9,Dienste!$C$9,IF(R24=Dienste!$A$10,Dienste!$C$10,IF(R24=Dienste!$A$11,Dienste!$C$11,IF(R24=Dienste!$A$12,Dienste!$C$12,IF(R24=Dienste!$A$13,Dienste!$C$13,IF(R24=Dienste!$A$14,Dienste!$C$14,IF(R24=Dienste!$A$15,Dienste!$C$15,IF(R24=Dienste!$A$16,Dienste!$C$16,IF(R24=Dienste!$A$17,Dienste!$C$17,IF(R24=Dienste!$A$18,Dienste!$C$18,IF(R24=Dienste!$A$19,Dienste!$C$19,IF(R24=Dienste!$A$20,Dienste!$C$20,IF(R24=Dienste!$A$21,Dienste!$C$21,IF(R24=Dienste!$A$22,Dienste!$C$22,IF(R24=Dienste!$A$23,Dienste!$C$23,IF(R24=Dienste!$A$24,Dienste!$C$24,IF(R24=Dienste!$A$25,Dienste!$C$25,IF(R24=Dienste!$A$26,Dienste!$C$26,IF(R24=Dienste!$A$27,Dienste!$C$27,IF(R24=Dienste!$A$28,Dienste!$C$28,IF(R24=Dienste!#REF!,Dienste!#REF!,IF(R24=Dienste!#REF!,Dienste!#REF!,IF(R24=Dienste!#REF!,Dienste!#REF!,IF(R24=Dienste!#REF!,Dienste!#REF!,IF(R24=Dienste!$A$33,Dienste!$C$33,IF(R24=Dienste!$A$34,Dienste!$C$34,IF(R24=Dienste!$A$35,Dienste!$C$35,IF(R24=Dienste!$A$36,Dienste!$C$36,)))))))))))))))))))))))))))))))))))</f>
        <v>0</v>
      </c>
      <c r="BM24" s="27">
        <f>IF(S24=Dienste!$A$2,Dienste!$C$2,IF(S24=Dienste!$A$3,Dienste!$C$3,IF(S24=Dienste!$A$4,Dienste!$C$4,IF(S24=Dienste!$A$5,Dienste!$C$5,IF(S24=Dienste!$A$6,Dienste!$C$6,IF(S24=Dienste!$A$7,Dienste!$C$7,IF(S24=Dienste!$A$8,Dienste!$C$8,IF(S24=Dienste!$A$9,Dienste!$C$9,IF(S24=Dienste!$A$10,Dienste!$C$10,IF(S24=Dienste!$A$11,Dienste!$C$11,IF(S24=Dienste!$A$12,Dienste!$C$12,IF(S24=Dienste!$A$13,Dienste!$C$13,IF(S24=Dienste!$A$14,Dienste!$C$14,IF(S24=Dienste!$A$15,Dienste!$C$15,IF(S24=Dienste!$A$16,Dienste!$C$16,IF(S24=Dienste!$A$17,Dienste!$C$17,IF(S24=Dienste!$A$18,Dienste!$C$18,IF(S24=Dienste!$A$19,Dienste!$C$19,IF(S24=Dienste!$A$20,Dienste!$C$20,IF(S24=Dienste!$A$21,Dienste!$C$21,IF(S24=Dienste!$A$22,Dienste!$C$22,IF(S24=Dienste!$A$23,Dienste!$C$23,IF(S24=Dienste!$A$24,Dienste!$C$24,IF(S24=Dienste!$A$25,Dienste!$C$25,IF(S24=Dienste!$A$26,Dienste!$C$26,IF(S24=Dienste!$A$27,Dienste!$C$27,IF(S24=Dienste!$A$28,Dienste!$C$28,IF(S24=Dienste!#REF!,Dienste!#REF!,IF(S24=Dienste!#REF!,Dienste!#REF!,IF(S24=Dienste!#REF!,Dienste!#REF!,IF(S24=Dienste!#REF!,Dienste!#REF!,IF(S24=Dienste!$A$33,Dienste!$C$33,IF(S24=Dienste!$A$34,Dienste!$C$34,IF(S24=Dienste!$A$35,Dienste!$C$35,IF(S24=Dienste!$A$36,Dienste!$C$36,)))))))))))))))))))))))))))))))))))</f>
        <v>0</v>
      </c>
      <c r="BN24" s="27">
        <f>IF(T24=Dienste!$A$2,Dienste!$C$2,IF(T24=Dienste!$A$3,Dienste!$C$3,IF(T24=Dienste!$A$4,Dienste!$C$4,IF(T24=Dienste!$A$5,Dienste!$C$5,IF(T24=Dienste!$A$6,Dienste!$C$6,IF(T24=Dienste!$A$7,Dienste!$C$7,IF(T24=Dienste!$A$8,Dienste!$C$8,IF(T24=Dienste!$A$9,Dienste!$C$9,IF(T24=Dienste!$A$10,Dienste!$C$10,IF(T24=Dienste!$A$11,Dienste!$C$11,IF(T24=Dienste!$A$12,Dienste!$C$12,IF(T24=Dienste!$A$13,Dienste!$C$13,IF(T24=Dienste!$A$14,Dienste!$C$14,IF(T24=Dienste!$A$15,Dienste!$C$15,IF(T24=Dienste!$A$16,Dienste!$C$16,IF(T24=Dienste!$A$17,Dienste!$C$17,IF(T24=Dienste!$A$18,Dienste!$C$18,IF(T24=Dienste!$A$19,Dienste!$C$19,IF(T24=Dienste!$A$20,Dienste!$C$20,IF(T24=Dienste!$A$21,Dienste!$C$21,IF(T24=Dienste!$A$22,Dienste!$C$22,IF(T24=Dienste!$A$23,Dienste!$C$23,IF(T24=Dienste!$A$24,Dienste!$C$24,IF(T24=Dienste!$A$25,Dienste!$C$25,IF(T24=Dienste!$A$26,Dienste!$C$26,IF(T24=Dienste!$A$27,Dienste!$C$27,IF(T24=Dienste!$A$28,Dienste!$C$28,IF(T24=Dienste!#REF!,Dienste!#REF!,IF(T24=Dienste!#REF!,Dienste!#REF!,IF(T24=Dienste!#REF!,Dienste!#REF!,IF(T24=Dienste!#REF!,Dienste!#REF!,IF(T24=Dienste!$A$33,Dienste!$C$33,IF(T24=Dienste!$A$34,Dienste!$C$34,IF(T24=Dienste!$A$35,Dienste!$C$35,IF(T24=Dienste!$A$36,Dienste!$C$36,)))))))))))))))))))))))))))))))))))</f>
        <v>8</v>
      </c>
      <c r="BO24" s="27">
        <f>IF(U24=Dienste!$A$2,Dienste!$C$2,IF(U24=Dienste!$A$3,Dienste!$C$3,IF(U24=Dienste!$A$4,Dienste!$C$4,IF(U24=Dienste!$A$5,Dienste!$C$5,IF(U24=Dienste!$A$6,Dienste!$C$6,IF(U24=Dienste!$A$7,Dienste!$C$7,IF(U24=Dienste!$A$8,Dienste!$C$8,IF(U24=Dienste!$A$9,Dienste!$C$9,IF(U24=Dienste!$A$10,Dienste!$C$10,IF(U24=Dienste!$A$11,Dienste!$C$11,IF(U24=Dienste!$A$12,Dienste!$C$12,IF(U24=Dienste!$A$13,Dienste!$C$13,IF(U24=Dienste!$A$14,Dienste!$C$14,IF(U24=Dienste!$A$15,Dienste!$C$15,IF(U24=Dienste!$A$16,Dienste!$C$16,IF(U24=Dienste!$A$17,Dienste!$C$17,IF(U24=Dienste!$A$18,Dienste!$C$18,IF(U24=Dienste!$A$19,Dienste!$C$19,IF(U24=Dienste!$A$20,Dienste!$C$20,IF(U24=Dienste!$A$21,Dienste!$C$21,IF(U24=Dienste!$A$22,Dienste!$C$22,IF(U24=Dienste!$A$23,Dienste!$C$23,IF(U24=Dienste!$A$24,Dienste!$C$24,IF(U24=Dienste!$A$25,Dienste!$C$25,IF(U24=Dienste!$A$26,Dienste!$C$26,IF(U24=Dienste!$A$27,Dienste!$C$27,IF(U24=Dienste!$A$28,Dienste!$C$28,IF(U24=Dienste!#REF!,Dienste!#REF!,IF(U24=Dienste!#REF!,Dienste!#REF!,IF(U24=Dienste!#REF!,Dienste!#REF!,IF(U24=Dienste!#REF!,Dienste!#REF!,IF(U24=Dienste!$A$33,Dienste!$C$33,IF(U24=Dienste!$A$34,Dienste!$C$34,IF(U24=Dienste!$A$35,Dienste!$C$35,IF(U24=Dienste!$A$36,Dienste!$C$36,)))))))))))))))))))))))))))))))))))</f>
        <v>8</v>
      </c>
      <c r="BP24" s="27">
        <f>IF(V24=Dienste!$A$2,Dienste!$C$2,IF(V24=Dienste!$A$3,Dienste!$C$3,IF(V24=Dienste!$A$4,Dienste!$C$4,IF(V24=Dienste!$A$5,Dienste!$C$5,IF(V24=Dienste!$A$6,Dienste!$C$6,IF(V24=Dienste!$A$7,Dienste!$C$7,IF(V24=Dienste!$A$8,Dienste!$C$8,IF(V24=Dienste!$A$9,Dienste!$C$9,IF(V24=Dienste!$A$10,Dienste!$C$10,IF(V24=Dienste!$A$11,Dienste!$C$11,IF(V24=Dienste!$A$12,Dienste!$C$12,IF(V24=Dienste!$A$13,Dienste!$C$13,IF(V24=Dienste!$A$14,Dienste!$C$14,IF(V24=Dienste!$A$15,Dienste!$C$15,IF(V24=Dienste!$A$16,Dienste!$C$16,IF(V24=Dienste!$A$17,Dienste!$C$17,IF(V24=Dienste!$A$18,Dienste!$C$18,IF(V24=Dienste!$A$19,Dienste!$C$19,IF(V24=Dienste!$A$20,Dienste!$C$20,IF(V24=Dienste!$A$21,Dienste!$C$21,IF(V24=Dienste!$A$22,Dienste!$C$22,IF(V24=Dienste!$A$23,Dienste!$C$23,IF(V24=Dienste!$A$24,Dienste!$C$24,IF(V24=Dienste!$A$25,Dienste!$C$25,IF(V24=Dienste!$A$26,Dienste!$C$26,IF(V24=Dienste!$A$27,Dienste!$C$27,IF(V24=Dienste!$A$28,Dienste!$C$28,IF(V24=Dienste!#REF!,Dienste!#REF!,IF(V24=Dienste!#REF!,Dienste!#REF!,IF(V24=Dienste!#REF!,Dienste!#REF!,IF(V24=Dienste!#REF!,Dienste!#REF!,IF(V24=Dienste!$A$33,Dienste!$C$33,IF(V24=Dienste!$A$34,Dienste!$C$34,IF(V24=Dienste!$A$35,Dienste!$C$35,IF(V24=Dienste!$A$36,Dienste!$C$36,)))))))))))))))))))))))))))))))))))</f>
        <v>8</v>
      </c>
      <c r="BQ24" s="27">
        <f>IF(W24=Dienste!$A$2,Dienste!$C$2,IF(W24=Dienste!$A$3,Dienste!$C$3,IF(W24=Dienste!$A$4,Dienste!$C$4,IF(W24=Dienste!$A$5,Dienste!$C$5,IF(W24=Dienste!$A$6,Dienste!$C$6,IF(W24=Dienste!$A$7,Dienste!$C$7,IF(W24=Dienste!$A$8,Dienste!$C$8,IF(W24=Dienste!$A$9,Dienste!$C$9,IF(W24=Dienste!$A$10,Dienste!$C$10,IF(W24=Dienste!$A$11,Dienste!$C$11,IF(W24=Dienste!$A$12,Dienste!$C$12,IF(W24=Dienste!$A$13,Dienste!$C$13,IF(W24=Dienste!$A$14,Dienste!$C$14,IF(W24=Dienste!$A$15,Dienste!$C$15,IF(W24=Dienste!$A$16,Dienste!$C$16,IF(W24=Dienste!$A$17,Dienste!$C$17,IF(W24=Dienste!$A$18,Dienste!$C$18,IF(W24=Dienste!$A$19,Dienste!$C$19,IF(W24=Dienste!$A$20,Dienste!$C$20,IF(W24=Dienste!$A$21,Dienste!$C$21,IF(W24=Dienste!$A$22,Dienste!$C$22,IF(W24=Dienste!$A$23,Dienste!$C$23,IF(W24=Dienste!$A$24,Dienste!$C$24,IF(W24=Dienste!$A$25,Dienste!$C$25,IF(W24=Dienste!$A$26,Dienste!$C$26,IF(W24=Dienste!$A$27,Dienste!$C$27,IF(W24=Dienste!$A$28,Dienste!$C$28,IF(W24=Dienste!#REF!,Dienste!#REF!,IF(W24=Dienste!#REF!,Dienste!#REF!,IF(W24=Dienste!#REF!,Dienste!#REF!,IF(W24=Dienste!#REF!,Dienste!#REF!,IF(W24=Dienste!$A$33,Dienste!$C$33,IF(W24=Dienste!$A$34,Dienste!$C$34,IF(W24=Dienste!$A$35,Dienste!$C$35,IF(W24=Dienste!$A$36,Dienste!$C$36,)))))))))))))))))))))))))))))))))))</f>
        <v>8</v>
      </c>
      <c r="BR24" s="27">
        <f>IF(X24=Dienste!$A$2,Dienste!$C$2,IF(X24=Dienste!$A$3,Dienste!$C$3,IF(X24=Dienste!$A$4,Dienste!$C$4,IF(X24=Dienste!$A$5,Dienste!$C$5,IF(X24=Dienste!$A$6,Dienste!$C$6,IF(X24=Dienste!$A$7,Dienste!$C$7,IF(X24=Dienste!$A$8,Dienste!$C$8,IF(X24=Dienste!$A$9,Dienste!$C$9,IF(X24=Dienste!$A$10,Dienste!$C$10,IF(X24=Dienste!$A$11,Dienste!$C$11,IF(X24=Dienste!$A$12,Dienste!$C$12,IF(X24=Dienste!$A$13,Dienste!$C$13,IF(X24=Dienste!$A$14,Dienste!$C$14,IF(X24=Dienste!$A$15,Dienste!$C$15,IF(X24=Dienste!$A$16,Dienste!$C$16,IF(X24=Dienste!$A$17,Dienste!$C$17,IF(X24=Dienste!$A$18,Dienste!$C$18,IF(X24=Dienste!$A$19,Dienste!$C$19,IF(X24=Dienste!$A$20,Dienste!$C$20,IF(X24=Dienste!$A$21,Dienste!$C$21,IF(X24=Dienste!$A$22,Dienste!$C$22,IF(X24=Dienste!$A$23,Dienste!$C$23,IF(X24=Dienste!$A$24,Dienste!$C$24,IF(X24=Dienste!$A$25,Dienste!$C$25,IF(X24=Dienste!$A$26,Dienste!$C$26,IF(X24=Dienste!$A$27,Dienste!$C$27,IF(X24=Dienste!$A$28,Dienste!$C$28,IF(X24=Dienste!#REF!,Dienste!#REF!,IF(X24=Dienste!#REF!,Dienste!#REF!,IF(X24=Dienste!#REF!,Dienste!#REF!,IF(X24=Dienste!#REF!,Dienste!#REF!,IF(X24=Dienste!$A$33,Dienste!$C$33,IF(X24=Dienste!$A$34,Dienste!$C$34,IF(X24=Dienste!$A$35,Dienste!$C$35,IF(X24=Dienste!$A$36,Dienste!$C$36,)))))))))))))))))))))))))))))))))))</f>
        <v>8</v>
      </c>
      <c r="BS24" s="27">
        <f>IF(Y24=Dienste!$A$2,Dienste!$C$2,IF(Y24=Dienste!$A$3,Dienste!$C$3,IF(Y24=Dienste!$A$4,Dienste!$C$4,IF(Y24=Dienste!$A$5,Dienste!$C$5,IF(Y24=Dienste!$A$6,Dienste!$C$6,IF(Y24=Dienste!$A$7,Dienste!$C$7,IF(Y24=Dienste!$A$8,Dienste!$C$8,IF(Y24=Dienste!$A$9,Dienste!$C$9,IF(Y24=Dienste!$A$10,Dienste!$C$10,IF(Y24=Dienste!$A$11,Dienste!$C$11,IF(Y24=Dienste!$A$12,Dienste!$C$12,IF(Y24=Dienste!$A$13,Dienste!$C$13,IF(Y24=Dienste!$A$14,Dienste!$C$14,IF(Y24=Dienste!$A$15,Dienste!$C$15,IF(Y24=Dienste!$A$16,Dienste!$C$16,IF(Y24=Dienste!$A$17,Dienste!$C$17,IF(Y24=Dienste!$A$18,Dienste!$C$18,IF(Y24=Dienste!$A$19,Dienste!$C$19,IF(Y24=Dienste!$A$20,Dienste!$C$20,IF(Y24=Dienste!$A$21,Dienste!$C$21,IF(Y24=Dienste!$A$22,Dienste!$C$22,IF(Y24=Dienste!$A$23,Dienste!$C$23,IF(Y24=Dienste!$A$24,Dienste!$C$24,IF(Y24=Dienste!$A$25,Dienste!$C$25,IF(Y24=Dienste!$A$26,Dienste!$C$26,IF(Y24=Dienste!$A$27,Dienste!$C$27,IF(Y24=Dienste!$A$28,Dienste!$C$28,IF(Y24=Dienste!#REF!,Dienste!#REF!,IF(Y24=Dienste!#REF!,Dienste!#REF!,IF(Y24=Dienste!#REF!,Dienste!#REF!,IF(Y24=Dienste!#REF!,Dienste!#REF!,IF(Y24=Dienste!$A$33,Dienste!$C$33,IF(Y24=Dienste!$A$34,Dienste!$C$34,IF(Y24=Dienste!$A$35,Dienste!$C$35,IF(Y24=Dienste!$A$36,Dienste!$C$36,)))))))))))))))))))))))))))))))))))</f>
        <v>0</v>
      </c>
      <c r="BT24" s="27">
        <f>IF(Z24=Dienste!$A$2,Dienste!$C$2,IF(Z24=Dienste!$A$3,Dienste!$C$3,IF(Z24=Dienste!$A$4,Dienste!$C$4,IF(Z24=Dienste!$A$5,Dienste!$C$5,IF(Z24=Dienste!$A$6,Dienste!$C$6,IF(Z24=Dienste!$A$7,Dienste!$C$7,IF(Z24=Dienste!$A$8,Dienste!$C$8,IF(Z24=Dienste!$A$9,Dienste!$C$9,IF(Z24=Dienste!$A$10,Dienste!$C$10,IF(Z24=Dienste!$A$11,Dienste!$C$11,IF(Z24=Dienste!$A$12,Dienste!$C$12,IF(Z24=Dienste!$A$13,Dienste!$C$13,IF(Z24=Dienste!$A$14,Dienste!$C$14,IF(Z24=Dienste!$A$15,Dienste!$C$15,IF(Z24=Dienste!$A$16,Dienste!$C$16,IF(Z24=Dienste!$A$17,Dienste!$C$17,IF(Z24=Dienste!$A$18,Dienste!$C$18,IF(Z24=Dienste!$A$19,Dienste!$C$19,IF(Z24=Dienste!$A$20,Dienste!$C$20,IF(Z24=Dienste!$A$21,Dienste!$C$21,IF(Z24=Dienste!$A$22,Dienste!$C$22,IF(Z24=Dienste!$A$23,Dienste!$C$23,IF(Z24=Dienste!$A$24,Dienste!$C$24,IF(Z24=Dienste!$A$25,Dienste!$C$25,IF(Z24=Dienste!$A$26,Dienste!$C$26,IF(Z24=Dienste!$A$27,Dienste!$C$27,IF(Z24=Dienste!$A$28,Dienste!$C$28,IF(Z24=Dienste!#REF!,Dienste!#REF!,IF(Z24=Dienste!#REF!,Dienste!#REF!,IF(Z24=Dienste!#REF!,Dienste!#REF!,IF(Z24=Dienste!#REF!,Dienste!#REF!,IF(Z24=Dienste!$A$33,Dienste!$C$33,IF(Z24=Dienste!$A$34,Dienste!$C$34,IF(Z24=Dienste!$A$35,Dienste!$C$35,IF(Z24=Dienste!$A$36,Dienste!$C$36,)))))))))))))))))))))))))))))))))))</f>
        <v>0</v>
      </c>
      <c r="BU24" s="27">
        <f>IF(AA24=Dienste!$A$2,Dienste!$C$2,IF(AA24=Dienste!$A$3,Dienste!$C$3,IF(AA24=Dienste!$A$4,Dienste!$C$4,IF(AA24=Dienste!$A$5,Dienste!$C$5,IF(AA24=Dienste!$A$6,Dienste!$C$6,IF(AA24=Dienste!$A$7,Dienste!$C$7,IF(AA24=Dienste!$A$8,Dienste!$C$8,IF(AA24=Dienste!$A$9,Dienste!$C$9,IF(AA24=Dienste!$A$10,Dienste!$C$10,IF(AA24=Dienste!$A$11,Dienste!$C$11,IF(AA24=Dienste!$A$12,Dienste!$C$12,IF(AA24=Dienste!$A$13,Dienste!$C$13,IF(AA24=Dienste!$A$14,Dienste!$C$14,IF(AA24=Dienste!$A$15,Dienste!$C$15,IF(AA24=Dienste!$A$16,Dienste!$C$16,IF(AA24=Dienste!$A$17,Dienste!$C$17,IF(AA24=Dienste!$A$18,Dienste!$C$18,IF(AA24=Dienste!$A$19,Dienste!$C$19,IF(AA24=Dienste!$A$20,Dienste!$C$20,IF(AA24=Dienste!$A$21,Dienste!$C$21,IF(AA24=Dienste!$A$22,Dienste!$C$22,IF(AA24=Dienste!$A$23,Dienste!$C$23,IF(AA24=Dienste!$A$24,Dienste!$C$24,IF(AA24=Dienste!$A$25,Dienste!$C$25,IF(AA24=Dienste!$A$26,Dienste!$C$26,IF(AA24=Dienste!$A$27,Dienste!$C$27,IF(AA24=Dienste!$A$28,Dienste!$C$28,IF(AA24=Dienste!#REF!,Dienste!#REF!,IF(AA24=Dienste!#REF!,Dienste!#REF!,IF(AA24=Dienste!#REF!,Dienste!#REF!,IF(AA24=Dienste!#REF!,Dienste!#REF!,IF(AA24=Dienste!$A$33,Dienste!$C$33,IF(AA24=Dienste!$A$34,Dienste!$C$34,IF(AA24=Dienste!$A$35,Dienste!$C$35,IF(AA24=Dienste!$A$36,Dienste!$C$36,)))))))))))))))))))))))))))))))))))</f>
        <v>8</v>
      </c>
      <c r="BV24" s="27">
        <f>IF(AB24=Dienste!$A$2,Dienste!$C$2,IF(AB24=Dienste!$A$3,Dienste!$C$3,IF(AB24=Dienste!$A$4,Dienste!$C$4,IF(AB24=Dienste!$A$5,Dienste!$C$5,IF(AB24=Dienste!$A$6,Dienste!$C$6,IF(AB24=Dienste!$A$7,Dienste!$C$7,IF(AB24=Dienste!$A$8,Dienste!$C$8,IF(AB24=Dienste!$A$9,Dienste!$C$9,IF(AB24=Dienste!$A$10,Dienste!$C$10,IF(AB24=Dienste!$A$11,Dienste!$C$11,IF(AB24=Dienste!$A$12,Dienste!$C$12,IF(AB24=Dienste!$A$13,Dienste!$C$13,IF(AB24=Dienste!$A$14,Dienste!$C$14,IF(AB24=Dienste!$A$15,Dienste!$C$15,IF(AB24=Dienste!$A$16,Dienste!$C$16,IF(AB24=Dienste!$A$17,Dienste!$C$17,IF(AB24=Dienste!$A$18,Dienste!$C$18,IF(AB24=Dienste!$A$19,Dienste!$C$19,IF(AB24=Dienste!$A$20,Dienste!$C$20,IF(AB24=Dienste!$A$21,Dienste!$C$21,IF(AB24=Dienste!$A$22,Dienste!$C$22,IF(AB24=Dienste!$A$23,Dienste!$C$23,IF(AB24=Dienste!$A$24,Dienste!$C$24,IF(AB24=Dienste!$A$25,Dienste!$C$25,IF(AB24=Dienste!$A$26,Dienste!$C$26,IF(AB24=Dienste!$A$27,Dienste!$C$27,IF(AB24=Dienste!$A$28,Dienste!$C$28,IF(AB24=Dienste!#REF!,Dienste!#REF!,IF(AB24=Dienste!#REF!,Dienste!#REF!,IF(AB24=Dienste!#REF!,Dienste!#REF!,IF(AB24=Dienste!#REF!,Dienste!#REF!,IF(AB24=Dienste!$A$33,Dienste!$C$33,IF(AB24=Dienste!$A$34,Dienste!$C$34,IF(AB24=Dienste!$A$35,Dienste!$C$35,IF(AB24=Dienste!$A$36,Dienste!$C$36,)))))))))))))))))))))))))))))))))))</f>
        <v>8</v>
      </c>
      <c r="BW24" s="27">
        <f>IF(AC24=Dienste!$A$2,Dienste!$C$2,IF(AC24=Dienste!$A$3,Dienste!$C$3,IF(AC24=Dienste!$A$4,Dienste!$C$4,IF(AC24=Dienste!$A$5,Dienste!$C$5,IF(AC24=Dienste!$A$6,Dienste!$C$6,IF(AC24=Dienste!$A$7,Dienste!$C$7,IF(AC24=Dienste!$A$8,Dienste!$C$8,IF(AC24=Dienste!$A$9,Dienste!$C$9,IF(AC24=Dienste!$A$10,Dienste!$C$10,IF(AC24=Dienste!$A$11,Dienste!$C$11,IF(AC24=Dienste!$A$12,Dienste!$C$12,IF(AC24=Dienste!$A$13,Dienste!$C$13,IF(AC24=Dienste!$A$14,Dienste!$C$14,IF(AC24=Dienste!$A$15,Dienste!$C$15,IF(AC24=Dienste!$A$16,Dienste!$C$16,IF(AC24=Dienste!$A$17,Dienste!$C$17,IF(AC24=Dienste!$A$18,Dienste!$C$18,IF(AC24=Dienste!$A$19,Dienste!$C$19,IF(AC24=Dienste!$A$20,Dienste!$C$20,IF(AC24=Dienste!$A$21,Dienste!$C$21,IF(AC24=Dienste!$A$22,Dienste!$C$22,IF(AC24=Dienste!$A$23,Dienste!$C$23,IF(AC24=Dienste!$A$24,Dienste!$C$24,IF(AC24=Dienste!$A$25,Dienste!$C$25,IF(AC24=Dienste!$A$26,Dienste!$C$26,IF(AC24=Dienste!$A$27,Dienste!$C$27,IF(AC24=Dienste!$A$28,Dienste!$C$28,IF(AC24=Dienste!#REF!,Dienste!#REF!,IF(AC24=Dienste!#REF!,Dienste!#REF!,IF(AC24=Dienste!#REF!,Dienste!#REF!,IF(AC24=Dienste!#REF!,Dienste!#REF!,IF(AC24=Dienste!$A$33,Dienste!$C$33,IF(AC24=Dienste!$A$34,Dienste!$C$34,IF(AC24=Dienste!$A$35,Dienste!$C$35,IF(AC24=Dienste!$A$36,Dienste!$C$36,)))))))))))))))))))))))))))))))))))</f>
        <v>8</v>
      </c>
      <c r="BX24" s="27">
        <f>IF(AD24=Dienste!$A$2,Dienste!$C$2,IF(AD24=Dienste!$A$3,Dienste!$C$3,IF(AD24=Dienste!$A$4,Dienste!$C$4,IF(AD24=Dienste!$A$5,Dienste!$C$5,IF(AD24=Dienste!$A$6,Dienste!$C$6,IF(AD24=Dienste!$A$7,Dienste!$C$7,IF(AD24=Dienste!$A$8,Dienste!$C$8,IF(AD24=Dienste!$A$9,Dienste!$C$9,IF(AD24=Dienste!$A$10,Dienste!$C$10,IF(AD24=Dienste!$A$11,Dienste!$C$11,IF(AD24=Dienste!$A$12,Dienste!$C$12,IF(AD24=Dienste!$A$13,Dienste!$C$13,IF(AD24=Dienste!$A$14,Dienste!$C$14,IF(AD24=Dienste!$A$15,Dienste!$C$15,IF(AD24=Dienste!$A$16,Dienste!$C$16,IF(AD24=Dienste!$A$17,Dienste!$C$17,IF(AD24=Dienste!$A$18,Dienste!$C$18,IF(AD24=Dienste!$A$19,Dienste!$C$19,IF(AD24=Dienste!$A$20,Dienste!$C$20,IF(AD24=Dienste!$A$21,Dienste!$C$21,IF(AD24=Dienste!$A$22,Dienste!$C$22,IF(AD24=Dienste!$A$23,Dienste!$C$23,IF(AD24=Dienste!$A$24,Dienste!$C$24,IF(AD24=Dienste!$A$25,Dienste!$C$25,IF(AD24=Dienste!$A$26,Dienste!$C$26,IF(AD24=Dienste!$A$27,Dienste!$C$27,IF(AD24=Dienste!$A$28,Dienste!$C$28,IF(AD24=Dienste!#REF!,Dienste!#REF!,IF(AD24=Dienste!#REF!,Dienste!#REF!,IF(AD24=Dienste!#REF!,Dienste!#REF!,IF(AD24=Dienste!#REF!,Dienste!#REF!,IF(AD24=Dienste!$A$33,Dienste!$C$33,IF(AD24=Dienste!$A$34,Dienste!$C$34,IF(AD24=Dienste!$A$35,Dienste!$C$35,IF(AD24=Dienste!$A$36,Dienste!$C$36,)))))))))))))))))))))))))))))))))))</f>
        <v>8</v>
      </c>
      <c r="BY24" s="27">
        <f>IF(AE24=Dienste!$A$2,Dienste!$C$2,IF(AE24=Dienste!$A$3,Dienste!$C$3,IF(AE24=Dienste!$A$4,Dienste!$C$4,IF(AE24=Dienste!$A$5,Dienste!$C$5,IF(AE24=Dienste!$A$6,Dienste!$C$6,IF(AE24=Dienste!$A$7,Dienste!$C$7,IF(AE24=Dienste!$A$8,Dienste!$C$8,IF(AE24=Dienste!$A$9,Dienste!$C$9,IF(AE24=Dienste!$A$10,Dienste!$C$10,IF(AE24=Dienste!$A$11,Dienste!$C$11,IF(AE24=Dienste!$A$12,Dienste!$C$12,IF(AE24=Dienste!$A$13,Dienste!$C$13,IF(AE24=Dienste!$A$14,Dienste!$C$14,IF(AE24=Dienste!$A$15,Dienste!$C$15,IF(AE24=Dienste!$A$16,Dienste!$C$16,IF(AE24=Dienste!$A$17,Dienste!$C$17,IF(AE24=Dienste!$A$18,Dienste!$C$18,IF(AE24=Dienste!$A$19,Dienste!$C$19,IF(AE24=Dienste!$A$20,Dienste!$C$20,IF(AE24=Dienste!$A$21,Dienste!$C$21,IF(AE24=Dienste!$A$22,Dienste!$C$22,IF(AE24=Dienste!$A$23,Dienste!$C$23,IF(AE24=Dienste!$A$24,Dienste!$C$24,IF(AE24=Dienste!$A$25,Dienste!$C$25,IF(AE24=Dienste!$A$26,Dienste!$C$26,IF(AE24=Dienste!$A$27,Dienste!$C$27,IF(AE24=Dienste!$A$28,Dienste!$C$28,IF(AE24=Dienste!#REF!,Dienste!#REF!,IF(AE24=Dienste!#REF!,Dienste!#REF!,IF(AE24=Dienste!#REF!,Dienste!#REF!,IF(AE24=Dienste!#REF!,Dienste!#REF!,IF(AE24=Dienste!$A$33,Dienste!$C$33,IF(AE24=Dienste!$A$34,Dienste!$C$34,IF(AE24=Dienste!$A$35,Dienste!$C$35,IF(AE24=Dienste!$A$36,Dienste!$C$36,)))))))))))))))))))))))))))))))))))</f>
        <v>8</v>
      </c>
      <c r="BZ24" s="27">
        <f>IF(AF24=Dienste!$A$2,Dienste!$C$2,IF(AF24=Dienste!$A$3,Dienste!$C$3,IF(AF24=Dienste!$A$4,Dienste!$C$4,IF(AF24=Dienste!$A$5,Dienste!$C$5,IF(AF24=Dienste!$A$6,Dienste!$C$6,IF(AF24=Dienste!$A$7,Dienste!$C$7,IF(AF24=Dienste!$A$8,Dienste!$C$8,IF(AF24=Dienste!$A$9,Dienste!$C$9,IF(AF24=Dienste!$A$10,Dienste!$C$10,IF(AF24=Dienste!$A$11,Dienste!$C$11,IF(AF24=Dienste!$A$12,Dienste!$C$12,IF(AF24=Dienste!$A$13,Dienste!$C$13,IF(AF24=Dienste!$A$14,Dienste!$C$14,IF(AF24=Dienste!$A$15,Dienste!$C$15,IF(AF24=Dienste!$A$16,Dienste!$C$16,IF(AF24=Dienste!$A$17,Dienste!$C$17,IF(AF24=Dienste!$A$18,Dienste!$C$18,IF(AF24=Dienste!$A$19,Dienste!$C$19,IF(AF24=Dienste!$A$20,Dienste!$C$20,IF(AF24=Dienste!$A$21,Dienste!$C$21,IF(AF24=Dienste!$A$22,Dienste!$C$22,IF(AF24=Dienste!$A$23,Dienste!$C$23,IF(AF24=Dienste!$A$24,Dienste!$C$24,IF(AF24=Dienste!$A$25,Dienste!$C$25,IF(AF24=Dienste!$A$26,Dienste!$C$26,IF(AF24=Dienste!$A$27,Dienste!$C$27,IF(AF24=Dienste!$A$28,Dienste!$C$28,IF(AF24=Dienste!#REF!,Dienste!#REF!,IF(AF24=Dienste!#REF!,Dienste!#REF!,IF(AF24=Dienste!#REF!,Dienste!#REF!,IF(AF24=Dienste!#REF!,Dienste!#REF!,IF(AF24=Dienste!$A$33,Dienste!$C$33,IF(AF24=Dienste!$A$34,Dienste!$C$34,IF(AF24=Dienste!$A$35,Dienste!$C$35,IF(AF24=Dienste!$A$36,Dienste!$C$36,)))))))))))))))))))))))))))))))))))</f>
        <v>0</v>
      </c>
      <c r="CA24" s="27" t="e">
        <f>IF(AG24=Dienste!$A$2,Dienste!$C$2,IF(AG24=Dienste!$A$3,Dienste!$C$3,IF(AG24=Dienste!$A$4,Dienste!$C$4,IF(AG24=Dienste!$A$5,Dienste!$C$5,IF(AG24=Dienste!$A$6,Dienste!$C$6,IF(AG24=Dienste!$A$7,Dienste!$C$7,IF(AG24=Dienste!$A$8,Dienste!$C$8,IF(AG24=Dienste!$A$9,Dienste!$C$9,IF(AG24=Dienste!$A$10,Dienste!$C$10,IF(AG24=Dienste!$A$11,Dienste!$C$11,IF(AG24=Dienste!$A$12,Dienste!$C$12,IF(AG24=Dienste!$A$13,Dienste!$C$13,IF(AG24=Dienste!$A$14,Dienste!$C$14,IF(AG24=Dienste!$A$15,Dienste!$C$15,IF(AG24=Dienste!$A$16,Dienste!$C$16,IF(AG24=Dienste!$A$17,Dienste!$C$17,IF(AG24=Dienste!$A$18,Dienste!$C$18,IF(AG24=Dienste!$A$19,Dienste!$C$19,IF(AG24=Dienste!$A$20,Dienste!$C$20,IF(AG24=Dienste!$A$21,Dienste!$C$21,IF(AG24=Dienste!$A$22,Dienste!$C$22,IF(AG24=Dienste!$A$23,Dienste!$C$23,IF(AG24=Dienste!$A$24,Dienste!$C$24,IF(AG24=Dienste!$A$25,Dienste!$C$25,IF(AG24=Dienste!$A$26,Dienste!$C$26,IF(AG24=Dienste!$A$27,Dienste!$C$27,IF(AG24=Dienste!$A$28,Dienste!$C$28,IF(AG24=Dienste!#REF!,Dienste!#REF!,IF(AG24=Dienste!#REF!,Dienste!#REF!,IF(AG24=Dienste!#REF!,Dienste!#REF!,IF(AG24=Dienste!#REF!,Dienste!#REF!,IF(AG24=Dienste!$A$33,Dienste!$C$33,IF(AG24=Dienste!$A$34,Dienste!$C$34,IF(AG24=Dienste!$A$35,Dienste!$C$35,IF(AG24=Dienste!$A$36,Dienste!$C$36,)))))))))))))))))))))))))))))))))))</f>
        <v>#REF!</v>
      </c>
      <c r="CB24" s="27">
        <f>IF(AH24=Dienste!$A$2,Dienste!$C$2,IF(AH24=Dienste!$A$3,Dienste!$C$3,IF(AH24=Dienste!$A$4,Dienste!$C$4,IF(AH24=Dienste!$A$5,Dienste!$C$5,IF(AH24=Dienste!$A$6,Dienste!$C$6,IF(AH24=Dienste!$A$7,Dienste!$C$7,IF(AH24=Dienste!$A$8,Dienste!$C$8,IF(AH24=Dienste!$A$9,Dienste!$C$9,IF(AH24=Dienste!$A$10,Dienste!$C$10,IF(AH24=Dienste!$A$11,Dienste!$C$11,IF(AH24=Dienste!$A$12,Dienste!$C$12,IF(AH24=Dienste!$A$13,Dienste!$C$13,IF(AH24=Dienste!$A$14,Dienste!$C$14,IF(AH24=Dienste!$A$15,Dienste!$C$15,IF(AH24=Dienste!$A$16,Dienste!$C$16,IF(AH24=Dienste!$A$17,Dienste!$C$17,IF(AH24=Dienste!$A$18,Dienste!$C$18,IF(AH24=Dienste!$A$19,Dienste!$C$19,IF(AH24=Dienste!$A$20,Dienste!$C$20,IF(AH24=Dienste!$A$21,Dienste!$C$21,IF(AH24=Dienste!$A$22,Dienste!$C$22,IF(AH24=Dienste!$A$23,Dienste!$C$23,IF(AH24=Dienste!$A$24,Dienste!$C$24,IF(AH24=Dienste!$A$25,Dienste!$C$25,IF(AH24=Dienste!$A$26,Dienste!$C$26,IF(AH24=Dienste!$A$27,Dienste!$C$27,IF(AH24=Dienste!$A$28,Dienste!$C$28,IF(AH24=Dienste!#REF!,Dienste!#REF!,IF(AH24=Dienste!#REF!,Dienste!#REF!,IF(AH24=Dienste!#REF!,Dienste!#REF!,IF(AH24=Dienste!#REF!,Dienste!#REF!,IF(AH24=Dienste!$A$33,Dienste!$C$33,IF(AH24=Dienste!$A$34,Dienste!$C$34,IF(AH24=Dienste!$A$35,Dienste!$C$35,IF(AH24=Dienste!$A$36,Dienste!$C$36,)))))))))))))))))))))))))))))))))))</f>
        <v>8</v>
      </c>
      <c r="CC24" s="27" t="e">
        <f>IF(AI24=Dienste!$A$2,Dienste!$C$2,IF(AI24=Dienste!$A$3,Dienste!$C$3,IF(AI24=Dienste!$A$4,Dienste!$C$4,IF(AI24=Dienste!$A$5,Dienste!$C$5,IF(AI24=Dienste!$A$6,Dienste!$C$6,IF(AI24=Dienste!$A$7,Dienste!$C$7,IF(AI24=Dienste!$A$8,Dienste!$C$8,IF(AI24=Dienste!$A$9,Dienste!$C$9,IF(AI24=Dienste!$A$10,Dienste!$C$10,IF(AI24=Dienste!$A$11,Dienste!$C$11,IF(AI24=Dienste!$A$12,Dienste!$C$12,IF(AI24=Dienste!$A$13,Dienste!$C$13,IF(AI24=Dienste!$A$14,Dienste!$C$14,IF(AI24=Dienste!$A$15,Dienste!$C$15,IF(AI24=Dienste!$A$16,Dienste!$C$16,IF(AI24=Dienste!$A$17,Dienste!$C$17,IF(AI24=Dienste!$A$18,Dienste!$C$18,IF(AI24=Dienste!$A$19,Dienste!$C$19,IF(AI24=Dienste!$A$20,Dienste!$C$20,IF(AI24=Dienste!$A$21,Dienste!$C$21,IF(AI24=Dienste!$A$22,Dienste!$C$22,IF(AI24=Dienste!$A$23,Dienste!$C$23,IF(AI24=Dienste!$A$24,Dienste!$C$24,IF(AI24=Dienste!$A$25,Dienste!$C$25,IF(AI24=Dienste!$A$26,Dienste!$C$26,IF(AI24=Dienste!$A$27,Dienste!$C$27,IF(AI24=Dienste!$A$28,Dienste!$C$28,IF(AI24=Dienste!#REF!,Dienste!#REF!,IF(AI24=Dienste!#REF!,Dienste!#REF!,IF(AI24=Dienste!#REF!,Dienste!#REF!,IF(AI24=Dienste!#REF!,Dienste!#REF!,IF(AI24=Dienste!$A$33,Dienste!$C$33,IF(AI24=Dienste!$A$34,Dienste!$C$34,IF(AI24=Dienste!$A$35,Dienste!$C$35,IF(AI24=Dienste!$A$36,Dienste!$C$36,)))))))))))))))))))))))))))))))))))</f>
        <v>#REF!</v>
      </c>
    </row>
    <row r="25" spans="1:81" x14ac:dyDescent="0.25">
      <c r="A25" s="109" t="s">
        <v>139</v>
      </c>
      <c r="B25" s="15" t="s">
        <v>231</v>
      </c>
      <c r="C25" s="15">
        <v>40</v>
      </c>
      <c r="D25" s="98">
        <v>1</v>
      </c>
      <c r="E25" s="104" t="s">
        <v>83</v>
      </c>
      <c r="F25" s="9" t="s">
        <v>53</v>
      </c>
      <c r="G25" s="9" t="s">
        <v>65</v>
      </c>
      <c r="H25" s="9" t="s">
        <v>168</v>
      </c>
      <c r="I25" s="9" t="s">
        <v>26</v>
      </c>
      <c r="J25" s="9" t="s">
        <v>26</v>
      </c>
      <c r="K25" s="9" t="s">
        <v>26</v>
      </c>
      <c r="L25" s="9" t="s">
        <v>26</v>
      </c>
      <c r="M25" s="9" t="s">
        <v>26</v>
      </c>
      <c r="N25" s="9" t="s">
        <v>53</v>
      </c>
      <c r="O25" s="9" t="s">
        <v>65</v>
      </c>
      <c r="P25" s="9" t="s">
        <v>83</v>
      </c>
      <c r="Q25" s="9" t="s">
        <v>83</v>
      </c>
      <c r="R25" s="9" t="s">
        <v>83</v>
      </c>
      <c r="S25" s="9" t="s">
        <v>83</v>
      </c>
      <c r="T25" s="9" t="s">
        <v>63</v>
      </c>
      <c r="U25" s="9" t="s">
        <v>63</v>
      </c>
      <c r="V25" s="9" t="s">
        <v>63</v>
      </c>
      <c r="W25" s="9" t="s">
        <v>364</v>
      </c>
      <c r="X25" s="9" t="s">
        <v>65</v>
      </c>
      <c r="Y25" s="9" t="s">
        <v>83</v>
      </c>
      <c r="Z25" s="9" t="s">
        <v>83</v>
      </c>
      <c r="AA25" s="9" t="s">
        <v>17</v>
      </c>
      <c r="AB25" s="9" t="s">
        <v>65</v>
      </c>
      <c r="AC25" s="9" t="s">
        <v>168</v>
      </c>
      <c r="AD25" s="9" t="s">
        <v>26</v>
      </c>
      <c r="AE25" s="9" t="s">
        <v>26</v>
      </c>
      <c r="AF25" s="9" t="s">
        <v>26</v>
      </c>
      <c r="AG25" s="9" t="s">
        <v>26</v>
      </c>
      <c r="AH25" s="9" t="s">
        <v>26</v>
      </c>
      <c r="AI25" s="15"/>
      <c r="AJ25" s="109">
        <v>7.7</v>
      </c>
      <c r="AK25" s="15">
        <v>168</v>
      </c>
      <c r="AL25" s="109">
        <v>186</v>
      </c>
      <c r="AM25" s="15">
        <v>25.7</v>
      </c>
      <c r="AN25" s="170">
        <v>18</v>
      </c>
      <c r="AO25" s="109">
        <v>9.1000000000000014</v>
      </c>
      <c r="AP25" s="15">
        <v>4</v>
      </c>
      <c r="AQ25" s="98">
        <v>3</v>
      </c>
      <c r="AR25" s="109">
        <v>60</v>
      </c>
      <c r="AS25" s="15">
        <v>42.657692307692301</v>
      </c>
      <c r="AT25" s="98">
        <v>26</v>
      </c>
      <c r="AU25" s="96" t="e">
        <f t="shared" si="2"/>
        <v>#REF!</v>
      </c>
      <c r="AV25" s="27" t="e">
        <f t="shared" si="0"/>
        <v>#REF!</v>
      </c>
      <c r="AW25" s="58" t="e">
        <f t="shared" si="1"/>
        <v>#REF!</v>
      </c>
      <c r="AY25" s="27">
        <f>IF(E25=Dienste!$A$2,Dienste!$C$2,IF(E25=Dienste!$A$3,Dienste!$C$3,IF(E25=Dienste!$A$4,Dienste!$C$4,IF(E25=Dienste!$A$5,Dienste!$C$5,IF(E25=Dienste!$A$6,Dienste!$C$6,IF(E25=Dienste!$A$7,Dienste!$C$7,IF(E25=Dienste!$A$8,Dienste!$C$8,IF(E25=Dienste!$A$9,Dienste!$C$9,IF(E25=Dienste!$A$10,Dienste!$C$10,IF(E25=Dienste!$A$11,Dienste!$C$11,IF(E25=Dienste!$A$12,Dienste!$C$12,IF(E25=Dienste!$A$13,Dienste!$C$13,IF(E25=Dienste!$A$14,Dienste!$C$14,IF(E25=Dienste!$A$15,Dienste!$C$15,IF(E25=Dienste!$A$16,Dienste!$C$16,IF(E25=Dienste!$A$17,Dienste!$C$17,IF(E25=Dienste!$A$18,Dienste!$C$18,IF(E25=Dienste!$A$19,Dienste!$C$19,IF(E25=Dienste!$A$20,Dienste!$C$20,IF(E25=Dienste!$A$21,Dienste!$C$21,IF(E25=Dienste!$A$22,Dienste!$C$22,IF(E25=Dienste!$A$23,Dienste!$C$23,IF(E25=Dienste!$A$24,Dienste!$C$24,IF(E25=Dienste!$A$25,Dienste!$C$25,IF(E25=Dienste!$A$26,Dienste!$C$26,IF(E25=Dienste!$A$27,Dienste!$C$27,IF(E25=Dienste!$A$28,Dienste!$C$28,IF(E25=Dienste!#REF!,Dienste!#REF!,IF(E25=Dienste!#REF!,Dienste!#REF!,IF(E25=Dienste!#REF!,Dienste!#REF!,IF(E25=Dienste!#REF!,Dienste!#REF!,IF(E25=Dienste!$A$33,Dienste!$C$33,IF(E25=Dienste!$A$34,Dienste!$C$34,IF(E25=Dienste!$A$35,Dienste!$C$35,IF(E25=Dienste!$A$36,Dienste!$C$36,)))))))))))))))))))))))))))))))))))</f>
        <v>0</v>
      </c>
      <c r="AZ25" s="27">
        <f>IF(F25=Dienste!$A$2,Dienste!$C$2,IF(F25=Dienste!$A$3,Dienste!$C$3,IF(F25=Dienste!$A$4,Dienste!$C$4,IF(F25=Dienste!$A$5,Dienste!$C$5,IF(F25=Dienste!$A$6,Dienste!$C$6,IF(F25=Dienste!$A$7,Dienste!$C$7,IF(F25=Dienste!$A$8,Dienste!$C$8,IF(F25=Dienste!$A$9,Dienste!$C$9,IF(F25=Dienste!$A$10,Dienste!$C$10,IF(F25=Dienste!$A$11,Dienste!$C$11,IF(F25=Dienste!$A$12,Dienste!$C$12,IF(F25=Dienste!$A$13,Dienste!$C$13,IF(F25=Dienste!$A$14,Dienste!$C$14,IF(F25=Dienste!$A$15,Dienste!$C$15,IF(F25=Dienste!$A$16,Dienste!$C$16,IF(F25=Dienste!$A$17,Dienste!$C$17,IF(F25=Dienste!$A$18,Dienste!$C$18,IF(F25=Dienste!$A$19,Dienste!$C$19,IF(F25=Dienste!$A$20,Dienste!$C$20,IF(F25=Dienste!$A$21,Dienste!$C$21,IF(F25=Dienste!$A$22,Dienste!$C$22,IF(F25=Dienste!$A$23,Dienste!$C$23,IF(F25=Dienste!$A$24,Dienste!$C$24,IF(F25=Dienste!$A$25,Dienste!$C$25,IF(F25=Dienste!$A$26,Dienste!$C$26,IF(F25=Dienste!$A$27,Dienste!$C$27,IF(F25=Dienste!$A$28,Dienste!$C$28,IF(F25=Dienste!#REF!,Dienste!#REF!,IF(F25=Dienste!#REF!,Dienste!#REF!,IF(F25=Dienste!#REF!,Dienste!#REF!,IF(F25=Dienste!#REF!,Dienste!#REF!,IF(F25=Dienste!$A$33,Dienste!$C$33,IF(F25=Dienste!$A$34,Dienste!$C$34,IF(F25=Dienste!$A$35,Dienste!$C$35,IF(F25=Dienste!$A$36,Dienste!$C$36,)))))))))))))))))))))))))))))))))))</f>
        <v>9</v>
      </c>
      <c r="BA25" s="27">
        <f>IF(G25=Dienste!$A$2,Dienste!$C$2,IF(G25=Dienste!$A$3,Dienste!$C$3,IF(G25=Dienste!$A$4,Dienste!$C$4,IF(G25=Dienste!$A$5,Dienste!$C$5,IF(G25=Dienste!$A$6,Dienste!$C$6,IF(G25=Dienste!$A$7,Dienste!$C$7,IF(G25=Dienste!$A$8,Dienste!$C$8,IF(G25=Dienste!$A$9,Dienste!$C$9,IF(G25=Dienste!$A$10,Dienste!$C$10,IF(G25=Dienste!$A$11,Dienste!$C$11,IF(G25=Dienste!$A$12,Dienste!$C$12,IF(G25=Dienste!$A$13,Dienste!$C$13,IF(G25=Dienste!$A$14,Dienste!$C$14,IF(G25=Dienste!$A$15,Dienste!$C$15,IF(G25=Dienste!$A$16,Dienste!$C$16,IF(G25=Dienste!$A$17,Dienste!$C$17,IF(G25=Dienste!$A$18,Dienste!$C$18,IF(G25=Dienste!$A$19,Dienste!$C$19,IF(G25=Dienste!$A$20,Dienste!$C$20,IF(G25=Dienste!$A$21,Dienste!$C$21,IF(G25=Dienste!$A$22,Dienste!$C$22,IF(G25=Dienste!$A$23,Dienste!$C$23,IF(G25=Dienste!$A$24,Dienste!$C$24,IF(G25=Dienste!$A$25,Dienste!$C$25,IF(G25=Dienste!$A$26,Dienste!$C$26,IF(G25=Dienste!$A$27,Dienste!$C$27,IF(G25=Dienste!$A$28,Dienste!$C$28,IF(G25=Dienste!#REF!,Dienste!#REF!,IF(G25=Dienste!#REF!,Dienste!#REF!,IF(G25=Dienste!#REF!,Dienste!#REF!,IF(G25=Dienste!#REF!,Dienste!#REF!,IF(G25=Dienste!$A$33,Dienste!$C$33,IF(G25=Dienste!$A$34,Dienste!$C$34,IF(G25=Dienste!$A$35,Dienste!$C$35,IF(G25=Dienste!$A$36,Dienste!$C$36,)))))))))))))))))))))))))))))))))))</f>
        <v>8</v>
      </c>
      <c r="BB25" s="27">
        <f>IF(H25=Dienste!$A$2,Dienste!$C$2,IF(H25=Dienste!$A$3,Dienste!$C$3,IF(H25=Dienste!$A$4,Dienste!$C$4,IF(H25=Dienste!$A$5,Dienste!$C$5,IF(H25=Dienste!$A$6,Dienste!$C$6,IF(H25=Dienste!$A$7,Dienste!$C$7,IF(H25=Dienste!$A$8,Dienste!$C$8,IF(H25=Dienste!$A$9,Dienste!$C$9,IF(H25=Dienste!$A$10,Dienste!$C$10,IF(H25=Dienste!$A$11,Dienste!$C$11,IF(H25=Dienste!$A$12,Dienste!$C$12,IF(H25=Dienste!$A$13,Dienste!$C$13,IF(H25=Dienste!$A$14,Dienste!$C$14,IF(H25=Dienste!$A$15,Dienste!$C$15,IF(H25=Dienste!$A$16,Dienste!$C$16,IF(H25=Dienste!$A$17,Dienste!$C$17,IF(H25=Dienste!$A$18,Dienste!$C$18,IF(H25=Dienste!$A$19,Dienste!$C$19,IF(H25=Dienste!$A$20,Dienste!$C$20,IF(H25=Dienste!$A$21,Dienste!$C$21,IF(H25=Dienste!$A$22,Dienste!$C$22,IF(H25=Dienste!$A$23,Dienste!$C$23,IF(H25=Dienste!$A$24,Dienste!$C$24,IF(H25=Dienste!$A$25,Dienste!$C$25,IF(H25=Dienste!$A$26,Dienste!$C$26,IF(H25=Dienste!$A$27,Dienste!$C$27,IF(H25=Dienste!$A$28,Dienste!$C$28,IF(H25=Dienste!#REF!,Dienste!#REF!,IF(H25=Dienste!#REF!,Dienste!#REF!,IF(H25=Dienste!#REF!,Dienste!#REF!,IF(H25=Dienste!#REF!,Dienste!#REF!,IF(H25=Dienste!$A$33,Dienste!$C$33,IF(H25=Dienste!$A$34,Dienste!$C$34,IF(H25=Dienste!$A$35,Dienste!$C$35,IF(H25=Dienste!$A$36,Dienste!$C$36,)))))))))))))))))))))))))))))))))))</f>
        <v>8</v>
      </c>
      <c r="BC25" s="27">
        <f>IF(I25=Dienste!$A$2,Dienste!$C$2,IF(I25=Dienste!$A$3,Dienste!$C$3,IF(I25=Dienste!$A$4,Dienste!$C$4,IF(I25=Dienste!$A$5,Dienste!$C$5,IF(I25=Dienste!$A$6,Dienste!$C$6,IF(I25=Dienste!$A$7,Dienste!$C$7,IF(I25=Dienste!$A$8,Dienste!$C$8,IF(I25=Dienste!$A$9,Dienste!$C$9,IF(I25=Dienste!$A$10,Dienste!$C$10,IF(I25=Dienste!$A$11,Dienste!$C$11,IF(I25=Dienste!$A$12,Dienste!$C$12,IF(I25=Dienste!$A$13,Dienste!$C$13,IF(I25=Dienste!$A$14,Dienste!$C$14,IF(I25=Dienste!$A$15,Dienste!$C$15,IF(I25=Dienste!$A$16,Dienste!$C$16,IF(I25=Dienste!$A$17,Dienste!$C$17,IF(I25=Dienste!$A$18,Dienste!$C$18,IF(I25=Dienste!$A$19,Dienste!$C$19,IF(I25=Dienste!$A$20,Dienste!$C$20,IF(I25=Dienste!$A$21,Dienste!$C$21,IF(I25=Dienste!$A$22,Dienste!$C$22,IF(I25=Dienste!$A$23,Dienste!$C$23,IF(I25=Dienste!$A$24,Dienste!$C$24,IF(I25=Dienste!$A$25,Dienste!$C$25,IF(I25=Dienste!$A$26,Dienste!$C$26,IF(I25=Dienste!$A$27,Dienste!$C$27,IF(I25=Dienste!$A$28,Dienste!$C$28,IF(I25=Dienste!#REF!,Dienste!#REF!,IF(I25=Dienste!#REF!,Dienste!#REF!,IF(I25=Dienste!#REF!,Dienste!#REF!,IF(I25=Dienste!#REF!,Dienste!#REF!,IF(I25=Dienste!$A$33,Dienste!$C$33,IF(I25=Dienste!$A$34,Dienste!$C$34,IF(I25=Dienste!$A$35,Dienste!$C$35,IF(I25=Dienste!$A$36,Dienste!$C$36,)))))))))))))))))))))))))))))))))))</f>
        <v>8</v>
      </c>
      <c r="BD25" s="27">
        <f>IF(J25=Dienste!$A$2,Dienste!$C$2,IF(J25=Dienste!$A$3,Dienste!$C$3,IF(J25=Dienste!$A$4,Dienste!$C$4,IF(J25=Dienste!$A$5,Dienste!$C$5,IF(J25=Dienste!$A$6,Dienste!$C$6,IF(J25=Dienste!$A$7,Dienste!$C$7,IF(J25=Dienste!$A$8,Dienste!$C$8,IF(J25=Dienste!$A$9,Dienste!$C$9,IF(J25=Dienste!$A$10,Dienste!$C$10,IF(J25=Dienste!$A$11,Dienste!$C$11,IF(J25=Dienste!$A$12,Dienste!$C$12,IF(J25=Dienste!$A$13,Dienste!$C$13,IF(J25=Dienste!$A$14,Dienste!$C$14,IF(J25=Dienste!$A$15,Dienste!$C$15,IF(J25=Dienste!$A$16,Dienste!$C$16,IF(J25=Dienste!$A$17,Dienste!$C$17,IF(J25=Dienste!$A$18,Dienste!$C$18,IF(J25=Dienste!$A$19,Dienste!$C$19,IF(J25=Dienste!$A$20,Dienste!$C$20,IF(J25=Dienste!$A$21,Dienste!$C$21,IF(J25=Dienste!$A$22,Dienste!$C$22,IF(J25=Dienste!$A$23,Dienste!$C$23,IF(J25=Dienste!$A$24,Dienste!$C$24,IF(J25=Dienste!$A$25,Dienste!$C$25,IF(J25=Dienste!$A$26,Dienste!$C$26,IF(J25=Dienste!$A$27,Dienste!$C$27,IF(J25=Dienste!$A$28,Dienste!$C$28,IF(J25=Dienste!#REF!,Dienste!#REF!,IF(J25=Dienste!#REF!,Dienste!#REF!,IF(J25=Dienste!#REF!,Dienste!#REF!,IF(J25=Dienste!#REF!,Dienste!#REF!,IF(J25=Dienste!$A$33,Dienste!$C$33,IF(J25=Dienste!$A$34,Dienste!$C$34,IF(J25=Dienste!$A$35,Dienste!$C$35,IF(J25=Dienste!$A$36,Dienste!$C$36,)))))))))))))))))))))))))))))))))))</f>
        <v>8</v>
      </c>
      <c r="BE25" s="27">
        <f>IF(K25=Dienste!$A$2,Dienste!$C$2,IF(K25=Dienste!$A$3,Dienste!$C$3,IF(K25=Dienste!$A$4,Dienste!$C$4,IF(K25=Dienste!$A$5,Dienste!$C$5,IF(K25=Dienste!$A$6,Dienste!$C$6,IF(K25=Dienste!$A$7,Dienste!$C$7,IF(K25=Dienste!$A$8,Dienste!$C$8,IF(K25=Dienste!$A$9,Dienste!$C$9,IF(K25=Dienste!$A$10,Dienste!$C$10,IF(K25=Dienste!$A$11,Dienste!$C$11,IF(K25=Dienste!$A$12,Dienste!$C$12,IF(K25=Dienste!$A$13,Dienste!$C$13,IF(K25=Dienste!$A$14,Dienste!$C$14,IF(K25=Dienste!$A$15,Dienste!$C$15,IF(K25=Dienste!$A$16,Dienste!$C$16,IF(K25=Dienste!$A$17,Dienste!$C$17,IF(K25=Dienste!$A$18,Dienste!$C$18,IF(K25=Dienste!$A$19,Dienste!$C$19,IF(K25=Dienste!$A$20,Dienste!$C$20,IF(K25=Dienste!$A$21,Dienste!$C$21,IF(K25=Dienste!$A$22,Dienste!$C$22,IF(K25=Dienste!$A$23,Dienste!$C$23,IF(K25=Dienste!$A$24,Dienste!$C$24,IF(K25=Dienste!$A$25,Dienste!$C$25,IF(K25=Dienste!$A$26,Dienste!$C$26,IF(K25=Dienste!$A$27,Dienste!$C$27,IF(K25=Dienste!$A$28,Dienste!$C$28,IF(K25=Dienste!#REF!,Dienste!#REF!,IF(K25=Dienste!#REF!,Dienste!#REF!,IF(K25=Dienste!#REF!,Dienste!#REF!,IF(K25=Dienste!#REF!,Dienste!#REF!,IF(K25=Dienste!$A$33,Dienste!$C$33,IF(K25=Dienste!$A$34,Dienste!$C$34,IF(K25=Dienste!$A$35,Dienste!$C$35,IF(K25=Dienste!$A$36,Dienste!$C$36,)))))))))))))))))))))))))))))))))))</f>
        <v>8</v>
      </c>
      <c r="BF25" s="27">
        <f>IF(L25=Dienste!$A$2,Dienste!$C$2,IF(L25=Dienste!$A$3,Dienste!$C$3,IF(L25=Dienste!$A$4,Dienste!$C$4,IF(L25=Dienste!$A$5,Dienste!$C$5,IF(L25=Dienste!$A$6,Dienste!$C$6,IF(L25=Dienste!$A$7,Dienste!$C$7,IF(L25=Dienste!$A$8,Dienste!$C$8,IF(L25=Dienste!$A$9,Dienste!$C$9,IF(L25=Dienste!$A$10,Dienste!$C$10,IF(L25=Dienste!$A$11,Dienste!$C$11,IF(L25=Dienste!$A$12,Dienste!$C$12,IF(L25=Dienste!$A$13,Dienste!$C$13,IF(L25=Dienste!$A$14,Dienste!$C$14,IF(L25=Dienste!$A$15,Dienste!$C$15,IF(L25=Dienste!$A$16,Dienste!$C$16,IF(L25=Dienste!$A$17,Dienste!$C$17,IF(L25=Dienste!$A$18,Dienste!$C$18,IF(L25=Dienste!$A$19,Dienste!$C$19,IF(L25=Dienste!$A$20,Dienste!$C$20,IF(L25=Dienste!$A$21,Dienste!$C$21,IF(L25=Dienste!$A$22,Dienste!$C$22,IF(L25=Dienste!$A$23,Dienste!$C$23,IF(L25=Dienste!$A$24,Dienste!$C$24,IF(L25=Dienste!$A$25,Dienste!$C$25,IF(L25=Dienste!$A$26,Dienste!$C$26,IF(L25=Dienste!$A$27,Dienste!$C$27,IF(L25=Dienste!$A$28,Dienste!$C$28,IF(L25=Dienste!#REF!,Dienste!#REF!,IF(L25=Dienste!#REF!,Dienste!#REF!,IF(L25=Dienste!#REF!,Dienste!#REF!,IF(L25=Dienste!#REF!,Dienste!#REF!,IF(L25=Dienste!$A$33,Dienste!$C$33,IF(L25=Dienste!$A$34,Dienste!$C$34,IF(L25=Dienste!$A$35,Dienste!$C$35,IF(L25=Dienste!$A$36,Dienste!$C$36,)))))))))))))))))))))))))))))))))))</f>
        <v>8</v>
      </c>
      <c r="BG25" s="27">
        <f>IF(M25=Dienste!$A$2,Dienste!$C$2,IF(M25=Dienste!$A$3,Dienste!$C$3,IF(M25=Dienste!$A$4,Dienste!$C$4,IF(M25=Dienste!$A$5,Dienste!$C$5,IF(M25=Dienste!$A$6,Dienste!$C$6,IF(M25=Dienste!$A$7,Dienste!$C$7,IF(M25=Dienste!$A$8,Dienste!$C$8,IF(M25=Dienste!$A$9,Dienste!$C$9,IF(M25=Dienste!$A$10,Dienste!$C$10,IF(M25=Dienste!$A$11,Dienste!$C$11,IF(M25=Dienste!$A$12,Dienste!$C$12,IF(M25=Dienste!$A$13,Dienste!$C$13,IF(M25=Dienste!$A$14,Dienste!$C$14,IF(M25=Dienste!$A$15,Dienste!$C$15,IF(M25=Dienste!$A$16,Dienste!$C$16,IF(M25=Dienste!$A$17,Dienste!$C$17,IF(M25=Dienste!$A$18,Dienste!$C$18,IF(M25=Dienste!$A$19,Dienste!$C$19,IF(M25=Dienste!$A$20,Dienste!$C$20,IF(M25=Dienste!$A$21,Dienste!$C$21,IF(M25=Dienste!$A$22,Dienste!$C$22,IF(M25=Dienste!$A$23,Dienste!$C$23,IF(M25=Dienste!$A$24,Dienste!$C$24,IF(M25=Dienste!$A$25,Dienste!$C$25,IF(M25=Dienste!$A$26,Dienste!$C$26,IF(M25=Dienste!$A$27,Dienste!$C$27,IF(M25=Dienste!$A$28,Dienste!$C$28,IF(M25=Dienste!#REF!,Dienste!#REF!,IF(M25=Dienste!#REF!,Dienste!#REF!,IF(M25=Dienste!#REF!,Dienste!#REF!,IF(M25=Dienste!#REF!,Dienste!#REF!,IF(M25=Dienste!$A$33,Dienste!$C$33,IF(M25=Dienste!$A$34,Dienste!$C$34,IF(M25=Dienste!$A$35,Dienste!$C$35,IF(M25=Dienste!$A$36,Dienste!$C$36,)))))))))))))))))))))))))))))))))))</f>
        <v>8</v>
      </c>
      <c r="BH25" s="27">
        <f>IF(N25=Dienste!$A$2,Dienste!$C$2,IF(N25=Dienste!$A$3,Dienste!$C$3,IF(N25=Dienste!$A$4,Dienste!$C$4,IF(N25=Dienste!$A$5,Dienste!$C$5,IF(N25=Dienste!$A$6,Dienste!$C$6,IF(N25=Dienste!$A$7,Dienste!$C$7,IF(N25=Dienste!$A$8,Dienste!$C$8,IF(N25=Dienste!$A$9,Dienste!$C$9,IF(N25=Dienste!$A$10,Dienste!$C$10,IF(N25=Dienste!$A$11,Dienste!$C$11,IF(N25=Dienste!$A$12,Dienste!$C$12,IF(N25=Dienste!$A$13,Dienste!$C$13,IF(N25=Dienste!$A$14,Dienste!$C$14,IF(N25=Dienste!$A$15,Dienste!$C$15,IF(N25=Dienste!$A$16,Dienste!$C$16,IF(N25=Dienste!$A$17,Dienste!$C$17,IF(N25=Dienste!$A$18,Dienste!$C$18,IF(N25=Dienste!$A$19,Dienste!$C$19,IF(N25=Dienste!$A$20,Dienste!$C$20,IF(N25=Dienste!$A$21,Dienste!$C$21,IF(N25=Dienste!$A$22,Dienste!$C$22,IF(N25=Dienste!$A$23,Dienste!$C$23,IF(N25=Dienste!$A$24,Dienste!$C$24,IF(N25=Dienste!$A$25,Dienste!$C$25,IF(N25=Dienste!$A$26,Dienste!$C$26,IF(N25=Dienste!$A$27,Dienste!$C$27,IF(N25=Dienste!$A$28,Dienste!$C$28,IF(N25=Dienste!#REF!,Dienste!#REF!,IF(N25=Dienste!#REF!,Dienste!#REF!,IF(N25=Dienste!#REF!,Dienste!#REF!,IF(N25=Dienste!#REF!,Dienste!#REF!,IF(N25=Dienste!$A$33,Dienste!$C$33,IF(N25=Dienste!$A$34,Dienste!$C$34,IF(N25=Dienste!$A$35,Dienste!$C$35,IF(N25=Dienste!$A$36,Dienste!$C$36,)))))))))))))))))))))))))))))))))))</f>
        <v>9</v>
      </c>
      <c r="BI25" s="27">
        <f>IF(O25=Dienste!$A$2,Dienste!$C$2,IF(O25=Dienste!$A$3,Dienste!$C$3,IF(O25=Dienste!$A$4,Dienste!$C$4,IF(O25=Dienste!$A$5,Dienste!$C$5,IF(O25=Dienste!$A$6,Dienste!$C$6,IF(O25=Dienste!$A$7,Dienste!$C$7,IF(O25=Dienste!$A$8,Dienste!$C$8,IF(O25=Dienste!$A$9,Dienste!$C$9,IF(O25=Dienste!$A$10,Dienste!$C$10,IF(O25=Dienste!$A$11,Dienste!$C$11,IF(O25=Dienste!$A$12,Dienste!$C$12,IF(O25=Dienste!$A$13,Dienste!$C$13,IF(O25=Dienste!$A$14,Dienste!$C$14,IF(O25=Dienste!$A$15,Dienste!$C$15,IF(O25=Dienste!$A$16,Dienste!$C$16,IF(O25=Dienste!$A$17,Dienste!$C$17,IF(O25=Dienste!$A$18,Dienste!$C$18,IF(O25=Dienste!$A$19,Dienste!$C$19,IF(O25=Dienste!$A$20,Dienste!$C$20,IF(O25=Dienste!$A$21,Dienste!$C$21,IF(O25=Dienste!$A$22,Dienste!$C$22,IF(O25=Dienste!$A$23,Dienste!$C$23,IF(O25=Dienste!$A$24,Dienste!$C$24,IF(O25=Dienste!$A$25,Dienste!$C$25,IF(O25=Dienste!$A$26,Dienste!$C$26,IF(O25=Dienste!$A$27,Dienste!$C$27,IF(O25=Dienste!$A$28,Dienste!$C$28,IF(O25=Dienste!#REF!,Dienste!#REF!,IF(O25=Dienste!#REF!,Dienste!#REF!,IF(O25=Dienste!#REF!,Dienste!#REF!,IF(O25=Dienste!#REF!,Dienste!#REF!,IF(O25=Dienste!$A$33,Dienste!$C$33,IF(O25=Dienste!$A$34,Dienste!$C$34,IF(O25=Dienste!$A$35,Dienste!$C$35,IF(O25=Dienste!$A$36,Dienste!$C$36,)))))))))))))))))))))))))))))))))))</f>
        <v>8</v>
      </c>
      <c r="BJ25" s="27">
        <f>IF(P25=Dienste!$A$2,Dienste!$C$2,IF(P25=Dienste!$A$3,Dienste!$C$3,IF(P25=Dienste!$A$4,Dienste!$C$4,IF(P25=Dienste!$A$5,Dienste!$C$5,IF(P25=Dienste!$A$6,Dienste!$C$6,IF(P25=Dienste!$A$7,Dienste!$C$7,IF(P25=Dienste!$A$8,Dienste!$C$8,IF(P25=Dienste!$A$9,Dienste!$C$9,IF(P25=Dienste!$A$10,Dienste!$C$10,IF(P25=Dienste!$A$11,Dienste!$C$11,IF(P25=Dienste!$A$12,Dienste!$C$12,IF(P25=Dienste!$A$13,Dienste!$C$13,IF(P25=Dienste!$A$14,Dienste!$C$14,IF(P25=Dienste!$A$15,Dienste!$C$15,IF(P25=Dienste!$A$16,Dienste!$C$16,IF(P25=Dienste!$A$17,Dienste!$C$17,IF(P25=Dienste!$A$18,Dienste!$C$18,IF(P25=Dienste!$A$19,Dienste!$C$19,IF(P25=Dienste!$A$20,Dienste!$C$20,IF(P25=Dienste!$A$21,Dienste!$C$21,IF(P25=Dienste!$A$22,Dienste!$C$22,IF(P25=Dienste!$A$23,Dienste!$C$23,IF(P25=Dienste!$A$24,Dienste!$C$24,IF(P25=Dienste!$A$25,Dienste!$C$25,IF(P25=Dienste!$A$26,Dienste!$C$26,IF(P25=Dienste!$A$27,Dienste!$C$27,IF(P25=Dienste!$A$28,Dienste!$C$28,IF(P25=Dienste!#REF!,Dienste!#REF!,IF(P25=Dienste!#REF!,Dienste!#REF!,IF(P25=Dienste!#REF!,Dienste!#REF!,IF(P25=Dienste!#REF!,Dienste!#REF!,IF(P25=Dienste!$A$33,Dienste!$C$33,IF(P25=Dienste!$A$34,Dienste!$C$34,IF(P25=Dienste!$A$35,Dienste!$C$35,IF(P25=Dienste!$A$36,Dienste!$C$36,)))))))))))))))))))))))))))))))))))</f>
        <v>0</v>
      </c>
      <c r="BK25" s="27">
        <f>IF(Q25=Dienste!$A$2,Dienste!$C$2,IF(Q25=Dienste!$A$3,Dienste!$C$3,IF(Q25=Dienste!$A$4,Dienste!$C$4,IF(Q25=Dienste!$A$5,Dienste!$C$5,IF(Q25=Dienste!$A$6,Dienste!$C$6,IF(Q25=Dienste!$A$7,Dienste!$C$7,IF(Q25=Dienste!$A$8,Dienste!$C$8,IF(Q25=Dienste!$A$9,Dienste!$C$9,IF(Q25=Dienste!$A$10,Dienste!$C$10,IF(Q25=Dienste!$A$11,Dienste!$C$11,IF(Q25=Dienste!$A$12,Dienste!$C$12,IF(Q25=Dienste!$A$13,Dienste!$C$13,IF(Q25=Dienste!$A$14,Dienste!$C$14,IF(Q25=Dienste!$A$15,Dienste!$C$15,IF(Q25=Dienste!$A$16,Dienste!$C$16,IF(Q25=Dienste!$A$17,Dienste!$C$17,IF(Q25=Dienste!$A$18,Dienste!$C$18,IF(Q25=Dienste!$A$19,Dienste!$C$19,IF(Q25=Dienste!$A$20,Dienste!$C$20,IF(Q25=Dienste!$A$21,Dienste!$C$21,IF(Q25=Dienste!$A$22,Dienste!$C$22,IF(Q25=Dienste!$A$23,Dienste!$C$23,IF(Q25=Dienste!$A$24,Dienste!$C$24,IF(Q25=Dienste!$A$25,Dienste!$C$25,IF(Q25=Dienste!$A$26,Dienste!$C$26,IF(Q25=Dienste!$A$27,Dienste!$C$27,IF(Q25=Dienste!$A$28,Dienste!$C$28,IF(Q25=Dienste!#REF!,Dienste!#REF!,IF(Q25=Dienste!#REF!,Dienste!#REF!,IF(Q25=Dienste!#REF!,Dienste!#REF!,IF(Q25=Dienste!#REF!,Dienste!#REF!,IF(Q25=Dienste!$A$33,Dienste!$C$33,IF(Q25=Dienste!$A$34,Dienste!$C$34,IF(Q25=Dienste!$A$35,Dienste!$C$35,IF(Q25=Dienste!$A$36,Dienste!$C$36,)))))))))))))))))))))))))))))))))))</f>
        <v>0</v>
      </c>
      <c r="BL25" s="27">
        <f>IF(R25=Dienste!$A$2,Dienste!$C$2,IF(R25=Dienste!$A$3,Dienste!$C$3,IF(R25=Dienste!$A$4,Dienste!$C$4,IF(R25=Dienste!$A$5,Dienste!$C$5,IF(R25=Dienste!$A$6,Dienste!$C$6,IF(R25=Dienste!$A$7,Dienste!$C$7,IF(R25=Dienste!$A$8,Dienste!$C$8,IF(R25=Dienste!$A$9,Dienste!$C$9,IF(R25=Dienste!$A$10,Dienste!$C$10,IF(R25=Dienste!$A$11,Dienste!$C$11,IF(R25=Dienste!$A$12,Dienste!$C$12,IF(R25=Dienste!$A$13,Dienste!$C$13,IF(R25=Dienste!$A$14,Dienste!$C$14,IF(R25=Dienste!$A$15,Dienste!$C$15,IF(R25=Dienste!$A$16,Dienste!$C$16,IF(R25=Dienste!$A$17,Dienste!$C$17,IF(R25=Dienste!$A$18,Dienste!$C$18,IF(R25=Dienste!$A$19,Dienste!$C$19,IF(R25=Dienste!$A$20,Dienste!$C$20,IF(R25=Dienste!$A$21,Dienste!$C$21,IF(R25=Dienste!$A$22,Dienste!$C$22,IF(R25=Dienste!$A$23,Dienste!$C$23,IF(R25=Dienste!$A$24,Dienste!$C$24,IF(R25=Dienste!$A$25,Dienste!$C$25,IF(R25=Dienste!$A$26,Dienste!$C$26,IF(R25=Dienste!$A$27,Dienste!$C$27,IF(R25=Dienste!$A$28,Dienste!$C$28,IF(R25=Dienste!#REF!,Dienste!#REF!,IF(R25=Dienste!#REF!,Dienste!#REF!,IF(R25=Dienste!#REF!,Dienste!#REF!,IF(R25=Dienste!#REF!,Dienste!#REF!,IF(R25=Dienste!$A$33,Dienste!$C$33,IF(R25=Dienste!$A$34,Dienste!$C$34,IF(R25=Dienste!$A$35,Dienste!$C$35,IF(R25=Dienste!$A$36,Dienste!$C$36,)))))))))))))))))))))))))))))))))))</f>
        <v>0</v>
      </c>
      <c r="BM25" s="27">
        <f>IF(S25=Dienste!$A$2,Dienste!$C$2,IF(S25=Dienste!$A$3,Dienste!$C$3,IF(S25=Dienste!$A$4,Dienste!$C$4,IF(S25=Dienste!$A$5,Dienste!$C$5,IF(S25=Dienste!$A$6,Dienste!$C$6,IF(S25=Dienste!$A$7,Dienste!$C$7,IF(S25=Dienste!$A$8,Dienste!$C$8,IF(S25=Dienste!$A$9,Dienste!$C$9,IF(S25=Dienste!$A$10,Dienste!$C$10,IF(S25=Dienste!$A$11,Dienste!$C$11,IF(S25=Dienste!$A$12,Dienste!$C$12,IF(S25=Dienste!$A$13,Dienste!$C$13,IF(S25=Dienste!$A$14,Dienste!$C$14,IF(S25=Dienste!$A$15,Dienste!$C$15,IF(S25=Dienste!$A$16,Dienste!$C$16,IF(S25=Dienste!$A$17,Dienste!$C$17,IF(S25=Dienste!$A$18,Dienste!$C$18,IF(S25=Dienste!$A$19,Dienste!$C$19,IF(S25=Dienste!$A$20,Dienste!$C$20,IF(S25=Dienste!$A$21,Dienste!$C$21,IF(S25=Dienste!$A$22,Dienste!$C$22,IF(S25=Dienste!$A$23,Dienste!$C$23,IF(S25=Dienste!$A$24,Dienste!$C$24,IF(S25=Dienste!$A$25,Dienste!$C$25,IF(S25=Dienste!$A$26,Dienste!$C$26,IF(S25=Dienste!$A$27,Dienste!$C$27,IF(S25=Dienste!$A$28,Dienste!$C$28,IF(S25=Dienste!#REF!,Dienste!#REF!,IF(S25=Dienste!#REF!,Dienste!#REF!,IF(S25=Dienste!#REF!,Dienste!#REF!,IF(S25=Dienste!#REF!,Dienste!#REF!,IF(S25=Dienste!$A$33,Dienste!$C$33,IF(S25=Dienste!$A$34,Dienste!$C$34,IF(S25=Dienste!$A$35,Dienste!$C$35,IF(S25=Dienste!$A$36,Dienste!$C$36,)))))))))))))))))))))))))))))))))))</f>
        <v>0</v>
      </c>
      <c r="BN25" s="27">
        <f>IF(T25=Dienste!$A$2,Dienste!$C$2,IF(T25=Dienste!$A$3,Dienste!$C$3,IF(T25=Dienste!$A$4,Dienste!$C$4,IF(T25=Dienste!$A$5,Dienste!$C$5,IF(T25=Dienste!$A$6,Dienste!$C$6,IF(T25=Dienste!$A$7,Dienste!$C$7,IF(T25=Dienste!$A$8,Dienste!$C$8,IF(T25=Dienste!$A$9,Dienste!$C$9,IF(T25=Dienste!$A$10,Dienste!$C$10,IF(T25=Dienste!$A$11,Dienste!$C$11,IF(T25=Dienste!$A$12,Dienste!$C$12,IF(T25=Dienste!$A$13,Dienste!$C$13,IF(T25=Dienste!$A$14,Dienste!$C$14,IF(T25=Dienste!$A$15,Dienste!$C$15,IF(T25=Dienste!$A$16,Dienste!$C$16,IF(T25=Dienste!$A$17,Dienste!$C$17,IF(T25=Dienste!$A$18,Dienste!$C$18,IF(T25=Dienste!$A$19,Dienste!$C$19,IF(T25=Dienste!$A$20,Dienste!$C$20,IF(T25=Dienste!$A$21,Dienste!$C$21,IF(T25=Dienste!$A$22,Dienste!$C$22,IF(T25=Dienste!$A$23,Dienste!$C$23,IF(T25=Dienste!$A$24,Dienste!$C$24,IF(T25=Dienste!$A$25,Dienste!$C$25,IF(T25=Dienste!$A$26,Dienste!$C$26,IF(T25=Dienste!$A$27,Dienste!$C$27,IF(T25=Dienste!$A$28,Dienste!$C$28,IF(T25=Dienste!#REF!,Dienste!#REF!,IF(T25=Dienste!#REF!,Dienste!#REF!,IF(T25=Dienste!#REF!,Dienste!#REF!,IF(T25=Dienste!#REF!,Dienste!#REF!,IF(T25=Dienste!$A$33,Dienste!$C$33,IF(T25=Dienste!$A$34,Dienste!$C$34,IF(T25=Dienste!$A$35,Dienste!$C$35,IF(T25=Dienste!$A$36,Dienste!$C$36,)))))))))))))))))))))))))))))))))))</f>
        <v>8</v>
      </c>
      <c r="BO25" s="27">
        <f>IF(U25=Dienste!$A$2,Dienste!$C$2,IF(U25=Dienste!$A$3,Dienste!$C$3,IF(U25=Dienste!$A$4,Dienste!$C$4,IF(U25=Dienste!$A$5,Dienste!$C$5,IF(U25=Dienste!$A$6,Dienste!$C$6,IF(U25=Dienste!$A$7,Dienste!$C$7,IF(U25=Dienste!$A$8,Dienste!$C$8,IF(U25=Dienste!$A$9,Dienste!$C$9,IF(U25=Dienste!$A$10,Dienste!$C$10,IF(U25=Dienste!$A$11,Dienste!$C$11,IF(U25=Dienste!$A$12,Dienste!$C$12,IF(U25=Dienste!$A$13,Dienste!$C$13,IF(U25=Dienste!$A$14,Dienste!$C$14,IF(U25=Dienste!$A$15,Dienste!$C$15,IF(U25=Dienste!$A$16,Dienste!$C$16,IF(U25=Dienste!$A$17,Dienste!$C$17,IF(U25=Dienste!$A$18,Dienste!$C$18,IF(U25=Dienste!$A$19,Dienste!$C$19,IF(U25=Dienste!$A$20,Dienste!$C$20,IF(U25=Dienste!$A$21,Dienste!$C$21,IF(U25=Dienste!$A$22,Dienste!$C$22,IF(U25=Dienste!$A$23,Dienste!$C$23,IF(U25=Dienste!$A$24,Dienste!$C$24,IF(U25=Dienste!$A$25,Dienste!$C$25,IF(U25=Dienste!$A$26,Dienste!$C$26,IF(U25=Dienste!$A$27,Dienste!$C$27,IF(U25=Dienste!$A$28,Dienste!$C$28,IF(U25=Dienste!#REF!,Dienste!#REF!,IF(U25=Dienste!#REF!,Dienste!#REF!,IF(U25=Dienste!#REF!,Dienste!#REF!,IF(U25=Dienste!#REF!,Dienste!#REF!,IF(U25=Dienste!$A$33,Dienste!$C$33,IF(U25=Dienste!$A$34,Dienste!$C$34,IF(U25=Dienste!$A$35,Dienste!$C$35,IF(U25=Dienste!$A$36,Dienste!$C$36,)))))))))))))))))))))))))))))))))))</f>
        <v>8</v>
      </c>
      <c r="BP25" s="27">
        <f>IF(V25=Dienste!$A$2,Dienste!$C$2,IF(V25=Dienste!$A$3,Dienste!$C$3,IF(V25=Dienste!$A$4,Dienste!$C$4,IF(V25=Dienste!$A$5,Dienste!$C$5,IF(V25=Dienste!$A$6,Dienste!$C$6,IF(V25=Dienste!$A$7,Dienste!$C$7,IF(V25=Dienste!$A$8,Dienste!$C$8,IF(V25=Dienste!$A$9,Dienste!$C$9,IF(V25=Dienste!$A$10,Dienste!$C$10,IF(V25=Dienste!$A$11,Dienste!$C$11,IF(V25=Dienste!$A$12,Dienste!$C$12,IF(V25=Dienste!$A$13,Dienste!$C$13,IF(V25=Dienste!$A$14,Dienste!$C$14,IF(V25=Dienste!$A$15,Dienste!$C$15,IF(V25=Dienste!$A$16,Dienste!$C$16,IF(V25=Dienste!$A$17,Dienste!$C$17,IF(V25=Dienste!$A$18,Dienste!$C$18,IF(V25=Dienste!$A$19,Dienste!$C$19,IF(V25=Dienste!$A$20,Dienste!$C$20,IF(V25=Dienste!$A$21,Dienste!$C$21,IF(V25=Dienste!$A$22,Dienste!$C$22,IF(V25=Dienste!$A$23,Dienste!$C$23,IF(V25=Dienste!$A$24,Dienste!$C$24,IF(V25=Dienste!$A$25,Dienste!$C$25,IF(V25=Dienste!$A$26,Dienste!$C$26,IF(V25=Dienste!$A$27,Dienste!$C$27,IF(V25=Dienste!$A$28,Dienste!$C$28,IF(V25=Dienste!#REF!,Dienste!#REF!,IF(V25=Dienste!#REF!,Dienste!#REF!,IF(V25=Dienste!#REF!,Dienste!#REF!,IF(V25=Dienste!#REF!,Dienste!#REF!,IF(V25=Dienste!$A$33,Dienste!$C$33,IF(V25=Dienste!$A$34,Dienste!$C$34,IF(V25=Dienste!$A$35,Dienste!$C$35,IF(V25=Dienste!$A$36,Dienste!$C$36,)))))))))))))))))))))))))))))))))))</f>
        <v>8</v>
      </c>
      <c r="BQ25" s="27" t="e">
        <f>IF(W25=Dienste!$A$2,Dienste!$C$2,IF(W25=Dienste!$A$3,Dienste!$C$3,IF(W25=Dienste!$A$4,Dienste!$C$4,IF(W25=Dienste!$A$5,Dienste!$C$5,IF(W25=Dienste!$A$6,Dienste!$C$6,IF(W25=Dienste!$A$7,Dienste!$C$7,IF(W25=Dienste!$A$8,Dienste!$C$8,IF(W25=Dienste!$A$9,Dienste!$C$9,IF(W25=Dienste!$A$10,Dienste!$C$10,IF(W25=Dienste!$A$11,Dienste!$C$11,IF(W25=Dienste!$A$12,Dienste!$C$12,IF(W25=Dienste!$A$13,Dienste!$C$13,IF(W25=Dienste!$A$14,Dienste!$C$14,IF(W25=Dienste!$A$15,Dienste!$C$15,IF(W25=Dienste!$A$16,Dienste!$C$16,IF(W25=Dienste!$A$17,Dienste!$C$17,IF(W25=Dienste!$A$18,Dienste!$C$18,IF(W25=Dienste!$A$19,Dienste!$C$19,IF(W25=Dienste!$A$20,Dienste!$C$20,IF(W25=Dienste!$A$21,Dienste!$C$21,IF(W25=Dienste!$A$22,Dienste!$C$22,IF(W25=Dienste!$A$23,Dienste!$C$23,IF(W25=Dienste!$A$24,Dienste!$C$24,IF(W25=Dienste!$A$25,Dienste!$C$25,IF(W25=Dienste!$A$26,Dienste!$C$26,IF(W25=Dienste!$A$27,Dienste!$C$27,IF(W25=Dienste!$A$28,Dienste!$C$28,IF(W25=Dienste!#REF!,Dienste!#REF!,IF(W25=Dienste!#REF!,Dienste!#REF!,IF(W25=Dienste!#REF!,Dienste!#REF!,IF(W25=Dienste!#REF!,Dienste!#REF!,IF(W25=Dienste!$A$33,Dienste!$C$33,IF(W25=Dienste!$A$34,Dienste!$C$34,IF(W25=Dienste!$A$35,Dienste!$C$35,IF(W25=Dienste!$A$36,Dienste!$C$36,)))))))))))))))))))))))))))))))))))</f>
        <v>#REF!</v>
      </c>
      <c r="BR25" s="27">
        <f>IF(X25=Dienste!$A$2,Dienste!$C$2,IF(X25=Dienste!$A$3,Dienste!$C$3,IF(X25=Dienste!$A$4,Dienste!$C$4,IF(X25=Dienste!$A$5,Dienste!$C$5,IF(X25=Dienste!$A$6,Dienste!$C$6,IF(X25=Dienste!$A$7,Dienste!$C$7,IF(X25=Dienste!$A$8,Dienste!$C$8,IF(X25=Dienste!$A$9,Dienste!$C$9,IF(X25=Dienste!$A$10,Dienste!$C$10,IF(X25=Dienste!$A$11,Dienste!$C$11,IF(X25=Dienste!$A$12,Dienste!$C$12,IF(X25=Dienste!$A$13,Dienste!$C$13,IF(X25=Dienste!$A$14,Dienste!$C$14,IF(X25=Dienste!$A$15,Dienste!$C$15,IF(X25=Dienste!$A$16,Dienste!$C$16,IF(X25=Dienste!$A$17,Dienste!$C$17,IF(X25=Dienste!$A$18,Dienste!$C$18,IF(X25=Dienste!$A$19,Dienste!$C$19,IF(X25=Dienste!$A$20,Dienste!$C$20,IF(X25=Dienste!$A$21,Dienste!$C$21,IF(X25=Dienste!$A$22,Dienste!$C$22,IF(X25=Dienste!$A$23,Dienste!$C$23,IF(X25=Dienste!$A$24,Dienste!$C$24,IF(X25=Dienste!$A$25,Dienste!$C$25,IF(X25=Dienste!$A$26,Dienste!$C$26,IF(X25=Dienste!$A$27,Dienste!$C$27,IF(X25=Dienste!$A$28,Dienste!$C$28,IF(X25=Dienste!#REF!,Dienste!#REF!,IF(X25=Dienste!#REF!,Dienste!#REF!,IF(X25=Dienste!#REF!,Dienste!#REF!,IF(X25=Dienste!#REF!,Dienste!#REF!,IF(X25=Dienste!$A$33,Dienste!$C$33,IF(X25=Dienste!$A$34,Dienste!$C$34,IF(X25=Dienste!$A$35,Dienste!$C$35,IF(X25=Dienste!$A$36,Dienste!$C$36,)))))))))))))))))))))))))))))))))))</f>
        <v>8</v>
      </c>
      <c r="BS25" s="27">
        <f>IF(Y25=Dienste!$A$2,Dienste!$C$2,IF(Y25=Dienste!$A$3,Dienste!$C$3,IF(Y25=Dienste!$A$4,Dienste!$C$4,IF(Y25=Dienste!$A$5,Dienste!$C$5,IF(Y25=Dienste!$A$6,Dienste!$C$6,IF(Y25=Dienste!$A$7,Dienste!$C$7,IF(Y25=Dienste!$A$8,Dienste!$C$8,IF(Y25=Dienste!$A$9,Dienste!$C$9,IF(Y25=Dienste!$A$10,Dienste!$C$10,IF(Y25=Dienste!$A$11,Dienste!$C$11,IF(Y25=Dienste!$A$12,Dienste!$C$12,IF(Y25=Dienste!$A$13,Dienste!$C$13,IF(Y25=Dienste!$A$14,Dienste!$C$14,IF(Y25=Dienste!$A$15,Dienste!$C$15,IF(Y25=Dienste!$A$16,Dienste!$C$16,IF(Y25=Dienste!$A$17,Dienste!$C$17,IF(Y25=Dienste!$A$18,Dienste!$C$18,IF(Y25=Dienste!$A$19,Dienste!$C$19,IF(Y25=Dienste!$A$20,Dienste!$C$20,IF(Y25=Dienste!$A$21,Dienste!$C$21,IF(Y25=Dienste!$A$22,Dienste!$C$22,IF(Y25=Dienste!$A$23,Dienste!$C$23,IF(Y25=Dienste!$A$24,Dienste!$C$24,IF(Y25=Dienste!$A$25,Dienste!$C$25,IF(Y25=Dienste!$A$26,Dienste!$C$26,IF(Y25=Dienste!$A$27,Dienste!$C$27,IF(Y25=Dienste!$A$28,Dienste!$C$28,IF(Y25=Dienste!#REF!,Dienste!#REF!,IF(Y25=Dienste!#REF!,Dienste!#REF!,IF(Y25=Dienste!#REF!,Dienste!#REF!,IF(Y25=Dienste!#REF!,Dienste!#REF!,IF(Y25=Dienste!$A$33,Dienste!$C$33,IF(Y25=Dienste!$A$34,Dienste!$C$34,IF(Y25=Dienste!$A$35,Dienste!$C$35,IF(Y25=Dienste!$A$36,Dienste!$C$36,)))))))))))))))))))))))))))))))))))</f>
        <v>0</v>
      </c>
      <c r="BT25" s="27">
        <f>IF(Z25=Dienste!$A$2,Dienste!$C$2,IF(Z25=Dienste!$A$3,Dienste!$C$3,IF(Z25=Dienste!$A$4,Dienste!$C$4,IF(Z25=Dienste!$A$5,Dienste!$C$5,IF(Z25=Dienste!$A$6,Dienste!$C$6,IF(Z25=Dienste!$A$7,Dienste!$C$7,IF(Z25=Dienste!$A$8,Dienste!$C$8,IF(Z25=Dienste!$A$9,Dienste!$C$9,IF(Z25=Dienste!$A$10,Dienste!$C$10,IF(Z25=Dienste!$A$11,Dienste!$C$11,IF(Z25=Dienste!$A$12,Dienste!$C$12,IF(Z25=Dienste!$A$13,Dienste!$C$13,IF(Z25=Dienste!$A$14,Dienste!$C$14,IF(Z25=Dienste!$A$15,Dienste!$C$15,IF(Z25=Dienste!$A$16,Dienste!$C$16,IF(Z25=Dienste!$A$17,Dienste!$C$17,IF(Z25=Dienste!$A$18,Dienste!$C$18,IF(Z25=Dienste!$A$19,Dienste!$C$19,IF(Z25=Dienste!$A$20,Dienste!$C$20,IF(Z25=Dienste!$A$21,Dienste!$C$21,IF(Z25=Dienste!$A$22,Dienste!$C$22,IF(Z25=Dienste!$A$23,Dienste!$C$23,IF(Z25=Dienste!$A$24,Dienste!$C$24,IF(Z25=Dienste!$A$25,Dienste!$C$25,IF(Z25=Dienste!$A$26,Dienste!$C$26,IF(Z25=Dienste!$A$27,Dienste!$C$27,IF(Z25=Dienste!$A$28,Dienste!$C$28,IF(Z25=Dienste!#REF!,Dienste!#REF!,IF(Z25=Dienste!#REF!,Dienste!#REF!,IF(Z25=Dienste!#REF!,Dienste!#REF!,IF(Z25=Dienste!#REF!,Dienste!#REF!,IF(Z25=Dienste!$A$33,Dienste!$C$33,IF(Z25=Dienste!$A$34,Dienste!$C$34,IF(Z25=Dienste!$A$35,Dienste!$C$35,IF(Z25=Dienste!$A$36,Dienste!$C$36,)))))))))))))))))))))))))))))))))))</f>
        <v>0</v>
      </c>
      <c r="BU25" s="27">
        <f>IF(AA25=Dienste!$A$2,Dienste!$C$2,IF(AA25=Dienste!$A$3,Dienste!$C$3,IF(AA25=Dienste!$A$4,Dienste!$C$4,IF(AA25=Dienste!$A$5,Dienste!$C$5,IF(AA25=Dienste!$A$6,Dienste!$C$6,IF(AA25=Dienste!$A$7,Dienste!$C$7,IF(AA25=Dienste!$A$8,Dienste!$C$8,IF(AA25=Dienste!$A$9,Dienste!$C$9,IF(AA25=Dienste!$A$10,Dienste!$C$10,IF(AA25=Dienste!$A$11,Dienste!$C$11,IF(AA25=Dienste!$A$12,Dienste!$C$12,IF(AA25=Dienste!$A$13,Dienste!$C$13,IF(AA25=Dienste!$A$14,Dienste!$C$14,IF(AA25=Dienste!$A$15,Dienste!$C$15,IF(AA25=Dienste!$A$16,Dienste!$C$16,IF(AA25=Dienste!$A$17,Dienste!$C$17,IF(AA25=Dienste!$A$18,Dienste!$C$18,IF(AA25=Dienste!$A$19,Dienste!$C$19,IF(AA25=Dienste!$A$20,Dienste!$C$20,IF(AA25=Dienste!$A$21,Dienste!$C$21,IF(AA25=Dienste!$A$22,Dienste!$C$22,IF(AA25=Dienste!$A$23,Dienste!$C$23,IF(AA25=Dienste!$A$24,Dienste!$C$24,IF(AA25=Dienste!$A$25,Dienste!$C$25,IF(AA25=Dienste!$A$26,Dienste!$C$26,IF(AA25=Dienste!$A$27,Dienste!$C$27,IF(AA25=Dienste!$A$28,Dienste!$C$28,IF(AA25=Dienste!#REF!,Dienste!#REF!,IF(AA25=Dienste!#REF!,Dienste!#REF!,IF(AA25=Dienste!#REF!,Dienste!#REF!,IF(AA25=Dienste!#REF!,Dienste!#REF!,IF(AA25=Dienste!$A$33,Dienste!$C$33,IF(AA25=Dienste!$A$34,Dienste!$C$34,IF(AA25=Dienste!$A$35,Dienste!$C$35,IF(AA25=Dienste!$A$36,Dienste!$C$36,)))))))))))))))))))))))))))))))))))</f>
        <v>8</v>
      </c>
      <c r="BV25" s="27">
        <f>IF(AB25=Dienste!$A$2,Dienste!$C$2,IF(AB25=Dienste!$A$3,Dienste!$C$3,IF(AB25=Dienste!$A$4,Dienste!$C$4,IF(AB25=Dienste!$A$5,Dienste!$C$5,IF(AB25=Dienste!$A$6,Dienste!$C$6,IF(AB25=Dienste!$A$7,Dienste!$C$7,IF(AB25=Dienste!$A$8,Dienste!$C$8,IF(AB25=Dienste!$A$9,Dienste!$C$9,IF(AB25=Dienste!$A$10,Dienste!$C$10,IF(AB25=Dienste!$A$11,Dienste!$C$11,IF(AB25=Dienste!$A$12,Dienste!$C$12,IF(AB25=Dienste!$A$13,Dienste!$C$13,IF(AB25=Dienste!$A$14,Dienste!$C$14,IF(AB25=Dienste!$A$15,Dienste!$C$15,IF(AB25=Dienste!$A$16,Dienste!$C$16,IF(AB25=Dienste!$A$17,Dienste!$C$17,IF(AB25=Dienste!$A$18,Dienste!$C$18,IF(AB25=Dienste!$A$19,Dienste!$C$19,IF(AB25=Dienste!$A$20,Dienste!$C$20,IF(AB25=Dienste!$A$21,Dienste!$C$21,IF(AB25=Dienste!$A$22,Dienste!$C$22,IF(AB25=Dienste!$A$23,Dienste!$C$23,IF(AB25=Dienste!$A$24,Dienste!$C$24,IF(AB25=Dienste!$A$25,Dienste!$C$25,IF(AB25=Dienste!$A$26,Dienste!$C$26,IF(AB25=Dienste!$A$27,Dienste!$C$27,IF(AB25=Dienste!$A$28,Dienste!$C$28,IF(AB25=Dienste!#REF!,Dienste!#REF!,IF(AB25=Dienste!#REF!,Dienste!#REF!,IF(AB25=Dienste!#REF!,Dienste!#REF!,IF(AB25=Dienste!#REF!,Dienste!#REF!,IF(AB25=Dienste!$A$33,Dienste!$C$33,IF(AB25=Dienste!$A$34,Dienste!$C$34,IF(AB25=Dienste!$A$35,Dienste!$C$35,IF(AB25=Dienste!$A$36,Dienste!$C$36,)))))))))))))))))))))))))))))))))))</f>
        <v>8</v>
      </c>
      <c r="BW25" s="27">
        <f>IF(AC25=Dienste!$A$2,Dienste!$C$2,IF(AC25=Dienste!$A$3,Dienste!$C$3,IF(AC25=Dienste!$A$4,Dienste!$C$4,IF(AC25=Dienste!$A$5,Dienste!$C$5,IF(AC25=Dienste!$A$6,Dienste!$C$6,IF(AC25=Dienste!$A$7,Dienste!$C$7,IF(AC25=Dienste!$A$8,Dienste!$C$8,IF(AC25=Dienste!$A$9,Dienste!$C$9,IF(AC25=Dienste!$A$10,Dienste!$C$10,IF(AC25=Dienste!$A$11,Dienste!$C$11,IF(AC25=Dienste!$A$12,Dienste!$C$12,IF(AC25=Dienste!$A$13,Dienste!$C$13,IF(AC25=Dienste!$A$14,Dienste!$C$14,IF(AC25=Dienste!$A$15,Dienste!$C$15,IF(AC25=Dienste!$A$16,Dienste!$C$16,IF(AC25=Dienste!$A$17,Dienste!$C$17,IF(AC25=Dienste!$A$18,Dienste!$C$18,IF(AC25=Dienste!$A$19,Dienste!$C$19,IF(AC25=Dienste!$A$20,Dienste!$C$20,IF(AC25=Dienste!$A$21,Dienste!$C$21,IF(AC25=Dienste!$A$22,Dienste!$C$22,IF(AC25=Dienste!$A$23,Dienste!$C$23,IF(AC25=Dienste!$A$24,Dienste!$C$24,IF(AC25=Dienste!$A$25,Dienste!$C$25,IF(AC25=Dienste!$A$26,Dienste!$C$26,IF(AC25=Dienste!$A$27,Dienste!$C$27,IF(AC25=Dienste!$A$28,Dienste!$C$28,IF(AC25=Dienste!#REF!,Dienste!#REF!,IF(AC25=Dienste!#REF!,Dienste!#REF!,IF(AC25=Dienste!#REF!,Dienste!#REF!,IF(AC25=Dienste!#REF!,Dienste!#REF!,IF(AC25=Dienste!$A$33,Dienste!$C$33,IF(AC25=Dienste!$A$34,Dienste!$C$34,IF(AC25=Dienste!$A$35,Dienste!$C$35,IF(AC25=Dienste!$A$36,Dienste!$C$36,)))))))))))))))))))))))))))))))))))</f>
        <v>8</v>
      </c>
      <c r="BX25" s="27">
        <f>IF(AD25=Dienste!$A$2,Dienste!$C$2,IF(AD25=Dienste!$A$3,Dienste!$C$3,IF(AD25=Dienste!$A$4,Dienste!$C$4,IF(AD25=Dienste!$A$5,Dienste!$C$5,IF(AD25=Dienste!$A$6,Dienste!$C$6,IF(AD25=Dienste!$A$7,Dienste!$C$7,IF(AD25=Dienste!$A$8,Dienste!$C$8,IF(AD25=Dienste!$A$9,Dienste!$C$9,IF(AD25=Dienste!$A$10,Dienste!$C$10,IF(AD25=Dienste!$A$11,Dienste!$C$11,IF(AD25=Dienste!$A$12,Dienste!$C$12,IF(AD25=Dienste!$A$13,Dienste!$C$13,IF(AD25=Dienste!$A$14,Dienste!$C$14,IF(AD25=Dienste!$A$15,Dienste!$C$15,IF(AD25=Dienste!$A$16,Dienste!$C$16,IF(AD25=Dienste!$A$17,Dienste!$C$17,IF(AD25=Dienste!$A$18,Dienste!$C$18,IF(AD25=Dienste!$A$19,Dienste!$C$19,IF(AD25=Dienste!$A$20,Dienste!$C$20,IF(AD25=Dienste!$A$21,Dienste!$C$21,IF(AD25=Dienste!$A$22,Dienste!$C$22,IF(AD25=Dienste!$A$23,Dienste!$C$23,IF(AD25=Dienste!$A$24,Dienste!$C$24,IF(AD25=Dienste!$A$25,Dienste!$C$25,IF(AD25=Dienste!$A$26,Dienste!$C$26,IF(AD25=Dienste!$A$27,Dienste!$C$27,IF(AD25=Dienste!$A$28,Dienste!$C$28,IF(AD25=Dienste!#REF!,Dienste!#REF!,IF(AD25=Dienste!#REF!,Dienste!#REF!,IF(AD25=Dienste!#REF!,Dienste!#REF!,IF(AD25=Dienste!#REF!,Dienste!#REF!,IF(AD25=Dienste!$A$33,Dienste!$C$33,IF(AD25=Dienste!$A$34,Dienste!$C$34,IF(AD25=Dienste!$A$35,Dienste!$C$35,IF(AD25=Dienste!$A$36,Dienste!$C$36,)))))))))))))))))))))))))))))))))))</f>
        <v>8</v>
      </c>
      <c r="BY25" s="27">
        <f>IF(AE25=Dienste!$A$2,Dienste!$C$2,IF(AE25=Dienste!$A$3,Dienste!$C$3,IF(AE25=Dienste!$A$4,Dienste!$C$4,IF(AE25=Dienste!$A$5,Dienste!$C$5,IF(AE25=Dienste!$A$6,Dienste!$C$6,IF(AE25=Dienste!$A$7,Dienste!$C$7,IF(AE25=Dienste!$A$8,Dienste!$C$8,IF(AE25=Dienste!$A$9,Dienste!$C$9,IF(AE25=Dienste!$A$10,Dienste!$C$10,IF(AE25=Dienste!$A$11,Dienste!$C$11,IF(AE25=Dienste!$A$12,Dienste!$C$12,IF(AE25=Dienste!$A$13,Dienste!$C$13,IF(AE25=Dienste!$A$14,Dienste!$C$14,IF(AE25=Dienste!$A$15,Dienste!$C$15,IF(AE25=Dienste!$A$16,Dienste!$C$16,IF(AE25=Dienste!$A$17,Dienste!$C$17,IF(AE25=Dienste!$A$18,Dienste!$C$18,IF(AE25=Dienste!$A$19,Dienste!$C$19,IF(AE25=Dienste!$A$20,Dienste!$C$20,IF(AE25=Dienste!$A$21,Dienste!$C$21,IF(AE25=Dienste!$A$22,Dienste!$C$22,IF(AE25=Dienste!$A$23,Dienste!$C$23,IF(AE25=Dienste!$A$24,Dienste!$C$24,IF(AE25=Dienste!$A$25,Dienste!$C$25,IF(AE25=Dienste!$A$26,Dienste!$C$26,IF(AE25=Dienste!$A$27,Dienste!$C$27,IF(AE25=Dienste!$A$28,Dienste!$C$28,IF(AE25=Dienste!#REF!,Dienste!#REF!,IF(AE25=Dienste!#REF!,Dienste!#REF!,IF(AE25=Dienste!#REF!,Dienste!#REF!,IF(AE25=Dienste!#REF!,Dienste!#REF!,IF(AE25=Dienste!$A$33,Dienste!$C$33,IF(AE25=Dienste!$A$34,Dienste!$C$34,IF(AE25=Dienste!$A$35,Dienste!$C$35,IF(AE25=Dienste!$A$36,Dienste!$C$36,)))))))))))))))))))))))))))))))))))</f>
        <v>8</v>
      </c>
      <c r="BZ25" s="27">
        <f>IF(AF25=Dienste!$A$2,Dienste!$C$2,IF(AF25=Dienste!$A$3,Dienste!$C$3,IF(AF25=Dienste!$A$4,Dienste!$C$4,IF(AF25=Dienste!$A$5,Dienste!$C$5,IF(AF25=Dienste!$A$6,Dienste!$C$6,IF(AF25=Dienste!$A$7,Dienste!$C$7,IF(AF25=Dienste!$A$8,Dienste!$C$8,IF(AF25=Dienste!$A$9,Dienste!$C$9,IF(AF25=Dienste!$A$10,Dienste!$C$10,IF(AF25=Dienste!$A$11,Dienste!$C$11,IF(AF25=Dienste!$A$12,Dienste!$C$12,IF(AF25=Dienste!$A$13,Dienste!$C$13,IF(AF25=Dienste!$A$14,Dienste!$C$14,IF(AF25=Dienste!$A$15,Dienste!$C$15,IF(AF25=Dienste!$A$16,Dienste!$C$16,IF(AF25=Dienste!$A$17,Dienste!$C$17,IF(AF25=Dienste!$A$18,Dienste!$C$18,IF(AF25=Dienste!$A$19,Dienste!$C$19,IF(AF25=Dienste!$A$20,Dienste!$C$20,IF(AF25=Dienste!$A$21,Dienste!$C$21,IF(AF25=Dienste!$A$22,Dienste!$C$22,IF(AF25=Dienste!$A$23,Dienste!$C$23,IF(AF25=Dienste!$A$24,Dienste!$C$24,IF(AF25=Dienste!$A$25,Dienste!$C$25,IF(AF25=Dienste!$A$26,Dienste!$C$26,IF(AF25=Dienste!$A$27,Dienste!$C$27,IF(AF25=Dienste!$A$28,Dienste!$C$28,IF(AF25=Dienste!#REF!,Dienste!#REF!,IF(AF25=Dienste!#REF!,Dienste!#REF!,IF(AF25=Dienste!#REF!,Dienste!#REF!,IF(AF25=Dienste!#REF!,Dienste!#REF!,IF(AF25=Dienste!$A$33,Dienste!$C$33,IF(AF25=Dienste!$A$34,Dienste!$C$34,IF(AF25=Dienste!$A$35,Dienste!$C$35,IF(AF25=Dienste!$A$36,Dienste!$C$36,)))))))))))))))))))))))))))))))))))</f>
        <v>8</v>
      </c>
      <c r="CA25" s="27">
        <f>IF(AG25=Dienste!$A$2,Dienste!$C$2,IF(AG25=Dienste!$A$3,Dienste!$C$3,IF(AG25=Dienste!$A$4,Dienste!$C$4,IF(AG25=Dienste!$A$5,Dienste!$C$5,IF(AG25=Dienste!$A$6,Dienste!$C$6,IF(AG25=Dienste!$A$7,Dienste!$C$7,IF(AG25=Dienste!$A$8,Dienste!$C$8,IF(AG25=Dienste!$A$9,Dienste!$C$9,IF(AG25=Dienste!$A$10,Dienste!$C$10,IF(AG25=Dienste!$A$11,Dienste!$C$11,IF(AG25=Dienste!$A$12,Dienste!$C$12,IF(AG25=Dienste!$A$13,Dienste!$C$13,IF(AG25=Dienste!$A$14,Dienste!$C$14,IF(AG25=Dienste!$A$15,Dienste!$C$15,IF(AG25=Dienste!$A$16,Dienste!$C$16,IF(AG25=Dienste!$A$17,Dienste!$C$17,IF(AG25=Dienste!$A$18,Dienste!$C$18,IF(AG25=Dienste!$A$19,Dienste!$C$19,IF(AG25=Dienste!$A$20,Dienste!$C$20,IF(AG25=Dienste!$A$21,Dienste!$C$21,IF(AG25=Dienste!$A$22,Dienste!$C$22,IF(AG25=Dienste!$A$23,Dienste!$C$23,IF(AG25=Dienste!$A$24,Dienste!$C$24,IF(AG25=Dienste!$A$25,Dienste!$C$25,IF(AG25=Dienste!$A$26,Dienste!$C$26,IF(AG25=Dienste!$A$27,Dienste!$C$27,IF(AG25=Dienste!$A$28,Dienste!$C$28,IF(AG25=Dienste!#REF!,Dienste!#REF!,IF(AG25=Dienste!#REF!,Dienste!#REF!,IF(AG25=Dienste!#REF!,Dienste!#REF!,IF(AG25=Dienste!#REF!,Dienste!#REF!,IF(AG25=Dienste!$A$33,Dienste!$C$33,IF(AG25=Dienste!$A$34,Dienste!$C$34,IF(AG25=Dienste!$A$35,Dienste!$C$35,IF(AG25=Dienste!$A$36,Dienste!$C$36,)))))))))))))))))))))))))))))))))))</f>
        <v>8</v>
      </c>
      <c r="CB25" s="27">
        <f>IF(AH25=Dienste!$A$2,Dienste!$C$2,IF(AH25=Dienste!$A$3,Dienste!$C$3,IF(AH25=Dienste!$A$4,Dienste!$C$4,IF(AH25=Dienste!$A$5,Dienste!$C$5,IF(AH25=Dienste!$A$6,Dienste!$C$6,IF(AH25=Dienste!$A$7,Dienste!$C$7,IF(AH25=Dienste!$A$8,Dienste!$C$8,IF(AH25=Dienste!$A$9,Dienste!$C$9,IF(AH25=Dienste!$A$10,Dienste!$C$10,IF(AH25=Dienste!$A$11,Dienste!$C$11,IF(AH25=Dienste!$A$12,Dienste!$C$12,IF(AH25=Dienste!$A$13,Dienste!$C$13,IF(AH25=Dienste!$A$14,Dienste!$C$14,IF(AH25=Dienste!$A$15,Dienste!$C$15,IF(AH25=Dienste!$A$16,Dienste!$C$16,IF(AH25=Dienste!$A$17,Dienste!$C$17,IF(AH25=Dienste!$A$18,Dienste!$C$18,IF(AH25=Dienste!$A$19,Dienste!$C$19,IF(AH25=Dienste!$A$20,Dienste!$C$20,IF(AH25=Dienste!$A$21,Dienste!$C$21,IF(AH25=Dienste!$A$22,Dienste!$C$22,IF(AH25=Dienste!$A$23,Dienste!$C$23,IF(AH25=Dienste!$A$24,Dienste!$C$24,IF(AH25=Dienste!$A$25,Dienste!$C$25,IF(AH25=Dienste!$A$26,Dienste!$C$26,IF(AH25=Dienste!$A$27,Dienste!$C$27,IF(AH25=Dienste!$A$28,Dienste!$C$28,IF(AH25=Dienste!#REF!,Dienste!#REF!,IF(AH25=Dienste!#REF!,Dienste!#REF!,IF(AH25=Dienste!#REF!,Dienste!#REF!,IF(AH25=Dienste!#REF!,Dienste!#REF!,IF(AH25=Dienste!$A$33,Dienste!$C$33,IF(AH25=Dienste!$A$34,Dienste!$C$34,IF(AH25=Dienste!$A$35,Dienste!$C$35,IF(AH25=Dienste!$A$36,Dienste!$C$36,)))))))))))))))))))))))))))))))))))</f>
        <v>8</v>
      </c>
      <c r="CC25" s="27" t="e">
        <f>IF(AI25=Dienste!$A$2,Dienste!$C$2,IF(AI25=Dienste!$A$3,Dienste!$C$3,IF(AI25=Dienste!$A$4,Dienste!$C$4,IF(AI25=Dienste!$A$5,Dienste!$C$5,IF(AI25=Dienste!$A$6,Dienste!$C$6,IF(AI25=Dienste!$A$7,Dienste!$C$7,IF(AI25=Dienste!$A$8,Dienste!$C$8,IF(AI25=Dienste!$A$9,Dienste!$C$9,IF(AI25=Dienste!$A$10,Dienste!$C$10,IF(AI25=Dienste!$A$11,Dienste!$C$11,IF(AI25=Dienste!$A$12,Dienste!$C$12,IF(AI25=Dienste!$A$13,Dienste!$C$13,IF(AI25=Dienste!$A$14,Dienste!$C$14,IF(AI25=Dienste!$A$15,Dienste!$C$15,IF(AI25=Dienste!$A$16,Dienste!$C$16,IF(AI25=Dienste!$A$17,Dienste!$C$17,IF(AI25=Dienste!$A$18,Dienste!$C$18,IF(AI25=Dienste!$A$19,Dienste!$C$19,IF(AI25=Dienste!$A$20,Dienste!$C$20,IF(AI25=Dienste!$A$21,Dienste!$C$21,IF(AI25=Dienste!$A$22,Dienste!$C$22,IF(AI25=Dienste!$A$23,Dienste!$C$23,IF(AI25=Dienste!$A$24,Dienste!$C$24,IF(AI25=Dienste!$A$25,Dienste!$C$25,IF(AI25=Dienste!$A$26,Dienste!$C$26,IF(AI25=Dienste!$A$27,Dienste!$C$27,IF(AI25=Dienste!$A$28,Dienste!$C$28,IF(AI25=Dienste!#REF!,Dienste!#REF!,IF(AI25=Dienste!#REF!,Dienste!#REF!,IF(AI25=Dienste!#REF!,Dienste!#REF!,IF(AI25=Dienste!#REF!,Dienste!#REF!,IF(AI25=Dienste!$A$33,Dienste!$C$33,IF(AI25=Dienste!$A$34,Dienste!$C$34,IF(AI25=Dienste!$A$35,Dienste!$C$35,IF(AI25=Dienste!$A$36,Dienste!$C$36,)))))))))))))))))))))))))))))))))))</f>
        <v>#REF!</v>
      </c>
    </row>
    <row r="26" spans="1:81" x14ac:dyDescent="0.25">
      <c r="A26" s="109" t="s">
        <v>140</v>
      </c>
      <c r="B26" s="15" t="s">
        <v>231</v>
      </c>
      <c r="C26" s="15">
        <v>40</v>
      </c>
      <c r="D26" s="98">
        <v>1</v>
      </c>
      <c r="E26" s="104" t="s">
        <v>83</v>
      </c>
      <c r="F26" s="9" t="s">
        <v>31</v>
      </c>
      <c r="G26" s="9" t="s">
        <v>17</v>
      </c>
      <c r="H26" s="9" t="s">
        <v>65</v>
      </c>
      <c r="I26" s="9" t="s">
        <v>31</v>
      </c>
      <c r="J26" s="9" t="s">
        <v>31</v>
      </c>
      <c r="K26" s="9" t="s">
        <v>83</v>
      </c>
      <c r="L26" s="9" t="s">
        <v>83</v>
      </c>
      <c r="M26" s="9" t="s">
        <v>17</v>
      </c>
      <c r="N26" s="9" t="s">
        <v>65</v>
      </c>
      <c r="O26" s="9" t="s">
        <v>168</v>
      </c>
      <c r="P26" s="9" t="s">
        <v>26</v>
      </c>
      <c r="Q26" s="9" t="s">
        <v>26</v>
      </c>
      <c r="R26" s="9" t="s">
        <v>26</v>
      </c>
      <c r="S26" s="9" t="s">
        <v>26</v>
      </c>
      <c r="T26" s="9" t="s">
        <v>26</v>
      </c>
      <c r="U26" s="9" t="s">
        <v>53</v>
      </c>
      <c r="V26" s="9" t="s">
        <v>65</v>
      </c>
      <c r="W26" s="9" t="s">
        <v>83</v>
      </c>
      <c r="X26" s="9" t="s">
        <v>83</v>
      </c>
      <c r="Y26" s="9" t="s">
        <v>83</v>
      </c>
      <c r="Z26" s="9" t="s">
        <v>83</v>
      </c>
      <c r="AA26" s="9" t="s">
        <v>53</v>
      </c>
      <c r="AB26" s="9" t="s">
        <v>65</v>
      </c>
      <c r="AC26" s="9" t="s">
        <v>31</v>
      </c>
      <c r="AD26" s="9" t="s">
        <v>31</v>
      </c>
      <c r="AE26" s="9" t="s">
        <v>31</v>
      </c>
      <c r="AF26" s="9" t="s">
        <v>83</v>
      </c>
      <c r="AG26" s="9" t="s">
        <v>83</v>
      </c>
      <c r="AH26" s="9" t="s">
        <v>17</v>
      </c>
      <c r="AI26" s="15"/>
      <c r="AJ26" s="109">
        <v>8.4</v>
      </c>
      <c r="AK26" s="15">
        <v>168</v>
      </c>
      <c r="AL26" s="109">
        <v>170</v>
      </c>
      <c r="AM26" s="15">
        <v>10.4</v>
      </c>
      <c r="AN26" s="170">
        <v>2</v>
      </c>
      <c r="AO26" s="109">
        <v>20.85</v>
      </c>
      <c r="AP26" s="15">
        <v>5</v>
      </c>
      <c r="AQ26" s="98">
        <v>4</v>
      </c>
      <c r="AR26" s="109">
        <v>60</v>
      </c>
      <c r="AS26" s="15">
        <v>42.180769230769229</v>
      </c>
      <c r="AT26" s="98">
        <v>26</v>
      </c>
      <c r="AU26" s="96" t="e">
        <f t="shared" si="2"/>
        <v>#REF!</v>
      </c>
      <c r="AV26" s="27" t="e">
        <f t="shared" si="0"/>
        <v>#REF!</v>
      </c>
      <c r="AW26" s="58" t="e">
        <f t="shared" si="1"/>
        <v>#REF!</v>
      </c>
      <c r="AY26" s="27">
        <f>IF(E26=Dienste!$A$2,Dienste!$C$2,IF(E26=Dienste!$A$3,Dienste!$C$3,IF(E26=Dienste!$A$4,Dienste!$C$4,IF(E26=Dienste!$A$5,Dienste!$C$5,IF(E26=Dienste!$A$6,Dienste!$C$6,IF(E26=Dienste!$A$7,Dienste!$C$7,IF(E26=Dienste!$A$8,Dienste!$C$8,IF(E26=Dienste!$A$9,Dienste!$C$9,IF(E26=Dienste!$A$10,Dienste!$C$10,IF(E26=Dienste!$A$11,Dienste!$C$11,IF(E26=Dienste!$A$12,Dienste!$C$12,IF(E26=Dienste!$A$13,Dienste!$C$13,IF(E26=Dienste!$A$14,Dienste!$C$14,IF(E26=Dienste!$A$15,Dienste!$C$15,IF(E26=Dienste!$A$16,Dienste!$C$16,IF(E26=Dienste!$A$17,Dienste!$C$17,IF(E26=Dienste!$A$18,Dienste!$C$18,IF(E26=Dienste!$A$19,Dienste!$C$19,IF(E26=Dienste!$A$20,Dienste!$C$20,IF(E26=Dienste!$A$21,Dienste!$C$21,IF(E26=Dienste!$A$22,Dienste!$C$22,IF(E26=Dienste!$A$23,Dienste!$C$23,IF(E26=Dienste!$A$24,Dienste!$C$24,IF(E26=Dienste!$A$25,Dienste!$C$25,IF(E26=Dienste!$A$26,Dienste!$C$26,IF(E26=Dienste!$A$27,Dienste!$C$27,IF(E26=Dienste!$A$28,Dienste!$C$28,IF(E26=Dienste!#REF!,Dienste!#REF!,IF(E26=Dienste!#REF!,Dienste!#REF!,IF(E26=Dienste!#REF!,Dienste!#REF!,IF(E26=Dienste!#REF!,Dienste!#REF!,IF(E26=Dienste!$A$33,Dienste!$C$33,IF(E26=Dienste!$A$34,Dienste!$C$34,IF(E26=Dienste!$A$35,Dienste!$C$35,IF(E26=Dienste!$A$36,Dienste!$C$36,)))))))))))))))))))))))))))))))))))</f>
        <v>0</v>
      </c>
      <c r="AZ26" s="27">
        <f>IF(F26=Dienste!$A$2,Dienste!$C$2,IF(F26=Dienste!$A$3,Dienste!$C$3,IF(F26=Dienste!$A$4,Dienste!$C$4,IF(F26=Dienste!$A$5,Dienste!$C$5,IF(F26=Dienste!$A$6,Dienste!$C$6,IF(F26=Dienste!$A$7,Dienste!$C$7,IF(F26=Dienste!$A$8,Dienste!$C$8,IF(F26=Dienste!$A$9,Dienste!$C$9,IF(F26=Dienste!$A$10,Dienste!$C$10,IF(F26=Dienste!$A$11,Dienste!$C$11,IF(F26=Dienste!$A$12,Dienste!$C$12,IF(F26=Dienste!$A$13,Dienste!$C$13,IF(F26=Dienste!$A$14,Dienste!$C$14,IF(F26=Dienste!$A$15,Dienste!$C$15,IF(F26=Dienste!$A$16,Dienste!$C$16,IF(F26=Dienste!$A$17,Dienste!$C$17,IF(F26=Dienste!$A$18,Dienste!$C$18,IF(F26=Dienste!$A$19,Dienste!$C$19,IF(F26=Dienste!$A$20,Dienste!$C$20,IF(F26=Dienste!$A$21,Dienste!$C$21,IF(F26=Dienste!$A$22,Dienste!$C$22,IF(F26=Dienste!$A$23,Dienste!$C$23,IF(F26=Dienste!$A$24,Dienste!$C$24,IF(F26=Dienste!$A$25,Dienste!$C$25,IF(F26=Dienste!$A$26,Dienste!$C$26,IF(F26=Dienste!$A$27,Dienste!$C$27,IF(F26=Dienste!$A$28,Dienste!$C$28,IF(F26=Dienste!#REF!,Dienste!#REF!,IF(F26=Dienste!#REF!,Dienste!#REF!,IF(F26=Dienste!#REF!,Dienste!#REF!,IF(F26=Dienste!#REF!,Dienste!#REF!,IF(F26=Dienste!$A$33,Dienste!$C$33,IF(F26=Dienste!$A$34,Dienste!$C$34,IF(F26=Dienste!$A$35,Dienste!$C$35,IF(F26=Dienste!$A$36,Dienste!$C$36,)))))))))))))))))))))))))))))))))))</f>
        <v>8</v>
      </c>
      <c r="BA26" s="27">
        <f>IF(G26=Dienste!$A$2,Dienste!$C$2,IF(G26=Dienste!$A$3,Dienste!$C$3,IF(G26=Dienste!$A$4,Dienste!$C$4,IF(G26=Dienste!$A$5,Dienste!$C$5,IF(G26=Dienste!$A$6,Dienste!$C$6,IF(G26=Dienste!$A$7,Dienste!$C$7,IF(G26=Dienste!$A$8,Dienste!$C$8,IF(G26=Dienste!$A$9,Dienste!$C$9,IF(G26=Dienste!$A$10,Dienste!$C$10,IF(G26=Dienste!$A$11,Dienste!$C$11,IF(G26=Dienste!$A$12,Dienste!$C$12,IF(G26=Dienste!$A$13,Dienste!$C$13,IF(G26=Dienste!$A$14,Dienste!$C$14,IF(G26=Dienste!$A$15,Dienste!$C$15,IF(G26=Dienste!$A$16,Dienste!$C$16,IF(G26=Dienste!$A$17,Dienste!$C$17,IF(G26=Dienste!$A$18,Dienste!$C$18,IF(G26=Dienste!$A$19,Dienste!$C$19,IF(G26=Dienste!$A$20,Dienste!$C$20,IF(G26=Dienste!$A$21,Dienste!$C$21,IF(G26=Dienste!$A$22,Dienste!$C$22,IF(G26=Dienste!$A$23,Dienste!$C$23,IF(G26=Dienste!$A$24,Dienste!$C$24,IF(G26=Dienste!$A$25,Dienste!$C$25,IF(G26=Dienste!$A$26,Dienste!$C$26,IF(G26=Dienste!$A$27,Dienste!$C$27,IF(G26=Dienste!$A$28,Dienste!$C$28,IF(G26=Dienste!#REF!,Dienste!#REF!,IF(G26=Dienste!#REF!,Dienste!#REF!,IF(G26=Dienste!#REF!,Dienste!#REF!,IF(G26=Dienste!#REF!,Dienste!#REF!,IF(G26=Dienste!$A$33,Dienste!$C$33,IF(G26=Dienste!$A$34,Dienste!$C$34,IF(G26=Dienste!$A$35,Dienste!$C$35,IF(G26=Dienste!$A$36,Dienste!$C$36,)))))))))))))))))))))))))))))))))))</f>
        <v>8</v>
      </c>
      <c r="BB26" s="27">
        <f>IF(H26=Dienste!$A$2,Dienste!$C$2,IF(H26=Dienste!$A$3,Dienste!$C$3,IF(H26=Dienste!$A$4,Dienste!$C$4,IF(H26=Dienste!$A$5,Dienste!$C$5,IF(H26=Dienste!$A$6,Dienste!$C$6,IF(H26=Dienste!$A$7,Dienste!$C$7,IF(H26=Dienste!$A$8,Dienste!$C$8,IF(H26=Dienste!$A$9,Dienste!$C$9,IF(H26=Dienste!$A$10,Dienste!$C$10,IF(H26=Dienste!$A$11,Dienste!$C$11,IF(H26=Dienste!$A$12,Dienste!$C$12,IF(H26=Dienste!$A$13,Dienste!$C$13,IF(H26=Dienste!$A$14,Dienste!$C$14,IF(H26=Dienste!$A$15,Dienste!$C$15,IF(H26=Dienste!$A$16,Dienste!$C$16,IF(H26=Dienste!$A$17,Dienste!$C$17,IF(H26=Dienste!$A$18,Dienste!$C$18,IF(H26=Dienste!$A$19,Dienste!$C$19,IF(H26=Dienste!$A$20,Dienste!$C$20,IF(H26=Dienste!$A$21,Dienste!$C$21,IF(H26=Dienste!$A$22,Dienste!$C$22,IF(H26=Dienste!$A$23,Dienste!$C$23,IF(H26=Dienste!$A$24,Dienste!$C$24,IF(H26=Dienste!$A$25,Dienste!$C$25,IF(H26=Dienste!$A$26,Dienste!$C$26,IF(H26=Dienste!$A$27,Dienste!$C$27,IF(H26=Dienste!$A$28,Dienste!$C$28,IF(H26=Dienste!#REF!,Dienste!#REF!,IF(H26=Dienste!#REF!,Dienste!#REF!,IF(H26=Dienste!#REF!,Dienste!#REF!,IF(H26=Dienste!#REF!,Dienste!#REF!,IF(H26=Dienste!$A$33,Dienste!$C$33,IF(H26=Dienste!$A$34,Dienste!$C$34,IF(H26=Dienste!$A$35,Dienste!$C$35,IF(H26=Dienste!$A$36,Dienste!$C$36,)))))))))))))))))))))))))))))))))))</f>
        <v>8</v>
      </c>
      <c r="BC26" s="27">
        <f>IF(I26=Dienste!$A$2,Dienste!$C$2,IF(I26=Dienste!$A$3,Dienste!$C$3,IF(I26=Dienste!$A$4,Dienste!$C$4,IF(I26=Dienste!$A$5,Dienste!$C$5,IF(I26=Dienste!$A$6,Dienste!$C$6,IF(I26=Dienste!$A$7,Dienste!$C$7,IF(I26=Dienste!$A$8,Dienste!$C$8,IF(I26=Dienste!$A$9,Dienste!$C$9,IF(I26=Dienste!$A$10,Dienste!$C$10,IF(I26=Dienste!$A$11,Dienste!$C$11,IF(I26=Dienste!$A$12,Dienste!$C$12,IF(I26=Dienste!$A$13,Dienste!$C$13,IF(I26=Dienste!$A$14,Dienste!$C$14,IF(I26=Dienste!$A$15,Dienste!$C$15,IF(I26=Dienste!$A$16,Dienste!$C$16,IF(I26=Dienste!$A$17,Dienste!$C$17,IF(I26=Dienste!$A$18,Dienste!$C$18,IF(I26=Dienste!$A$19,Dienste!$C$19,IF(I26=Dienste!$A$20,Dienste!$C$20,IF(I26=Dienste!$A$21,Dienste!$C$21,IF(I26=Dienste!$A$22,Dienste!$C$22,IF(I26=Dienste!$A$23,Dienste!$C$23,IF(I26=Dienste!$A$24,Dienste!$C$24,IF(I26=Dienste!$A$25,Dienste!$C$25,IF(I26=Dienste!$A$26,Dienste!$C$26,IF(I26=Dienste!$A$27,Dienste!$C$27,IF(I26=Dienste!$A$28,Dienste!$C$28,IF(I26=Dienste!#REF!,Dienste!#REF!,IF(I26=Dienste!#REF!,Dienste!#REF!,IF(I26=Dienste!#REF!,Dienste!#REF!,IF(I26=Dienste!#REF!,Dienste!#REF!,IF(I26=Dienste!$A$33,Dienste!$C$33,IF(I26=Dienste!$A$34,Dienste!$C$34,IF(I26=Dienste!$A$35,Dienste!$C$35,IF(I26=Dienste!$A$36,Dienste!$C$36,)))))))))))))))))))))))))))))))))))</f>
        <v>8</v>
      </c>
      <c r="BD26" s="27">
        <f>IF(J26=Dienste!$A$2,Dienste!$C$2,IF(J26=Dienste!$A$3,Dienste!$C$3,IF(J26=Dienste!$A$4,Dienste!$C$4,IF(J26=Dienste!$A$5,Dienste!$C$5,IF(J26=Dienste!$A$6,Dienste!$C$6,IF(J26=Dienste!$A$7,Dienste!$C$7,IF(J26=Dienste!$A$8,Dienste!$C$8,IF(J26=Dienste!$A$9,Dienste!$C$9,IF(J26=Dienste!$A$10,Dienste!$C$10,IF(J26=Dienste!$A$11,Dienste!$C$11,IF(J26=Dienste!$A$12,Dienste!$C$12,IF(J26=Dienste!$A$13,Dienste!$C$13,IF(J26=Dienste!$A$14,Dienste!$C$14,IF(J26=Dienste!$A$15,Dienste!$C$15,IF(J26=Dienste!$A$16,Dienste!$C$16,IF(J26=Dienste!$A$17,Dienste!$C$17,IF(J26=Dienste!$A$18,Dienste!$C$18,IF(J26=Dienste!$A$19,Dienste!$C$19,IF(J26=Dienste!$A$20,Dienste!$C$20,IF(J26=Dienste!$A$21,Dienste!$C$21,IF(J26=Dienste!$A$22,Dienste!$C$22,IF(J26=Dienste!$A$23,Dienste!$C$23,IF(J26=Dienste!$A$24,Dienste!$C$24,IF(J26=Dienste!$A$25,Dienste!$C$25,IF(J26=Dienste!$A$26,Dienste!$C$26,IF(J26=Dienste!$A$27,Dienste!$C$27,IF(J26=Dienste!$A$28,Dienste!$C$28,IF(J26=Dienste!#REF!,Dienste!#REF!,IF(J26=Dienste!#REF!,Dienste!#REF!,IF(J26=Dienste!#REF!,Dienste!#REF!,IF(J26=Dienste!#REF!,Dienste!#REF!,IF(J26=Dienste!$A$33,Dienste!$C$33,IF(J26=Dienste!$A$34,Dienste!$C$34,IF(J26=Dienste!$A$35,Dienste!$C$35,IF(J26=Dienste!$A$36,Dienste!$C$36,)))))))))))))))))))))))))))))))))))</f>
        <v>8</v>
      </c>
      <c r="BE26" s="27">
        <f>IF(K26=Dienste!$A$2,Dienste!$C$2,IF(K26=Dienste!$A$3,Dienste!$C$3,IF(K26=Dienste!$A$4,Dienste!$C$4,IF(K26=Dienste!$A$5,Dienste!$C$5,IF(K26=Dienste!$A$6,Dienste!$C$6,IF(K26=Dienste!$A$7,Dienste!$C$7,IF(K26=Dienste!$A$8,Dienste!$C$8,IF(K26=Dienste!$A$9,Dienste!$C$9,IF(K26=Dienste!$A$10,Dienste!$C$10,IF(K26=Dienste!$A$11,Dienste!$C$11,IF(K26=Dienste!$A$12,Dienste!$C$12,IF(K26=Dienste!$A$13,Dienste!$C$13,IF(K26=Dienste!$A$14,Dienste!$C$14,IF(K26=Dienste!$A$15,Dienste!$C$15,IF(K26=Dienste!$A$16,Dienste!$C$16,IF(K26=Dienste!$A$17,Dienste!$C$17,IF(K26=Dienste!$A$18,Dienste!$C$18,IF(K26=Dienste!$A$19,Dienste!$C$19,IF(K26=Dienste!$A$20,Dienste!$C$20,IF(K26=Dienste!$A$21,Dienste!$C$21,IF(K26=Dienste!$A$22,Dienste!$C$22,IF(K26=Dienste!$A$23,Dienste!$C$23,IF(K26=Dienste!$A$24,Dienste!$C$24,IF(K26=Dienste!$A$25,Dienste!$C$25,IF(K26=Dienste!$A$26,Dienste!$C$26,IF(K26=Dienste!$A$27,Dienste!$C$27,IF(K26=Dienste!$A$28,Dienste!$C$28,IF(K26=Dienste!#REF!,Dienste!#REF!,IF(K26=Dienste!#REF!,Dienste!#REF!,IF(K26=Dienste!#REF!,Dienste!#REF!,IF(K26=Dienste!#REF!,Dienste!#REF!,IF(K26=Dienste!$A$33,Dienste!$C$33,IF(K26=Dienste!$A$34,Dienste!$C$34,IF(K26=Dienste!$A$35,Dienste!$C$35,IF(K26=Dienste!$A$36,Dienste!$C$36,)))))))))))))))))))))))))))))))))))</f>
        <v>0</v>
      </c>
      <c r="BF26" s="27">
        <f>IF(L26=Dienste!$A$2,Dienste!$C$2,IF(L26=Dienste!$A$3,Dienste!$C$3,IF(L26=Dienste!$A$4,Dienste!$C$4,IF(L26=Dienste!$A$5,Dienste!$C$5,IF(L26=Dienste!$A$6,Dienste!$C$6,IF(L26=Dienste!$A$7,Dienste!$C$7,IF(L26=Dienste!$A$8,Dienste!$C$8,IF(L26=Dienste!$A$9,Dienste!$C$9,IF(L26=Dienste!$A$10,Dienste!$C$10,IF(L26=Dienste!$A$11,Dienste!$C$11,IF(L26=Dienste!$A$12,Dienste!$C$12,IF(L26=Dienste!$A$13,Dienste!$C$13,IF(L26=Dienste!$A$14,Dienste!$C$14,IF(L26=Dienste!$A$15,Dienste!$C$15,IF(L26=Dienste!$A$16,Dienste!$C$16,IF(L26=Dienste!$A$17,Dienste!$C$17,IF(L26=Dienste!$A$18,Dienste!$C$18,IF(L26=Dienste!$A$19,Dienste!$C$19,IF(L26=Dienste!$A$20,Dienste!$C$20,IF(L26=Dienste!$A$21,Dienste!$C$21,IF(L26=Dienste!$A$22,Dienste!$C$22,IF(L26=Dienste!$A$23,Dienste!$C$23,IF(L26=Dienste!$A$24,Dienste!$C$24,IF(L26=Dienste!$A$25,Dienste!$C$25,IF(L26=Dienste!$A$26,Dienste!$C$26,IF(L26=Dienste!$A$27,Dienste!$C$27,IF(L26=Dienste!$A$28,Dienste!$C$28,IF(L26=Dienste!#REF!,Dienste!#REF!,IF(L26=Dienste!#REF!,Dienste!#REF!,IF(L26=Dienste!#REF!,Dienste!#REF!,IF(L26=Dienste!#REF!,Dienste!#REF!,IF(L26=Dienste!$A$33,Dienste!$C$33,IF(L26=Dienste!$A$34,Dienste!$C$34,IF(L26=Dienste!$A$35,Dienste!$C$35,IF(L26=Dienste!$A$36,Dienste!$C$36,)))))))))))))))))))))))))))))))))))</f>
        <v>0</v>
      </c>
      <c r="BG26" s="27">
        <f>IF(M26=Dienste!$A$2,Dienste!$C$2,IF(M26=Dienste!$A$3,Dienste!$C$3,IF(M26=Dienste!$A$4,Dienste!$C$4,IF(M26=Dienste!$A$5,Dienste!$C$5,IF(M26=Dienste!$A$6,Dienste!$C$6,IF(M26=Dienste!$A$7,Dienste!$C$7,IF(M26=Dienste!$A$8,Dienste!$C$8,IF(M26=Dienste!$A$9,Dienste!$C$9,IF(M26=Dienste!$A$10,Dienste!$C$10,IF(M26=Dienste!$A$11,Dienste!$C$11,IF(M26=Dienste!$A$12,Dienste!$C$12,IF(M26=Dienste!$A$13,Dienste!$C$13,IF(M26=Dienste!$A$14,Dienste!$C$14,IF(M26=Dienste!$A$15,Dienste!$C$15,IF(M26=Dienste!$A$16,Dienste!$C$16,IF(M26=Dienste!$A$17,Dienste!$C$17,IF(M26=Dienste!$A$18,Dienste!$C$18,IF(M26=Dienste!$A$19,Dienste!$C$19,IF(M26=Dienste!$A$20,Dienste!$C$20,IF(M26=Dienste!$A$21,Dienste!$C$21,IF(M26=Dienste!$A$22,Dienste!$C$22,IF(M26=Dienste!$A$23,Dienste!$C$23,IF(M26=Dienste!$A$24,Dienste!$C$24,IF(M26=Dienste!$A$25,Dienste!$C$25,IF(M26=Dienste!$A$26,Dienste!$C$26,IF(M26=Dienste!$A$27,Dienste!$C$27,IF(M26=Dienste!$A$28,Dienste!$C$28,IF(M26=Dienste!#REF!,Dienste!#REF!,IF(M26=Dienste!#REF!,Dienste!#REF!,IF(M26=Dienste!#REF!,Dienste!#REF!,IF(M26=Dienste!#REF!,Dienste!#REF!,IF(M26=Dienste!$A$33,Dienste!$C$33,IF(M26=Dienste!$A$34,Dienste!$C$34,IF(M26=Dienste!$A$35,Dienste!$C$35,IF(M26=Dienste!$A$36,Dienste!$C$36,)))))))))))))))))))))))))))))))))))</f>
        <v>8</v>
      </c>
      <c r="BH26" s="27">
        <f>IF(N26=Dienste!$A$2,Dienste!$C$2,IF(N26=Dienste!$A$3,Dienste!$C$3,IF(N26=Dienste!$A$4,Dienste!$C$4,IF(N26=Dienste!$A$5,Dienste!$C$5,IF(N26=Dienste!$A$6,Dienste!$C$6,IF(N26=Dienste!$A$7,Dienste!$C$7,IF(N26=Dienste!$A$8,Dienste!$C$8,IF(N26=Dienste!$A$9,Dienste!$C$9,IF(N26=Dienste!$A$10,Dienste!$C$10,IF(N26=Dienste!$A$11,Dienste!$C$11,IF(N26=Dienste!$A$12,Dienste!$C$12,IF(N26=Dienste!$A$13,Dienste!$C$13,IF(N26=Dienste!$A$14,Dienste!$C$14,IF(N26=Dienste!$A$15,Dienste!$C$15,IF(N26=Dienste!$A$16,Dienste!$C$16,IF(N26=Dienste!$A$17,Dienste!$C$17,IF(N26=Dienste!$A$18,Dienste!$C$18,IF(N26=Dienste!$A$19,Dienste!$C$19,IF(N26=Dienste!$A$20,Dienste!$C$20,IF(N26=Dienste!$A$21,Dienste!$C$21,IF(N26=Dienste!$A$22,Dienste!$C$22,IF(N26=Dienste!$A$23,Dienste!$C$23,IF(N26=Dienste!$A$24,Dienste!$C$24,IF(N26=Dienste!$A$25,Dienste!$C$25,IF(N26=Dienste!$A$26,Dienste!$C$26,IF(N26=Dienste!$A$27,Dienste!$C$27,IF(N26=Dienste!$A$28,Dienste!$C$28,IF(N26=Dienste!#REF!,Dienste!#REF!,IF(N26=Dienste!#REF!,Dienste!#REF!,IF(N26=Dienste!#REF!,Dienste!#REF!,IF(N26=Dienste!#REF!,Dienste!#REF!,IF(N26=Dienste!$A$33,Dienste!$C$33,IF(N26=Dienste!$A$34,Dienste!$C$34,IF(N26=Dienste!$A$35,Dienste!$C$35,IF(N26=Dienste!$A$36,Dienste!$C$36,)))))))))))))))))))))))))))))))))))</f>
        <v>8</v>
      </c>
      <c r="BI26" s="27">
        <f>IF(O26=Dienste!$A$2,Dienste!$C$2,IF(O26=Dienste!$A$3,Dienste!$C$3,IF(O26=Dienste!$A$4,Dienste!$C$4,IF(O26=Dienste!$A$5,Dienste!$C$5,IF(O26=Dienste!$A$6,Dienste!$C$6,IF(O26=Dienste!$A$7,Dienste!$C$7,IF(O26=Dienste!$A$8,Dienste!$C$8,IF(O26=Dienste!$A$9,Dienste!$C$9,IF(O26=Dienste!$A$10,Dienste!$C$10,IF(O26=Dienste!$A$11,Dienste!$C$11,IF(O26=Dienste!$A$12,Dienste!$C$12,IF(O26=Dienste!$A$13,Dienste!$C$13,IF(O26=Dienste!$A$14,Dienste!$C$14,IF(O26=Dienste!$A$15,Dienste!$C$15,IF(O26=Dienste!$A$16,Dienste!$C$16,IF(O26=Dienste!$A$17,Dienste!$C$17,IF(O26=Dienste!$A$18,Dienste!$C$18,IF(O26=Dienste!$A$19,Dienste!$C$19,IF(O26=Dienste!$A$20,Dienste!$C$20,IF(O26=Dienste!$A$21,Dienste!$C$21,IF(O26=Dienste!$A$22,Dienste!$C$22,IF(O26=Dienste!$A$23,Dienste!$C$23,IF(O26=Dienste!$A$24,Dienste!$C$24,IF(O26=Dienste!$A$25,Dienste!$C$25,IF(O26=Dienste!$A$26,Dienste!$C$26,IF(O26=Dienste!$A$27,Dienste!$C$27,IF(O26=Dienste!$A$28,Dienste!$C$28,IF(O26=Dienste!#REF!,Dienste!#REF!,IF(O26=Dienste!#REF!,Dienste!#REF!,IF(O26=Dienste!#REF!,Dienste!#REF!,IF(O26=Dienste!#REF!,Dienste!#REF!,IF(O26=Dienste!$A$33,Dienste!$C$33,IF(O26=Dienste!$A$34,Dienste!$C$34,IF(O26=Dienste!$A$35,Dienste!$C$35,IF(O26=Dienste!$A$36,Dienste!$C$36,)))))))))))))))))))))))))))))))))))</f>
        <v>8</v>
      </c>
      <c r="BJ26" s="27">
        <f>IF(P26=Dienste!$A$2,Dienste!$C$2,IF(P26=Dienste!$A$3,Dienste!$C$3,IF(P26=Dienste!$A$4,Dienste!$C$4,IF(P26=Dienste!$A$5,Dienste!$C$5,IF(P26=Dienste!$A$6,Dienste!$C$6,IF(P26=Dienste!$A$7,Dienste!$C$7,IF(P26=Dienste!$A$8,Dienste!$C$8,IF(P26=Dienste!$A$9,Dienste!$C$9,IF(P26=Dienste!$A$10,Dienste!$C$10,IF(P26=Dienste!$A$11,Dienste!$C$11,IF(P26=Dienste!$A$12,Dienste!$C$12,IF(P26=Dienste!$A$13,Dienste!$C$13,IF(P26=Dienste!$A$14,Dienste!$C$14,IF(P26=Dienste!$A$15,Dienste!$C$15,IF(P26=Dienste!$A$16,Dienste!$C$16,IF(P26=Dienste!$A$17,Dienste!$C$17,IF(P26=Dienste!$A$18,Dienste!$C$18,IF(P26=Dienste!$A$19,Dienste!$C$19,IF(P26=Dienste!$A$20,Dienste!$C$20,IF(P26=Dienste!$A$21,Dienste!$C$21,IF(P26=Dienste!$A$22,Dienste!$C$22,IF(P26=Dienste!$A$23,Dienste!$C$23,IF(P26=Dienste!$A$24,Dienste!$C$24,IF(P26=Dienste!$A$25,Dienste!$C$25,IF(P26=Dienste!$A$26,Dienste!$C$26,IF(P26=Dienste!$A$27,Dienste!$C$27,IF(P26=Dienste!$A$28,Dienste!$C$28,IF(P26=Dienste!#REF!,Dienste!#REF!,IF(P26=Dienste!#REF!,Dienste!#REF!,IF(P26=Dienste!#REF!,Dienste!#REF!,IF(P26=Dienste!#REF!,Dienste!#REF!,IF(P26=Dienste!$A$33,Dienste!$C$33,IF(P26=Dienste!$A$34,Dienste!$C$34,IF(P26=Dienste!$A$35,Dienste!$C$35,IF(P26=Dienste!$A$36,Dienste!$C$36,)))))))))))))))))))))))))))))))))))</f>
        <v>8</v>
      </c>
      <c r="BK26" s="27">
        <f>IF(Q26=Dienste!$A$2,Dienste!$C$2,IF(Q26=Dienste!$A$3,Dienste!$C$3,IF(Q26=Dienste!$A$4,Dienste!$C$4,IF(Q26=Dienste!$A$5,Dienste!$C$5,IF(Q26=Dienste!$A$6,Dienste!$C$6,IF(Q26=Dienste!$A$7,Dienste!$C$7,IF(Q26=Dienste!$A$8,Dienste!$C$8,IF(Q26=Dienste!$A$9,Dienste!$C$9,IF(Q26=Dienste!$A$10,Dienste!$C$10,IF(Q26=Dienste!$A$11,Dienste!$C$11,IF(Q26=Dienste!$A$12,Dienste!$C$12,IF(Q26=Dienste!$A$13,Dienste!$C$13,IF(Q26=Dienste!$A$14,Dienste!$C$14,IF(Q26=Dienste!$A$15,Dienste!$C$15,IF(Q26=Dienste!$A$16,Dienste!$C$16,IF(Q26=Dienste!$A$17,Dienste!$C$17,IF(Q26=Dienste!$A$18,Dienste!$C$18,IF(Q26=Dienste!$A$19,Dienste!$C$19,IF(Q26=Dienste!$A$20,Dienste!$C$20,IF(Q26=Dienste!$A$21,Dienste!$C$21,IF(Q26=Dienste!$A$22,Dienste!$C$22,IF(Q26=Dienste!$A$23,Dienste!$C$23,IF(Q26=Dienste!$A$24,Dienste!$C$24,IF(Q26=Dienste!$A$25,Dienste!$C$25,IF(Q26=Dienste!$A$26,Dienste!$C$26,IF(Q26=Dienste!$A$27,Dienste!$C$27,IF(Q26=Dienste!$A$28,Dienste!$C$28,IF(Q26=Dienste!#REF!,Dienste!#REF!,IF(Q26=Dienste!#REF!,Dienste!#REF!,IF(Q26=Dienste!#REF!,Dienste!#REF!,IF(Q26=Dienste!#REF!,Dienste!#REF!,IF(Q26=Dienste!$A$33,Dienste!$C$33,IF(Q26=Dienste!$A$34,Dienste!$C$34,IF(Q26=Dienste!$A$35,Dienste!$C$35,IF(Q26=Dienste!$A$36,Dienste!$C$36,)))))))))))))))))))))))))))))))))))</f>
        <v>8</v>
      </c>
      <c r="BL26" s="27">
        <f>IF(R26=Dienste!$A$2,Dienste!$C$2,IF(R26=Dienste!$A$3,Dienste!$C$3,IF(R26=Dienste!$A$4,Dienste!$C$4,IF(R26=Dienste!$A$5,Dienste!$C$5,IF(R26=Dienste!$A$6,Dienste!$C$6,IF(R26=Dienste!$A$7,Dienste!$C$7,IF(R26=Dienste!$A$8,Dienste!$C$8,IF(R26=Dienste!$A$9,Dienste!$C$9,IF(R26=Dienste!$A$10,Dienste!$C$10,IF(R26=Dienste!$A$11,Dienste!$C$11,IF(R26=Dienste!$A$12,Dienste!$C$12,IF(R26=Dienste!$A$13,Dienste!$C$13,IF(R26=Dienste!$A$14,Dienste!$C$14,IF(R26=Dienste!$A$15,Dienste!$C$15,IF(R26=Dienste!$A$16,Dienste!$C$16,IF(R26=Dienste!$A$17,Dienste!$C$17,IF(R26=Dienste!$A$18,Dienste!$C$18,IF(R26=Dienste!$A$19,Dienste!$C$19,IF(R26=Dienste!$A$20,Dienste!$C$20,IF(R26=Dienste!$A$21,Dienste!$C$21,IF(R26=Dienste!$A$22,Dienste!$C$22,IF(R26=Dienste!$A$23,Dienste!$C$23,IF(R26=Dienste!$A$24,Dienste!$C$24,IF(R26=Dienste!$A$25,Dienste!$C$25,IF(R26=Dienste!$A$26,Dienste!$C$26,IF(R26=Dienste!$A$27,Dienste!$C$27,IF(R26=Dienste!$A$28,Dienste!$C$28,IF(R26=Dienste!#REF!,Dienste!#REF!,IF(R26=Dienste!#REF!,Dienste!#REF!,IF(R26=Dienste!#REF!,Dienste!#REF!,IF(R26=Dienste!#REF!,Dienste!#REF!,IF(R26=Dienste!$A$33,Dienste!$C$33,IF(R26=Dienste!$A$34,Dienste!$C$34,IF(R26=Dienste!$A$35,Dienste!$C$35,IF(R26=Dienste!$A$36,Dienste!$C$36,)))))))))))))))))))))))))))))))))))</f>
        <v>8</v>
      </c>
      <c r="BM26" s="27">
        <f>IF(S26=Dienste!$A$2,Dienste!$C$2,IF(S26=Dienste!$A$3,Dienste!$C$3,IF(S26=Dienste!$A$4,Dienste!$C$4,IF(S26=Dienste!$A$5,Dienste!$C$5,IF(S26=Dienste!$A$6,Dienste!$C$6,IF(S26=Dienste!$A$7,Dienste!$C$7,IF(S26=Dienste!$A$8,Dienste!$C$8,IF(S26=Dienste!$A$9,Dienste!$C$9,IF(S26=Dienste!$A$10,Dienste!$C$10,IF(S26=Dienste!$A$11,Dienste!$C$11,IF(S26=Dienste!$A$12,Dienste!$C$12,IF(S26=Dienste!$A$13,Dienste!$C$13,IF(S26=Dienste!$A$14,Dienste!$C$14,IF(S26=Dienste!$A$15,Dienste!$C$15,IF(S26=Dienste!$A$16,Dienste!$C$16,IF(S26=Dienste!$A$17,Dienste!$C$17,IF(S26=Dienste!$A$18,Dienste!$C$18,IF(S26=Dienste!$A$19,Dienste!$C$19,IF(S26=Dienste!$A$20,Dienste!$C$20,IF(S26=Dienste!$A$21,Dienste!$C$21,IF(S26=Dienste!$A$22,Dienste!$C$22,IF(S26=Dienste!$A$23,Dienste!$C$23,IF(S26=Dienste!$A$24,Dienste!$C$24,IF(S26=Dienste!$A$25,Dienste!$C$25,IF(S26=Dienste!$A$26,Dienste!$C$26,IF(S26=Dienste!$A$27,Dienste!$C$27,IF(S26=Dienste!$A$28,Dienste!$C$28,IF(S26=Dienste!#REF!,Dienste!#REF!,IF(S26=Dienste!#REF!,Dienste!#REF!,IF(S26=Dienste!#REF!,Dienste!#REF!,IF(S26=Dienste!#REF!,Dienste!#REF!,IF(S26=Dienste!$A$33,Dienste!$C$33,IF(S26=Dienste!$A$34,Dienste!$C$34,IF(S26=Dienste!$A$35,Dienste!$C$35,IF(S26=Dienste!$A$36,Dienste!$C$36,)))))))))))))))))))))))))))))))))))</f>
        <v>8</v>
      </c>
      <c r="BN26" s="27">
        <f>IF(T26=Dienste!$A$2,Dienste!$C$2,IF(T26=Dienste!$A$3,Dienste!$C$3,IF(T26=Dienste!$A$4,Dienste!$C$4,IF(T26=Dienste!$A$5,Dienste!$C$5,IF(T26=Dienste!$A$6,Dienste!$C$6,IF(T26=Dienste!$A$7,Dienste!$C$7,IF(T26=Dienste!$A$8,Dienste!$C$8,IF(T26=Dienste!$A$9,Dienste!$C$9,IF(T26=Dienste!$A$10,Dienste!$C$10,IF(T26=Dienste!$A$11,Dienste!$C$11,IF(T26=Dienste!$A$12,Dienste!$C$12,IF(T26=Dienste!$A$13,Dienste!$C$13,IF(T26=Dienste!$A$14,Dienste!$C$14,IF(T26=Dienste!$A$15,Dienste!$C$15,IF(T26=Dienste!$A$16,Dienste!$C$16,IF(T26=Dienste!$A$17,Dienste!$C$17,IF(T26=Dienste!$A$18,Dienste!$C$18,IF(T26=Dienste!$A$19,Dienste!$C$19,IF(T26=Dienste!$A$20,Dienste!$C$20,IF(T26=Dienste!$A$21,Dienste!$C$21,IF(T26=Dienste!$A$22,Dienste!$C$22,IF(T26=Dienste!$A$23,Dienste!$C$23,IF(T26=Dienste!$A$24,Dienste!$C$24,IF(T26=Dienste!$A$25,Dienste!$C$25,IF(T26=Dienste!$A$26,Dienste!$C$26,IF(T26=Dienste!$A$27,Dienste!$C$27,IF(T26=Dienste!$A$28,Dienste!$C$28,IF(T26=Dienste!#REF!,Dienste!#REF!,IF(T26=Dienste!#REF!,Dienste!#REF!,IF(T26=Dienste!#REF!,Dienste!#REF!,IF(T26=Dienste!#REF!,Dienste!#REF!,IF(T26=Dienste!$A$33,Dienste!$C$33,IF(T26=Dienste!$A$34,Dienste!$C$34,IF(T26=Dienste!$A$35,Dienste!$C$35,IF(T26=Dienste!$A$36,Dienste!$C$36,)))))))))))))))))))))))))))))))))))</f>
        <v>8</v>
      </c>
      <c r="BO26" s="27">
        <f>IF(U26=Dienste!$A$2,Dienste!$C$2,IF(U26=Dienste!$A$3,Dienste!$C$3,IF(U26=Dienste!$A$4,Dienste!$C$4,IF(U26=Dienste!$A$5,Dienste!$C$5,IF(U26=Dienste!$A$6,Dienste!$C$6,IF(U26=Dienste!$A$7,Dienste!$C$7,IF(U26=Dienste!$A$8,Dienste!$C$8,IF(U26=Dienste!$A$9,Dienste!$C$9,IF(U26=Dienste!$A$10,Dienste!$C$10,IF(U26=Dienste!$A$11,Dienste!$C$11,IF(U26=Dienste!$A$12,Dienste!$C$12,IF(U26=Dienste!$A$13,Dienste!$C$13,IF(U26=Dienste!$A$14,Dienste!$C$14,IF(U26=Dienste!$A$15,Dienste!$C$15,IF(U26=Dienste!$A$16,Dienste!$C$16,IF(U26=Dienste!$A$17,Dienste!$C$17,IF(U26=Dienste!$A$18,Dienste!$C$18,IF(U26=Dienste!$A$19,Dienste!$C$19,IF(U26=Dienste!$A$20,Dienste!$C$20,IF(U26=Dienste!$A$21,Dienste!$C$21,IF(U26=Dienste!$A$22,Dienste!$C$22,IF(U26=Dienste!$A$23,Dienste!$C$23,IF(U26=Dienste!$A$24,Dienste!$C$24,IF(U26=Dienste!$A$25,Dienste!$C$25,IF(U26=Dienste!$A$26,Dienste!$C$26,IF(U26=Dienste!$A$27,Dienste!$C$27,IF(U26=Dienste!$A$28,Dienste!$C$28,IF(U26=Dienste!#REF!,Dienste!#REF!,IF(U26=Dienste!#REF!,Dienste!#REF!,IF(U26=Dienste!#REF!,Dienste!#REF!,IF(U26=Dienste!#REF!,Dienste!#REF!,IF(U26=Dienste!$A$33,Dienste!$C$33,IF(U26=Dienste!$A$34,Dienste!$C$34,IF(U26=Dienste!$A$35,Dienste!$C$35,IF(U26=Dienste!$A$36,Dienste!$C$36,)))))))))))))))))))))))))))))))))))</f>
        <v>9</v>
      </c>
      <c r="BP26" s="27">
        <f>IF(V26=Dienste!$A$2,Dienste!$C$2,IF(V26=Dienste!$A$3,Dienste!$C$3,IF(V26=Dienste!$A$4,Dienste!$C$4,IF(V26=Dienste!$A$5,Dienste!$C$5,IF(V26=Dienste!$A$6,Dienste!$C$6,IF(V26=Dienste!$A$7,Dienste!$C$7,IF(V26=Dienste!$A$8,Dienste!$C$8,IF(V26=Dienste!$A$9,Dienste!$C$9,IF(V26=Dienste!$A$10,Dienste!$C$10,IF(V26=Dienste!$A$11,Dienste!$C$11,IF(V26=Dienste!$A$12,Dienste!$C$12,IF(V26=Dienste!$A$13,Dienste!$C$13,IF(V26=Dienste!$A$14,Dienste!$C$14,IF(V26=Dienste!$A$15,Dienste!$C$15,IF(V26=Dienste!$A$16,Dienste!$C$16,IF(V26=Dienste!$A$17,Dienste!$C$17,IF(V26=Dienste!$A$18,Dienste!$C$18,IF(V26=Dienste!$A$19,Dienste!$C$19,IF(V26=Dienste!$A$20,Dienste!$C$20,IF(V26=Dienste!$A$21,Dienste!$C$21,IF(V26=Dienste!$A$22,Dienste!$C$22,IF(V26=Dienste!$A$23,Dienste!$C$23,IF(V26=Dienste!$A$24,Dienste!$C$24,IF(V26=Dienste!$A$25,Dienste!$C$25,IF(V26=Dienste!$A$26,Dienste!$C$26,IF(V26=Dienste!$A$27,Dienste!$C$27,IF(V26=Dienste!$A$28,Dienste!$C$28,IF(V26=Dienste!#REF!,Dienste!#REF!,IF(V26=Dienste!#REF!,Dienste!#REF!,IF(V26=Dienste!#REF!,Dienste!#REF!,IF(V26=Dienste!#REF!,Dienste!#REF!,IF(V26=Dienste!$A$33,Dienste!$C$33,IF(V26=Dienste!$A$34,Dienste!$C$34,IF(V26=Dienste!$A$35,Dienste!$C$35,IF(V26=Dienste!$A$36,Dienste!$C$36,)))))))))))))))))))))))))))))))))))</f>
        <v>8</v>
      </c>
      <c r="BQ26" s="27">
        <f>IF(W26=Dienste!$A$2,Dienste!$C$2,IF(W26=Dienste!$A$3,Dienste!$C$3,IF(W26=Dienste!$A$4,Dienste!$C$4,IF(W26=Dienste!$A$5,Dienste!$C$5,IF(W26=Dienste!$A$6,Dienste!$C$6,IF(W26=Dienste!$A$7,Dienste!$C$7,IF(W26=Dienste!$A$8,Dienste!$C$8,IF(W26=Dienste!$A$9,Dienste!$C$9,IF(W26=Dienste!$A$10,Dienste!$C$10,IF(W26=Dienste!$A$11,Dienste!$C$11,IF(W26=Dienste!$A$12,Dienste!$C$12,IF(W26=Dienste!$A$13,Dienste!$C$13,IF(W26=Dienste!$A$14,Dienste!$C$14,IF(W26=Dienste!$A$15,Dienste!$C$15,IF(W26=Dienste!$A$16,Dienste!$C$16,IF(W26=Dienste!$A$17,Dienste!$C$17,IF(W26=Dienste!$A$18,Dienste!$C$18,IF(W26=Dienste!$A$19,Dienste!$C$19,IF(W26=Dienste!$A$20,Dienste!$C$20,IF(W26=Dienste!$A$21,Dienste!$C$21,IF(W26=Dienste!$A$22,Dienste!$C$22,IF(W26=Dienste!$A$23,Dienste!$C$23,IF(W26=Dienste!$A$24,Dienste!$C$24,IF(W26=Dienste!$A$25,Dienste!$C$25,IF(W26=Dienste!$A$26,Dienste!$C$26,IF(W26=Dienste!$A$27,Dienste!$C$27,IF(W26=Dienste!$A$28,Dienste!$C$28,IF(W26=Dienste!#REF!,Dienste!#REF!,IF(W26=Dienste!#REF!,Dienste!#REF!,IF(W26=Dienste!#REF!,Dienste!#REF!,IF(W26=Dienste!#REF!,Dienste!#REF!,IF(W26=Dienste!$A$33,Dienste!$C$33,IF(W26=Dienste!$A$34,Dienste!$C$34,IF(W26=Dienste!$A$35,Dienste!$C$35,IF(W26=Dienste!$A$36,Dienste!$C$36,)))))))))))))))))))))))))))))))))))</f>
        <v>0</v>
      </c>
      <c r="BR26" s="27">
        <f>IF(X26=Dienste!$A$2,Dienste!$C$2,IF(X26=Dienste!$A$3,Dienste!$C$3,IF(X26=Dienste!$A$4,Dienste!$C$4,IF(X26=Dienste!$A$5,Dienste!$C$5,IF(X26=Dienste!$A$6,Dienste!$C$6,IF(X26=Dienste!$A$7,Dienste!$C$7,IF(X26=Dienste!$A$8,Dienste!$C$8,IF(X26=Dienste!$A$9,Dienste!$C$9,IF(X26=Dienste!$A$10,Dienste!$C$10,IF(X26=Dienste!$A$11,Dienste!$C$11,IF(X26=Dienste!$A$12,Dienste!$C$12,IF(X26=Dienste!$A$13,Dienste!$C$13,IF(X26=Dienste!$A$14,Dienste!$C$14,IF(X26=Dienste!$A$15,Dienste!$C$15,IF(X26=Dienste!$A$16,Dienste!$C$16,IF(X26=Dienste!$A$17,Dienste!$C$17,IF(X26=Dienste!$A$18,Dienste!$C$18,IF(X26=Dienste!$A$19,Dienste!$C$19,IF(X26=Dienste!$A$20,Dienste!$C$20,IF(X26=Dienste!$A$21,Dienste!$C$21,IF(X26=Dienste!$A$22,Dienste!$C$22,IF(X26=Dienste!$A$23,Dienste!$C$23,IF(X26=Dienste!$A$24,Dienste!$C$24,IF(X26=Dienste!$A$25,Dienste!$C$25,IF(X26=Dienste!$A$26,Dienste!$C$26,IF(X26=Dienste!$A$27,Dienste!$C$27,IF(X26=Dienste!$A$28,Dienste!$C$28,IF(X26=Dienste!#REF!,Dienste!#REF!,IF(X26=Dienste!#REF!,Dienste!#REF!,IF(X26=Dienste!#REF!,Dienste!#REF!,IF(X26=Dienste!#REF!,Dienste!#REF!,IF(X26=Dienste!$A$33,Dienste!$C$33,IF(X26=Dienste!$A$34,Dienste!$C$34,IF(X26=Dienste!$A$35,Dienste!$C$35,IF(X26=Dienste!$A$36,Dienste!$C$36,)))))))))))))))))))))))))))))))))))</f>
        <v>0</v>
      </c>
      <c r="BS26" s="27">
        <f>IF(Y26=Dienste!$A$2,Dienste!$C$2,IF(Y26=Dienste!$A$3,Dienste!$C$3,IF(Y26=Dienste!$A$4,Dienste!$C$4,IF(Y26=Dienste!$A$5,Dienste!$C$5,IF(Y26=Dienste!$A$6,Dienste!$C$6,IF(Y26=Dienste!$A$7,Dienste!$C$7,IF(Y26=Dienste!$A$8,Dienste!$C$8,IF(Y26=Dienste!$A$9,Dienste!$C$9,IF(Y26=Dienste!$A$10,Dienste!$C$10,IF(Y26=Dienste!$A$11,Dienste!$C$11,IF(Y26=Dienste!$A$12,Dienste!$C$12,IF(Y26=Dienste!$A$13,Dienste!$C$13,IF(Y26=Dienste!$A$14,Dienste!$C$14,IF(Y26=Dienste!$A$15,Dienste!$C$15,IF(Y26=Dienste!$A$16,Dienste!$C$16,IF(Y26=Dienste!$A$17,Dienste!$C$17,IF(Y26=Dienste!$A$18,Dienste!$C$18,IF(Y26=Dienste!$A$19,Dienste!$C$19,IF(Y26=Dienste!$A$20,Dienste!$C$20,IF(Y26=Dienste!$A$21,Dienste!$C$21,IF(Y26=Dienste!$A$22,Dienste!$C$22,IF(Y26=Dienste!$A$23,Dienste!$C$23,IF(Y26=Dienste!$A$24,Dienste!$C$24,IF(Y26=Dienste!$A$25,Dienste!$C$25,IF(Y26=Dienste!$A$26,Dienste!$C$26,IF(Y26=Dienste!$A$27,Dienste!$C$27,IF(Y26=Dienste!$A$28,Dienste!$C$28,IF(Y26=Dienste!#REF!,Dienste!#REF!,IF(Y26=Dienste!#REF!,Dienste!#REF!,IF(Y26=Dienste!#REF!,Dienste!#REF!,IF(Y26=Dienste!#REF!,Dienste!#REF!,IF(Y26=Dienste!$A$33,Dienste!$C$33,IF(Y26=Dienste!$A$34,Dienste!$C$34,IF(Y26=Dienste!$A$35,Dienste!$C$35,IF(Y26=Dienste!$A$36,Dienste!$C$36,)))))))))))))))))))))))))))))))))))</f>
        <v>0</v>
      </c>
      <c r="BT26" s="27">
        <f>IF(Z26=Dienste!$A$2,Dienste!$C$2,IF(Z26=Dienste!$A$3,Dienste!$C$3,IF(Z26=Dienste!$A$4,Dienste!$C$4,IF(Z26=Dienste!$A$5,Dienste!$C$5,IF(Z26=Dienste!$A$6,Dienste!$C$6,IF(Z26=Dienste!$A$7,Dienste!$C$7,IF(Z26=Dienste!$A$8,Dienste!$C$8,IF(Z26=Dienste!$A$9,Dienste!$C$9,IF(Z26=Dienste!$A$10,Dienste!$C$10,IF(Z26=Dienste!$A$11,Dienste!$C$11,IF(Z26=Dienste!$A$12,Dienste!$C$12,IF(Z26=Dienste!$A$13,Dienste!$C$13,IF(Z26=Dienste!$A$14,Dienste!$C$14,IF(Z26=Dienste!$A$15,Dienste!$C$15,IF(Z26=Dienste!$A$16,Dienste!$C$16,IF(Z26=Dienste!$A$17,Dienste!$C$17,IF(Z26=Dienste!$A$18,Dienste!$C$18,IF(Z26=Dienste!$A$19,Dienste!$C$19,IF(Z26=Dienste!$A$20,Dienste!$C$20,IF(Z26=Dienste!$A$21,Dienste!$C$21,IF(Z26=Dienste!$A$22,Dienste!$C$22,IF(Z26=Dienste!$A$23,Dienste!$C$23,IF(Z26=Dienste!$A$24,Dienste!$C$24,IF(Z26=Dienste!$A$25,Dienste!$C$25,IF(Z26=Dienste!$A$26,Dienste!$C$26,IF(Z26=Dienste!$A$27,Dienste!$C$27,IF(Z26=Dienste!$A$28,Dienste!$C$28,IF(Z26=Dienste!#REF!,Dienste!#REF!,IF(Z26=Dienste!#REF!,Dienste!#REF!,IF(Z26=Dienste!#REF!,Dienste!#REF!,IF(Z26=Dienste!#REF!,Dienste!#REF!,IF(Z26=Dienste!$A$33,Dienste!$C$33,IF(Z26=Dienste!$A$34,Dienste!$C$34,IF(Z26=Dienste!$A$35,Dienste!$C$35,IF(Z26=Dienste!$A$36,Dienste!$C$36,)))))))))))))))))))))))))))))))))))</f>
        <v>0</v>
      </c>
      <c r="BU26" s="27">
        <f>IF(AA26=Dienste!$A$2,Dienste!$C$2,IF(AA26=Dienste!$A$3,Dienste!$C$3,IF(AA26=Dienste!$A$4,Dienste!$C$4,IF(AA26=Dienste!$A$5,Dienste!$C$5,IF(AA26=Dienste!$A$6,Dienste!$C$6,IF(AA26=Dienste!$A$7,Dienste!$C$7,IF(AA26=Dienste!$A$8,Dienste!$C$8,IF(AA26=Dienste!$A$9,Dienste!$C$9,IF(AA26=Dienste!$A$10,Dienste!$C$10,IF(AA26=Dienste!$A$11,Dienste!$C$11,IF(AA26=Dienste!$A$12,Dienste!$C$12,IF(AA26=Dienste!$A$13,Dienste!$C$13,IF(AA26=Dienste!$A$14,Dienste!$C$14,IF(AA26=Dienste!$A$15,Dienste!$C$15,IF(AA26=Dienste!$A$16,Dienste!$C$16,IF(AA26=Dienste!$A$17,Dienste!$C$17,IF(AA26=Dienste!$A$18,Dienste!$C$18,IF(AA26=Dienste!$A$19,Dienste!$C$19,IF(AA26=Dienste!$A$20,Dienste!$C$20,IF(AA26=Dienste!$A$21,Dienste!$C$21,IF(AA26=Dienste!$A$22,Dienste!$C$22,IF(AA26=Dienste!$A$23,Dienste!$C$23,IF(AA26=Dienste!$A$24,Dienste!$C$24,IF(AA26=Dienste!$A$25,Dienste!$C$25,IF(AA26=Dienste!$A$26,Dienste!$C$26,IF(AA26=Dienste!$A$27,Dienste!$C$27,IF(AA26=Dienste!$A$28,Dienste!$C$28,IF(AA26=Dienste!#REF!,Dienste!#REF!,IF(AA26=Dienste!#REF!,Dienste!#REF!,IF(AA26=Dienste!#REF!,Dienste!#REF!,IF(AA26=Dienste!#REF!,Dienste!#REF!,IF(AA26=Dienste!$A$33,Dienste!$C$33,IF(AA26=Dienste!$A$34,Dienste!$C$34,IF(AA26=Dienste!$A$35,Dienste!$C$35,IF(AA26=Dienste!$A$36,Dienste!$C$36,)))))))))))))))))))))))))))))))))))</f>
        <v>9</v>
      </c>
      <c r="BV26" s="27">
        <f>IF(AB26=Dienste!$A$2,Dienste!$C$2,IF(AB26=Dienste!$A$3,Dienste!$C$3,IF(AB26=Dienste!$A$4,Dienste!$C$4,IF(AB26=Dienste!$A$5,Dienste!$C$5,IF(AB26=Dienste!$A$6,Dienste!$C$6,IF(AB26=Dienste!$A$7,Dienste!$C$7,IF(AB26=Dienste!$A$8,Dienste!$C$8,IF(AB26=Dienste!$A$9,Dienste!$C$9,IF(AB26=Dienste!$A$10,Dienste!$C$10,IF(AB26=Dienste!$A$11,Dienste!$C$11,IF(AB26=Dienste!$A$12,Dienste!$C$12,IF(AB26=Dienste!$A$13,Dienste!$C$13,IF(AB26=Dienste!$A$14,Dienste!$C$14,IF(AB26=Dienste!$A$15,Dienste!$C$15,IF(AB26=Dienste!$A$16,Dienste!$C$16,IF(AB26=Dienste!$A$17,Dienste!$C$17,IF(AB26=Dienste!$A$18,Dienste!$C$18,IF(AB26=Dienste!$A$19,Dienste!$C$19,IF(AB26=Dienste!$A$20,Dienste!$C$20,IF(AB26=Dienste!$A$21,Dienste!$C$21,IF(AB26=Dienste!$A$22,Dienste!$C$22,IF(AB26=Dienste!$A$23,Dienste!$C$23,IF(AB26=Dienste!$A$24,Dienste!$C$24,IF(AB26=Dienste!$A$25,Dienste!$C$25,IF(AB26=Dienste!$A$26,Dienste!$C$26,IF(AB26=Dienste!$A$27,Dienste!$C$27,IF(AB26=Dienste!$A$28,Dienste!$C$28,IF(AB26=Dienste!#REF!,Dienste!#REF!,IF(AB26=Dienste!#REF!,Dienste!#REF!,IF(AB26=Dienste!#REF!,Dienste!#REF!,IF(AB26=Dienste!#REF!,Dienste!#REF!,IF(AB26=Dienste!$A$33,Dienste!$C$33,IF(AB26=Dienste!$A$34,Dienste!$C$34,IF(AB26=Dienste!$A$35,Dienste!$C$35,IF(AB26=Dienste!$A$36,Dienste!$C$36,)))))))))))))))))))))))))))))))))))</f>
        <v>8</v>
      </c>
      <c r="BW26" s="27">
        <f>IF(AC26=Dienste!$A$2,Dienste!$C$2,IF(AC26=Dienste!$A$3,Dienste!$C$3,IF(AC26=Dienste!$A$4,Dienste!$C$4,IF(AC26=Dienste!$A$5,Dienste!$C$5,IF(AC26=Dienste!$A$6,Dienste!$C$6,IF(AC26=Dienste!$A$7,Dienste!$C$7,IF(AC26=Dienste!$A$8,Dienste!$C$8,IF(AC26=Dienste!$A$9,Dienste!$C$9,IF(AC26=Dienste!$A$10,Dienste!$C$10,IF(AC26=Dienste!$A$11,Dienste!$C$11,IF(AC26=Dienste!$A$12,Dienste!$C$12,IF(AC26=Dienste!$A$13,Dienste!$C$13,IF(AC26=Dienste!$A$14,Dienste!$C$14,IF(AC26=Dienste!$A$15,Dienste!$C$15,IF(AC26=Dienste!$A$16,Dienste!$C$16,IF(AC26=Dienste!$A$17,Dienste!$C$17,IF(AC26=Dienste!$A$18,Dienste!$C$18,IF(AC26=Dienste!$A$19,Dienste!$C$19,IF(AC26=Dienste!$A$20,Dienste!$C$20,IF(AC26=Dienste!$A$21,Dienste!$C$21,IF(AC26=Dienste!$A$22,Dienste!$C$22,IF(AC26=Dienste!$A$23,Dienste!$C$23,IF(AC26=Dienste!$A$24,Dienste!$C$24,IF(AC26=Dienste!$A$25,Dienste!$C$25,IF(AC26=Dienste!$A$26,Dienste!$C$26,IF(AC26=Dienste!$A$27,Dienste!$C$27,IF(AC26=Dienste!$A$28,Dienste!$C$28,IF(AC26=Dienste!#REF!,Dienste!#REF!,IF(AC26=Dienste!#REF!,Dienste!#REF!,IF(AC26=Dienste!#REF!,Dienste!#REF!,IF(AC26=Dienste!#REF!,Dienste!#REF!,IF(AC26=Dienste!$A$33,Dienste!$C$33,IF(AC26=Dienste!$A$34,Dienste!$C$34,IF(AC26=Dienste!$A$35,Dienste!$C$35,IF(AC26=Dienste!$A$36,Dienste!$C$36,)))))))))))))))))))))))))))))))))))</f>
        <v>8</v>
      </c>
      <c r="BX26" s="27">
        <f>IF(AD26=Dienste!$A$2,Dienste!$C$2,IF(AD26=Dienste!$A$3,Dienste!$C$3,IF(AD26=Dienste!$A$4,Dienste!$C$4,IF(AD26=Dienste!$A$5,Dienste!$C$5,IF(AD26=Dienste!$A$6,Dienste!$C$6,IF(AD26=Dienste!$A$7,Dienste!$C$7,IF(AD26=Dienste!$A$8,Dienste!$C$8,IF(AD26=Dienste!$A$9,Dienste!$C$9,IF(AD26=Dienste!$A$10,Dienste!$C$10,IF(AD26=Dienste!$A$11,Dienste!$C$11,IF(AD26=Dienste!$A$12,Dienste!$C$12,IF(AD26=Dienste!$A$13,Dienste!$C$13,IF(AD26=Dienste!$A$14,Dienste!$C$14,IF(AD26=Dienste!$A$15,Dienste!$C$15,IF(AD26=Dienste!$A$16,Dienste!$C$16,IF(AD26=Dienste!$A$17,Dienste!$C$17,IF(AD26=Dienste!$A$18,Dienste!$C$18,IF(AD26=Dienste!$A$19,Dienste!$C$19,IF(AD26=Dienste!$A$20,Dienste!$C$20,IF(AD26=Dienste!$A$21,Dienste!$C$21,IF(AD26=Dienste!$A$22,Dienste!$C$22,IF(AD26=Dienste!$A$23,Dienste!$C$23,IF(AD26=Dienste!$A$24,Dienste!$C$24,IF(AD26=Dienste!$A$25,Dienste!$C$25,IF(AD26=Dienste!$A$26,Dienste!$C$26,IF(AD26=Dienste!$A$27,Dienste!$C$27,IF(AD26=Dienste!$A$28,Dienste!$C$28,IF(AD26=Dienste!#REF!,Dienste!#REF!,IF(AD26=Dienste!#REF!,Dienste!#REF!,IF(AD26=Dienste!#REF!,Dienste!#REF!,IF(AD26=Dienste!#REF!,Dienste!#REF!,IF(AD26=Dienste!$A$33,Dienste!$C$33,IF(AD26=Dienste!$A$34,Dienste!$C$34,IF(AD26=Dienste!$A$35,Dienste!$C$35,IF(AD26=Dienste!$A$36,Dienste!$C$36,)))))))))))))))))))))))))))))))))))</f>
        <v>8</v>
      </c>
      <c r="BY26" s="27">
        <f>IF(AE26=Dienste!$A$2,Dienste!$C$2,IF(AE26=Dienste!$A$3,Dienste!$C$3,IF(AE26=Dienste!$A$4,Dienste!$C$4,IF(AE26=Dienste!$A$5,Dienste!$C$5,IF(AE26=Dienste!$A$6,Dienste!$C$6,IF(AE26=Dienste!$A$7,Dienste!$C$7,IF(AE26=Dienste!$A$8,Dienste!$C$8,IF(AE26=Dienste!$A$9,Dienste!$C$9,IF(AE26=Dienste!$A$10,Dienste!$C$10,IF(AE26=Dienste!$A$11,Dienste!$C$11,IF(AE26=Dienste!$A$12,Dienste!$C$12,IF(AE26=Dienste!$A$13,Dienste!$C$13,IF(AE26=Dienste!$A$14,Dienste!$C$14,IF(AE26=Dienste!$A$15,Dienste!$C$15,IF(AE26=Dienste!$A$16,Dienste!$C$16,IF(AE26=Dienste!$A$17,Dienste!$C$17,IF(AE26=Dienste!$A$18,Dienste!$C$18,IF(AE26=Dienste!$A$19,Dienste!$C$19,IF(AE26=Dienste!$A$20,Dienste!$C$20,IF(AE26=Dienste!$A$21,Dienste!$C$21,IF(AE26=Dienste!$A$22,Dienste!$C$22,IF(AE26=Dienste!$A$23,Dienste!$C$23,IF(AE26=Dienste!$A$24,Dienste!$C$24,IF(AE26=Dienste!$A$25,Dienste!$C$25,IF(AE26=Dienste!$A$26,Dienste!$C$26,IF(AE26=Dienste!$A$27,Dienste!$C$27,IF(AE26=Dienste!$A$28,Dienste!$C$28,IF(AE26=Dienste!#REF!,Dienste!#REF!,IF(AE26=Dienste!#REF!,Dienste!#REF!,IF(AE26=Dienste!#REF!,Dienste!#REF!,IF(AE26=Dienste!#REF!,Dienste!#REF!,IF(AE26=Dienste!$A$33,Dienste!$C$33,IF(AE26=Dienste!$A$34,Dienste!$C$34,IF(AE26=Dienste!$A$35,Dienste!$C$35,IF(AE26=Dienste!$A$36,Dienste!$C$36,)))))))))))))))))))))))))))))))))))</f>
        <v>8</v>
      </c>
      <c r="BZ26" s="27">
        <f>IF(AF26=Dienste!$A$2,Dienste!$C$2,IF(AF26=Dienste!$A$3,Dienste!$C$3,IF(AF26=Dienste!$A$4,Dienste!$C$4,IF(AF26=Dienste!$A$5,Dienste!$C$5,IF(AF26=Dienste!$A$6,Dienste!$C$6,IF(AF26=Dienste!$A$7,Dienste!$C$7,IF(AF26=Dienste!$A$8,Dienste!$C$8,IF(AF26=Dienste!$A$9,Dienste!$C$9,IF(AF26=Dienste!$A$10,Dienste!$C$10,IF(AF26=Dienste!$A$11,Dienste!$C$11,IF(AF26=Dienste!$A$12,Dienste!$C$12,IF(AF26=Dienste!$A$13,Dienste!$C$13,IF(AF26=Dienste!$A$14,Dienste!$C$14,IF(AF26=Dienste!$A$15,Dienste!$C$15,IF(AF26=Dienste!$A$16,Dienste!$C$16,IF(AF26=Dienste!$A$17,Dienste!$C$17,IF(AF26=Dienste!$A$18,Dienste!$C$18,IF(AF26=Dienste!$A$19,Dienste!$C$19,IF(AF26=Dienste!$A$20,Dienste!$C$20,IF(AF26=Dienste!$A$21,Dienste!$C$21,IF(AF26=Dienste!$A$22,Dienste!$C$22,IF(AF26=Dienste!$A$23,Dienste!$C$23,IF(AF26=Dienste!$A$24,Dienste!$C$24,IF(AF26=Dienste!$A$25,Dienste!$C$25,IF(AF26=Dienste!$A$26,Dienste!$C$26,IF(AF26=Dienste!$A$27,Dienste!$C$27,IF(AF26=Dienste!$A$28,Dienste!$C$28,IF(AF26=Dienste!#REF!,Dienste!#REF!,IF(AF26=Dienste!#REF!,Dienste!#REF!,IF(AF26=Dienste!#REF!,Dienste!#REF!,IF(AF26=Dienste!#REF!,Dienste!#REF!,IF(AF26=Dienste!$A$33,Dienste!$C$33,IF(AF26=Dienste!$A$34,Dienste!$C$34,IF(AF26=Dienste!$A$35,Dienste!$C$35,IF(AF26=Dienste!$A$36,Dienste!$C$36,)))))))))))))))))))))))))))))))))))</f>
        <v>0</v>
      </c>
      <c r="CA26" s="27">
        <f>IF(AG26=Dienste!$A$2,Dienste!$C$2,IF(AG26=Dienste!$A$3,Dienste!$C$3,IF(AG26=Dienste!$A$4,Dienste!$C$4,IF(AG26=Dienste!$A$5,Dienste!$C$5,IF(AG26=Dienste!$A$6,Dienste!$C$6,IF(AG26=Dienste!$A$7,Dienste!$C$7,IF(AG26=Dienste!$A$8,Dienste!$C$8,IF(AG26=Dienste!$A$9,Dienste!$C$9,IF(AG26=Dienste!$A$10,Dienste!$C$10,IF(AG26=Dienste!$A$11,Dienste!$C$11,IF(AG26=Dienste!$A$12,Dienste!$C$12,IF(AG26=Dienste!$A$13,Dienste!$C$13,IF(AG26=Dienste!$A$14,Dienste!$C$14,IF(AG26=Dienste!$A$15,Dienste!$C$15,IF(AG26=Dienste!$A$16,Dienste!$C$16,IF(AG26=Dienste!$A$17,Dienste!$C$17,IF(AG26=Dienste!$A$18,Dienste!$C$18,IF(AG26=Dienste!$A$19,Dienste!$C$19,IF(AG26=Dienste!$A$20,Dienste!$C$20,IF(AG26=Dienste!$A$21,Dienste!$C$21,IF(AG26=Dienste!$A$22,Dienste!$C$22,IF(AG26=Dienste!$A$23,Dienste!$C$23,IF(AG26=Dienste!$A$24,Dienste!$C$24,IF(AG26=Dienste!$A$25,Dienste!$C$25,IF(AG26=Dienste!$A$26,Dienste!$C$26,IF(AG26=Dienste!$A$27,Dienste!$C$27,IF(AG26=Dienste!$A$28,Dienste!$C$28,IF(AG26=Dienste!#REF!,Dienste!#REF!,IF(AG26=Dienste!#REF!,Dienste!#REF!,IF(AG26=Dienste!#REF!,Dienste!#REF!,IF(AG26=Dienste!#REF!,Dienste!#REF!,IF(AG26=Dienste!$A$33,Dienste!$C$33,IF(AG26=Dienste!$A$34,Dienste!$C$34,IF(AG26=Dienste!$A$35,Dienste!$C$35,IF(AG26=Dienste!$A$36,Dienste!$C$36,)))))))))))))))))))))))))))))))))))</f>
        <v>0</v>
      </c>
      <c r="CB26" s="27">
        <f>IF(AH26=Dienste!$A$2,Dienste!$C$2,IF(AH26=Dienste!$A$3,Dienste!$C$3,IF(AH26=Dienste!$A$4,Dienste!$C$4,IF(AH26=Dienste!$A$5,Dienste!$C$5,IF(AH26=Dienste!$A$6,Dienste!$C$6,IF(AH26=Dienste!$A$7,Dienste!$C$7,IF(AH26=Dienste!$A$8,Dienste!$C$8,IF(AH26=Dienste!$A$9,Dienste!$C$9,IF(AH26=Dienste!$A$10,Dienste!$C$10,IF(AH26=Dienste!$A$11,Dienste!$C$11,IF(AH26=Dienste!$A$12,Dienste!$C$12,IF(AH26=Dienste!$A$13,Dienste!$C$13,IF(AH26=Dienste!$A$14,Dienste!$C$14,IF(AH26=Dienste!$A$15,Dienste!$C$15,IF(AH26=Dienste!$A$16,Dienste!$C$16,IF(AH26=Dienste!$A$17,Dienste!$C$17,IF(AH26=Dienste!$A$18,Dienste!$C$18,IF(AH26=Dienste!$A$19,Dienste!$C$19,IF(AH26=Dienste!$A$20,Dienste!$C$20,IF(AH26=Dienste!$A$21,Dienste!$C$21,IF(AH26=Dienste!$A$22,Dienste!$C$22,IF(AH26=Dienste!$A$23,Dienste!$C$23,IF(AH26=Dienste!$A$24,Dienste!$C$24,IF(AH26=Dienste!$A$25,Dienste!$C$25,IF(AH26=Dienste!$A$26,Dienste!$C$26,IF(AH26=Dienste!$A$27,Dienste!$C$27,IF(AH26=Dienste!$A$28,Dienste!$C$28,IF(AH26=Dienste!#REF!,Dienste!#REF!,IF(AH26=Dienste!#REF!,Dienste!#REF!,IF(AH26=Dienste!#REF!,Dienste!#REF!,IF(AH26=Dienste!#REF!,Dienste!#REF!,IF(AH26=Dienste!$A$33,Dienste!$C$33,IF(AH26=Dienste!$A$34,Dienste!$C$34,IF(AH26=Dienste!$A$35,Dienste!$C$35,IF(AH26=Dienste!$A$36,Dienste!$C$36,)))))))))))))))))))))))))))))))))))</f>
        <v>8</v>
      </c>
      <c r="CC26" s="27" t="e">
        <f>IF(AI26=Dienste!$A$2,Dienste!$C$2,IF(AI26=Dienste!$A$3,Dienste!$C$3,IF(AI26=Dienste!$A$4,Dienste!$C$4,IF(AI26=Dienste!$A$5,Dienste!$C$5,IF(AI26=Dienste!$A$6,Dienste!$C$6,IF(AI26=Dienste!$A$7,Dienste!$C$7,IF(AI26=Dienste!$A$8,Dienste!$C$8,IF(AI26=Dienste!$A$9,Dienste!$C$9,IF(AI26=Dienste!$A$10,Dienste!$C$10,IF(AI26=Dienste!$A$11,Dienste!$C$11,IF(AI26=Dienste!$A$12,Dienste!$C$12,IF(AI26=Dienste!$A$13,Dienste!$C$13,IF(AI26=Dienste!$A$14,Dienste!$C$14,IF(AI26=Dienste!$A$15,Dienste!$C$15,IF(AI26=Dienste!$A$16,Dienste!$C$16,IF(AI26=Dienste!$A$17,Dienste!$C$17,IF(AI26=Dienste!$A$18,Dienste!$C$18,IF(AI26=Dienste!$A$19,Dienste!$C$19,IF(AI26=Dienste!$A$20,Dienste!$C$20,IF(AI26=Dienste!$A$21,Dienste!$C$21,IF(AI26=Dienste!$A$22,Dienste!$C$22,IF(AI26=Dienste!$A$23,Dienste!$C$23,IF(AI26=Dienste!$A$24,Dienste!$C$24,IF(AI26=Dienste!$A$25,Dienste!$C$25,IF(AI26=Dienste!$A$26,Dienste!$C$26,IF(AI26=Dienste!$A$27,Dienste!$C$27,IF(AI26=Dienste!$A$28,Dienste!$C$28,IF(AI26=Dienste!#REF!,Dienste!#REF!,IF(AI26=Dienste!#REF!,Dienste!#REF!,IF(AI26=Dienste!#REF!,Dienste!#REF!,IF(AI26=Dienste!#REF!,Dienste!#REF!,IF(AI26=Dienste!$A$33,Dienste!$C$33,IF(AI26=Dienste!$A$34,Dienste!$C$34,IF(AI26=Dienste!$A$35,Dienste!$C$35,IF(AI26=Dienste!$A$36,Dienste!$C$36,)))))))))))))))))))))))))))))))))))</f>
        <v>#REF!</v>
      </c>
    </row>
    <row r="27" spans="1:81" x14ac:dyDescent="0.25">
      <c r="A27" s="109" t="s">
        <v>141</v>
      </c>
      <c r="B27" s="15" t="s">
        <v>231</v>
      </c>
      <c r="C27" s="15">
        <v>40</v>
      </c>
      <c r="D27" s="98">
        <v>1</v>
      </c>
      <c r="E27" s="104" t="s">
        <v>83</v>
      </c>
      <c r="F27" s="9" t="s">
        <v>31</v>
      </c>
      <c r="G27" s="9" t="s">
        <v>31</v>
      </c>
      <c r="H27" s="9" t="s">
        <v>31</v>
      </c>
      <c r="I27" s="9" t="s">
        <v>364</v>
      </c>
      <c r="J27" s="9" t="s">
        <v>65</v>
      </c>
      <c r="K27" s="9" t="s">
        <v>83</v>
      </c>
      <c r="L27" s="9" t="s">
        <v>83</v>
      </c>
      <c r="M27" s="9" t="s">
        <v>31</v>
      </c>
      <c r="N27" s="9" t="s">
        <v>365</v>
      </c>
      <c r="O27" s="9" t="s">
        <v>31</v>
      </c>
      <c r="P27" s="9" t="s">
        <v>31</v>
      </c>
      <c r="Q27" s="9" t="s">
        <v>69</v>
      </c>
      <c r="R27" s="9" t="s">
        <v>69</v>
      </c>
      <c r="S27" s="9" t="s">
        <v>370</v>
      </c>
      <c r="T27" s="9" t="s">
        <v>65</v>
      </c>
      <c r="U27" s="9" t="s">
        <v>83</v>
      </c>
      <c r="V27" s="9" t="s">
        <v>168</v>
      </c>
      <c r="W27" s="9" t="s">
        <v>26</v>
      </c>
      <c r="X27" s="9" t="s">
        <v>26</v>
      </c>
      <c r="Y27" s="9" t="s">
        <v>26</v>
      </c>
      <c r="Z27" s="9" t="s">
        <v>26</v>
      </c>
      <c r="AA27" s="9" t="s">
        <v>26</v>
      </c>
      <c r="AB27" s="9" t="s">
        <v>53</v>
      </c>
      <c r="AC27" s="9" t="s">
        <v>65</v>
      </c>
      <c r="AD27" s="9" t="s">
        <v>83</v>
      </c>
      <c r="AE27" s="9" t="s">
        <v>83</v>
      </c>
      <c r="AF27" s="9" t="s">
        <v>83</v>
      </c>
      <c r="AG27" s="9" t="s">
        <v>83</v>
      </c>
      <c r="AH27" s="9" t="s">
        <v>364</v>
      </c>
      <c r="AI27" s="15"/>
      <c r="AJ27" s="109">
        <v>34</v>
      </c>
      <c r="AK27" s="15">
        <v>168</v>
      </c>
      <c r="AL27" s="109">
        <v>169</v>
      </c>
      <c r="AM27" s="15">
        <v>35</v>
      </c>
      <c r="AN27" s="170">
        <v>1</v>
      </c>
      <c r="AO27" s="109">
        <v>24.3</v>
      </c>
      <c r="AP27" s="15">
        <v>5</v>
      </c>
      <c r="AQ27" s="98">
        <v>2</v>
      </c>
      <c r="AR27" s="109">
        <v>60</v>
      </c>
      <c r="AS27" s="15">
        <v>42.896153846153844</v>
      </c>
      <c r="AT27" s="98">
        <v>26</v>
      </c>
      <c r="AU27" s="96" t="e">
        <f t="shared" si="2"/>
        <v>#REF!</v>
      </c>
      <c r="AV27" s="27" t="e">
        <f t="shared" si="0"/>
        <v>#REF!</v>
      </c>
      <c r="AW27" s="58" t="e">
        <f t="shared" si="1"/>
        <v>#REF!</v>
      </c>
      <c r="AY27" s="27">
        <f>IF(E27=Dienste!$A$2,Dienste!$C$2,IF(E27=Dienste!$A$3,Dienste!$C$3,IF(E27=Dienste!$A$4,Dienste!$C$4,IF(E27=Dienste!$A$5,Dienste!$C$5,IF(E27=Dienste!$A$6,Dienste!$C$6,IF(E27=Dienste!$A$7,Dienste!$C$7,IF(E27=Dienste!$A$8,Dienste!$C$8,IF(E27=Dienste!$A$9,Dienste!$C$9,IF(E27=Dienste!$A$10,Dienste!$C$10,IF(E27=Dienste!$A$11,Dienste!$C$11,IF(E27=Dienste!$A$12,Dienste!$C$12,IF(E27=Dienste!$A$13,Dienste!$C$13,IF(E27=Dienste!$A$14,Dienste!$C$14,IF(E27=Dienste!$A$15,Dienste!$C$15,IF(E27=Dienste!$A$16,Dienste!$C$16,IF(E27=Dienste!$A$17,Dienste!$C$17,IF(E27=Dienste!$A$18,Dienste!$C$18,IF(E27=Dienste!$A$19,Dienste!$C$19,IF(E27=Dienste!$A$20,Dienste!$C$20,IF(E27=Dienste!$A$21,Dienste!$C$21,IF(E27=Dienste!$A$22,Dienste!$C$22,IF(E27=Dienste!$A$23,Dienste!$C$23,IF(E27=Dienste!$A$24,Dienste!$C$24,IF(E27=Dienste!$A$25,Dienste!$C$25,IF(E27=Dienste!$A$26,Dienste!$C$26,IF(E27=Dienste!$A$27,Dienste!$C$27,IF(E27=Dienste!$A$28,Dienste!$C$28,IF(E27=Dienste!#REF!,Dienste!#REF!,IF(E27=Dienste!#REF!,Dienste!#REF!,IF(E27=Dienste!#REF!,Dienste!#REF!,IF(E27=Dienste!#REF!,Dienste!#REF!,IF(E27=Dienste!$A$33,Dienste!$C$33,IF(E27=Dienste!$A$34,Dienste!$C$34,IF(E27=Dienste!$A$35,Dienste!$C$35,IF(E27=Dienste!$A$36,Dienste!$C$36,)))))))))))))))))))))))))))))))))))</f>
        <v>0</v>
      </c>
      <c r="AZ27" s="27">
        <f>IF(F27=Dienste!$A$2,Dienste!$C$2,IF(F27=Dienste!$A$3,Dienste!$C$3,IF(F27=Dienste!$A$4,Dienste!$C$4,IF(F27=Dienste!$A$5,Dienste!$C$5,IF(F27=Dienste!$A$6,Dienste!$C$6,IF(F27=Dienste!$A$7,Dienste!$C$7,IF(F27=Dienste!$A$8,Dienste!$C$8,IF(F27=Dienste!$A$9,Dienste!$C$9,IF(F27=Dienste!$A$10,Dienste!$C$10,IF(F27=Dienste!$A$11,Dienste!$C$11,IF(F27=Dienste!$A$12,Dienste!$C$12,IF(F27=Dienste!$A$13,Dienste!$C$13,IF(F27=Dienste!$A$14,Dienste!$C$14,IF(F27=Dienste!$A$15,Dienste!$C$15,IF(F27=Dienste!$A$16,Dienste!$C$16,IF(F27=Dienste!$A$17,Dienste!$C$17,IF(F27=Dienste!$A$18,Dienste!$C$18,IF(F27=Dienste!$A$19,Dienste!$C$19,IF(F27=Dienste!$A$20,Dienste!$C$20,IF(F27=Dienste!$A$21,Dienste!$C$21,IF(F27=Dienste!$A$22,Dienste!$C$22,IF(F27=Dienste!$A$23,Dienste!$C$23,IF(F27=Dienste!$A$24,Dienste!$C$24,IF(F27=Dienste!$A$25,Dienste!$C$25,IF(F27=Dienste!$A$26,Dienste!$C$26,IF(F27=Dienste!$A$27,Dienste!$C$27,IF(F27=Dienste!$A$28,Dienste!$C$28,IF(F27=Dienste!#REF!,Dienste!#REF!,IF(F27=Dienste!#REF!,Dienste!#REF!,IF(F27=Dienste!#REF!,Dienste!#REF!,IF(F27=Dienste!#REF!,Dienste!#REF!,IF(F27=Dienste!$A$33,Dienste!$C$33,IF(F27=Dienste!$A$34,Dienste!$C$34,IF(F27=Dienste!$A$35,Dienste!$C$35,IF(F27=Dienste!$A$36,Dienste!$C$36,)))))))))))))))))))))))))))))))))))</f>
        <v>8</v>
      </c>
      <c r="BA27" s="27">
        <f>IF(G27=Dienste!$A$2,Dienste!$C$2,IF(G27=Dienste!$A$3,Dienste!$C$3,IF(G27=Dienste!$A$4,Dienste!$C$4,IF(G27=Dienste!$A$5,Dienste!$C$5,IF(G27=Dienste!$A$6,Dienste!$C$6,IF(G27=Dienste!$A$7,Dienste!$C$7,IF(G27=Dienste!$A$8,Dienste!$C$8,IF(G27=Dienste!$A$9,Dienste!$C$9,IF(G27=Dienste!$A$10,Dienste!$C$10,IF(G27=Dienste!$A$11,Dienste!$C$11,IF(G27=Dienste!$A$12,Dienste!$C$12,IF(G27=Dienste!$A$13,Dienste!$C$13,IF(G27=Dienste!$A$14,Dienste!$C$14,IF(G27=Dienste!$A$15,Dienste!$C$15,IF(G27=Dienste!$A$16,Dienste!$C$16,IF(G27=Dienste!$A$17,Dienste!$C$17,IF(G27=Dienste!$A$18,Dienste!$C$18,IF(G27=Dienste!$A$19,Dienste!$C$19,IF(G27=Dienste!$A$20,Dienste!$C$20,IF(G27=Dienste!$A$21,Dienste!$C$21,IF(G27=Dienste!$A$22,Dienste!$C$22,IF(G27=Dienste!$A$23,Dienste!$C$23,IF(G27=Dienste!$A$24,Dienste!$C$24,IF(G27=Dienste!$A$25,Dienste!$C$25,IF(G27=Dienste!$A$26,Dienste!$C$26,IF(G27=Dienste!$A$27,Dienste!$C$27,IF(G27=Dienste!$A$28,Dienste!$C$28,IF(G27=Dienste!#REF!,Dienste!#REF!,IF(G27=Dienste!#REF!,Dienste!#REF!,IF(G27=Dienste!#REF!,Dienste!#REF!,IF(G27=Dienste!#REF!,Dienste!#REF!,IF(G27=Dienste!$A$33,Dienste!$C$33,IF(G27=Dienste!$A$34,Dienste!$C$34,IF(G27=Dienste!$A$35,Dienste!$C$35,IF(G27=Dienste!$A$36,Dienste!$C$36,)))))))))))))))))))))))))))))))))))</f>
        <v>8</v>
      </c>
      <c r="BB27" s="27">
        <f>IF(H27=Dienste!$A$2,Dienste!$C$2,IF(H27=Dienste!$A$3,Dienste!$C$3,IF(H27=Dienste!$A$4,Dienste!$C$4,IF(H27=Dienste!$A$5,Dienste!$C$5,IF(H27=Dienste!$A$6,Dienste!$C$6,IF(H27=Dienste!$A$7,Dienste!$C$7,IF(H27=Dienste!$A$8,Dienste!$C$8,IF(H27=Dienste!$A$9,Dienste!$C$9,IF(H27=Dienste!$A$10,Dienste!$C$10,IF(H27=Dienste!$A$11,Dienste!$C$11,IF(H27=Dienste!$A$12,Dienste!$C$12,IF(H27=Dienste!$A$13,Dienste!$C$13,IF(H27=Dienste!$A$14,Dienste!$C$14,IF(H27=Dienste!$A$15,Dienste!$C$15,IF(H27=Dienste!$A$16,Dienste!$C$16,IF(H27=Dienste!$A$17,Dienste!$C$17,IF(H27=Dienste!$A$18,Dienste!$C$18,IF(H27=Dienste!$A$19,Dienste!$C$19,IF(H27=Dienste!$A$20,Dienste!$C$20,IF(H27=Dienste!$A$21,Dienste!$C$21,IF(H27=Dienste!$A$22,Dienste!$C$22,IF(H27=Dienste!$A$23,Dienste!$C$23,IF(H27=Dienste!$A$24,Dienste!$C$24,IF(H27=Dienste!$A$25,Dienste!$C$25,IF(H27=Dienste!$A$26,Dienste!$C$26,IF(H27=Dienste!$A$27,Dienste!$C$27,IF(H27=Dienste!$A$28,Dienste!$C$28,IF(H27=Dienste!#REF!,Dienste!#REF!,IF(H27=Dienste!#REF!,Dienste!#REF!,IF(H27=Dienste!#REF!,Dienste!#REF!,IF(H27=Dienste!#REF!,Dienste!#REF!,IF(H27=Dienste!$A$33,Dienste!$C$33,IF(H27=Dienste!$A$34,Dienste!$C$34,IF(H27=Dienste!$A$35,Dienste!$C$35,IF(H27=Dienste!$A$36,Dienste!$C$36,)))))))))))))))))))))))))))))))))))</f>
        <v>8</v>
      </c>
      <c r="BC27" s="27" t="e">
        <f>IF(I27=Dienste!$A$2,Dienste!$C$2,IF(I27=Dienste!$A$3,Dienste!$C$3,IF(I27=Dienste!$A$4,Dienste!$C$4,IF(I27=Dienste!$A$5,Dienste!$C$5,IF(I27=Dienste!$A$6,Dienste!$C$6,IF(I27=Dienste!$A$7,Dienste!$C$7,IF(I27=Dienste!$A$8,Dienste!$C$8,IF(I27=Dienste!$A$9,Dienste!$C$9,IF(I27=Dienste!$A$10,Dienste!$C$10,IF(I27=Dienste!$A$11,Dienste!$C$11,IF(I27=Dienste!$A$12,Dienste!$C$12,IF(I27=Dienste!$A$13,Dienste!$C$13,IF(I27=Dienste!$A$14,Dienste!$C$14,IF(I27=Dienste!$A$15,Dienste!$C$15,IF(I27=Dienste!$A$16,Dienste!$C$16,IF(I27=Dienste!$A$17,Dienste!$C$17,IF(I27=Dienste!$A$18,Dienste!$C$18,IF(I27=Dienste!$A$19,Dienste!$C$19,IF(I27=Dienste!$A$20,Dienste!$C$20,IF(I27=Dienste!$A$21,Dienste!$C$21,IF(I27=Dienste!$A$22,Dienste!$C$22,IF(I27=Dienste!$A$23,Dienste!$C$23,IF(I27=Dienste!$A$24,Dienste!$C$24,IF(I27=Dienste!$A$25,Dienste!$C$25,IF(I27=Dienste!$A$26,Dienste!$C$26,IF(I27=Dienste!$A$27,Dienste!$C$27,IF(I27=Dienste!$A$28,Dienste!$C$28,IF(I27=Dienste!#REF!,Dienste!#REF!,IF(I27=Dienste!#REF!,Dienste!#REF!,IF(I27=Dienste!#REF!,Dienste!#REF!,IF(I27=Dienste!#REF!,Dienste!#REF!,IF(I27=Dienste!$A$33,Dienste!$C$33,IF(I27=Dienste!$A$34,Dienste!$C$34,IF(I27=Dienste!$A$35,Dienste!$C$35,IF(I27=Dienste!$A$36,Dienste!$C$36,)))))))))))))))))))))))))))))))))))</f>
        <v>#REF!</v>
      </c>
      <c r="BD27" s="27">
        <f>IF(J27=Dienste!$A$2,Dienste!$C$2,IF(J27=Dienste!$A$3,Dienste!$C$3,IF(J27=Dienste!$A$4,Dienste!$C$4,IF(J27=Dienste!$A$5,Dienste!$C$5,IF(J27=Dienste!$A$6,Dienste!$C$6,IF(J27=Dienste!$A$7,Dienste!$C$7,IF(J27=Dienste!$A$8,Dienste!$C$8,IF(J27=Dienste!$A$9,Dienste!$C$9,IF(J27=Dienste!$A$10,Dienste!$C$10,IF(J27=Dienste!$A$11,Dienste!$C$11,IF(J27=Dienste!$A$12,Dienste!$C$12,IF(J27=Dienste!$A$13,Dienste!$C$13,IF(J27=Dienste!$A$14,Dienste!$C$14,IF(J27=Dienste!$A$15,Dienste!$C$15,IF(J27=Dienste!$A$16,Dienste!$C$16,IF(J27=Dienste!$A$17,Dienste!$C$17,IF(J27=Dienste!$A$18,Dienste!$C$18,IF(J27=Dienste!$A$19,Dienste!$C$19,IF(J27=Dienste!$A$20,Dienste!$C$20,IF(J27=Dienste!$A$21,Dienste!$C$21,IF(J27=Dienste!$A$22,Dienste!$C$22,IF(J27=Dienste!$A$23,Dienste!$C$23,IF(J27=Dienste!$A$24,Dienste!$C$24,IF(J27=Dienste!$A$25,Dienste!$C$25,IF(J27=Dienste!$A$26,Dienste!$C$26,IF(J27=Dienste!$A$27,Dienste!$C$27,IF(J27=Dienste!$A$28,Dienste!$C$28,IF(J27=Dienste!#REF!,Dienste!#REF!,IF(J27=Dienste!#REF!,Dienste!#REF!,IF(J27=Dienste!#REF!,Dienste!#REF!,IF(J27=Dienste!#REF!,Dienste!#REF!,IF(J27=Dienste!$A$33,Dienste!$C$33,IF(J27=Dienste!$A$34,Dienste!$C$34,IF(J27=Dienste!$A$35,Dienste!$C$35,IF(J27=Dienste!$A$36,Dienste!$C$36,)))))))))))))))))))))))))))))))))))</f>
        <v>8</v>
      </c>
      <c r="BE27" s="27">
        <f>IF(K27=Dienste!$A$2,Dienste!$C$2,IF(K27=Dienste!$A$3,Dienste!$C$3,IF(K27=Dienste!$A$4,Dienste!$C$4,IF(K27=Dienste!$A$5,Dienste!$C$5,IF(K27=Dienste!$A$6,Dienste!$C$6,IF(K27=Dienste!$A$7,Dienste!$C$7,IF(K27=Dienste!$A$8,Dienste!$C$8,IF(K27=Dienste!$A$9,Dienste!$C$9,IF(K27=Dienste!$A$10,Dienste!$C$10,IF(K27=Dienste!$A$11,Dienste!$C$11,IF(K27=Dienste!$A$12,Dienste!$C$12,IF(K27=Dienste!$A$13,Dienste!$C$13,IF(K27=Dienste!$A$14,Dienste!$C$14,IF(K27=Dienste!$A$15,Dienste!$C$15,IF(K27=Dienste!$A$16,Dienste!$C$16,IF(K27=Dienste!$A$17,Dienste!$C$17,IF(K27=Dienste!$A$18,Dienste!$C$18,IF(K27=Dienste!$A$19,Dienste!$C$19,IF(K27=Dienste!$A$20,Dienste!$C$20,IF(K27=Dienste!$A$21,Dienste!$C$21,IF(K27=Dienste!$A$22,Dienste!$C$22,IF(K27=Dienste!$A$23,Dienste!$C$23,IF(K27=Dienste!$A$24,Dienste!$C$24,IF(K27=Dienste!$A$25,Dienste!$C$25,IF(K27=Dienste!$A$26,Dienste!$C$26,IF(K27=Dienste!$A$27,Dienste!$C$27,IF(K27=Dienste!$A$28,Dienste!$C$28,IF(K27=Dienste!#REF!,Dienste!#REF!,IF(K27=Dienste!#REF!,Dienste!#REF!,IF(K27=Dienste!#REF!,Dienste!#REF!,IF(K27=Dienste!#REF!,Dienste!#REF!,IF(K27=Dienste!$A$33,Dienste!$C$33,IF(K27=Dienste!$A$34,Dienste!$C$34,IF(K27=Dienste!$A$35,Dienste!$C$35,IF(K27=Dienste!$A$36,Dienste!$C$36,)))))))))))))))))))))))))))))))))))</f>
        <v>0</v>
      </c>
      <c r="BF27" s="27">
        <f>IF(L27=Dienste!$A$2,Dienste!$C$2,IF(L27=Dienste!$A$3,Dienste!$C$3,IF(L27=Dienste!$A$4,Dienste!$C$4,IF(L27=Dienste!$A$5,Dienste!$C$5,IF(L27=Dienste!$A$6,Dienste!$C$6,IF(L27=Dienste!$A$7,Dienste!$C$7,IF(L27=Dienste!$A$8,Dienste!$C$8,IF(L27=Dienste!$A$9,Dienste!$C$9,IF(L27=Dienste!$A$10,Dienste!$C$10,IF(L27=Dienste!$A$11,Dienste!$C$11,IF(L27=Dienste!$A$12,Dienste!$C$12,IF(L27=Dienste!$A$13,Dienste!$C$13,IF(L27=Dienste!$A$14,Dienste!$C$14,IF(L27=Dienste!$A$15,Dienste!$C$15,IF(L27=Dienste!$A$16,Dienste!$C$16,IF(L27=Dienste!$A$17,Dienste!$C$17,IF(L27=Dienste!$A$18,Dienste!$C$18,IF(L27=Dienste!$A$19,Dienste!$C$19,IF(L27=Dienste!$A$20,Dienste!$C$20,IF(L27=Dienste!$A$21,Dienste!$C$21,IF(L27=Dienste!$A$22,Dienste!$C$22,IF(L27=Dienste!$A$23,Dienste!$C$23,IF(L27=Dienste!$A$24,Dienste!$C$24,IF(L27=Dienste!$A$25,Dienste!$C$25,IF(L27=Dienste!$A$26,Dienste!$C$26,IF(L27=Dienste!$A$27,Dienste!$C$27,IF(L27=Dienste!$A$28,Dienste!$C$28,IF(L27=Dienste!#REF!,Dienste!#REF!,IF(L27=Dienste!#REF!,Dienste!#REF!,IF(L27=Dienste!#REF!,Dienste!#REF!,IF(L27=Dienste!#REF!,Dienste!#REF!,IF(L27=Dienste!$A$33,Dienste!$C$33,IF(L27=Dienste!$A$34,Dienste!$C$34,IF(L27=Dienste!$A$35,Dienste!$C$35,IF(L27=Dienste!$A$36,Dienste!$C$36,)))))))))))))))))))))))))))))))))))</f>
        <v>0</v>
      </c>
      <c r="BG27" s="27">
        <f>IF(M27=Dienste!$A$2,Dienste!$C$2,IF(M27=Dienste!$A$3,Dienste!$C$3,IF(M27=Dienste!$A$4,Dienste!$C$4,IF(M27=Dienste!$A$5,Dienste!$C$5,IF(M27=Dienste!$A$6,Dienste!$C$6,IF(M27=Dienste!$A$7,Dienste!$C$7,IF(M27=Dienste!$A$8,Dienste!$C$8,IF(M27=Dienste!$A$9,Dienste!$C$9,IF(M27=Dienste!$A$10,Dienste!$C$10,IF(M27=Dienste!$A$11,Dienste!$C$11,IF(M27=Dienste!$A$12,Dienste!$C$12,IF(M27=Dienste!$A$13,Dienste!$C$13,IF(M27=Dienste!$A$14,Dienste!$C$14,IF(M27=Dienste!$A$15,Dienste!$C$15,IF(M27=Dienste!$A$16,Dienste!$C$16,IF(M27=Dienste!$A$17,Dienste!$C$17,IF(M27=Dienste!$A$18,Dienste!$C$18,IF(M27=Dienste!$A$19,Dienste!$C$19,IF(M27=Dienste!$A$20,Dienste!$C$20,IF(M27=Dienste!$A$21,Dienste!$C$21,IF(M27=Dienste!$A$22,Dienste!$C$22,IF(M27=Dienste!$A$23,Dienste!$C$23,IF(M27=Dienste!$A$24,Dienste!$C$24,IF(M27=Dienste!$A$25,Dienste!$C$25,IF(M27=Dienste!$A$26,Dienste!$C$26,IF(M27=Dienste!$A$27,Dienste!$C$27,IF(M27=Dienste!$A$28,Dienste!$C$28,IF(M27=Dienste!#REF!,Dienste!#REF!,IF(M27=Dienste!#REF!,Dienste!#REF!,IF(M27=Dienste!#REF!,Dienste!#REF!,IF(M27=Dienste!#REF!,Dienste!#REF!,IF(M27=Dienste!$A$33,Dienste!$C$33,IF(M27=Dienste!$A$34,Dienste!$C$34,IF(M27=Dienste!$A$35,Dienste!$C$35,IF(M27=Dienste!$A$36,Dienste!$C$36,)))))))))))))))))))))))))))))))))))</f>
        <v>8</v>
      </c>
      <c r="BH27" s="27" t="e">
        <f>IF(N27=Dienste!$A$2,Dienste!$C$2,IF(N27=Dienste!$A$3,Dienste!$C$3,IF(N27=Dienste!$A$4,Dienste!$C$4,IF(N27=Dienste!$A$5,Dienste!$C$5,IF(N27=Dienste!$A$6,Dienste!$C$6,IF(N27=Dienste!$A$7,Dienste!$C$7,IF(N27=Dienste!$A$8,Dienste!$C$8,IF(N27=Dienste!$A$9,Dienste!$C$9,IF(N27=Dienste!$A$10,Dienste!$C$10,IF(N27=Dienste!$A$11,Dienste!$C$11,IF(N27=Dienste!$A$12,Dienste!$C$12,IF(N27=Dienste!$A$13,Dienste!$C$13,IF(N27=Dienste!$A$14,Dienste!$C$14,IF(N27=Dienste!$A$15,Dienste!$C$15,IF(N27=Dienste!$A$16,Dienste!$C$16,IF(N27=Dienste!$A$17,Dienste!$C$17,IF(N27=Dienste!$A$18,Dienste!$C$18,IF(N27=Dienste!$A$19,Dienste!$C$19,IF(N27=Dienste!$A$20,Dienste!$C$20,IF(N27=Dienste!$A$21,Dienste!$C$21,IF(N27=Dienste!$A$22,Dienste!$C$22,IF(N27=Dienste!$A$23,Dienste!$C$23,IF(N27=Dienste!$A$24,Dienste!$C$24,IF(N27=Dienste!$A$25,Dienste!$C$25,IF(N27=Dienste!$A$26,Dienste!$C$26,IF(N27=Dienste!$A$27,Dienste!$C$27,IF(N27=Dienste!$A$28,Dienste!$C$28,IF(N27=Dienste!#REF!,Dienste!#REF!,IF(N27=Dienste!#REF!,Dienste!#REF!,IF(N27=Dienste!#REF!,Dienste!#REF!,IF(N27=Dienste!#REF!,Dienste!#REF!,IF(N27=Dienste!$A$33,Dienste!$C$33,IF(N27=Dienste!$A$34,Dienste!$C$34,IF(N27=Dienste!$A$35,Dienste!$C$35,IF(N27=Dienste!$A$36,Dienste!$C$36,)))))))))))))))))))))))))))))))))))</f>
        <v>#REF!</v>
      </c>
      <c r="BI27" s="27">
        <f>IF(O27=Dienste!$A$2,Dienste!$C$2,IF(O27=Dienste!$A$3,Dienste!$C$3,IF(O27=Dienste!$A$4,Dienste!$C$4,IF(O27=Dienste!$A$5,Dienste!$C$5,IF(O27=Dienste!$A$6,Dienste!$C$6,IF(O27=Dienste!$A$7,Dienste!$C$7,IF(O27=Dienste!$A$8,Dienste!$C$8,IF(O27=Dienste!$A$9,Dienste!$C$9,IF(O27=Dienste!$A$10,Dienste!$C$10,IF(O27=Dienste!$A$11,Dienste!$C$11,IF(O27=Dienste!$A$12,Dienste!$C$12,IF(O27=Dienste!$A$13,Dienste!$C$13,IF(O27=Dienste!$A$14,Dienste!$C$14,IF(O27=Dienste!$A$15,Dienste!$C$15,IF(O27=Dienste!$A$16,Dienste!$C$16,IF(O27=Dienste!$A$17,Dienste!$C$17,IF(O27=Dienste!$A$18,Dienste!$C$18,IF(O27=Dienste!$A$19,Dienste!$C$19,IF(O27=Dienste!$A$20,Dienste!$C$20,IF(O27=Dienste!$A$21,Dienste!$C$21,IF(O27=Dienste!$A$22,Dienste!$C$22,IF(O27=Dienste!$A$23,Dienste!$C$23,IF(O27=Dienste!$A$24,Dienste!$C$24,IF(O27=Dienste!$A$25,Dienste!$C$25,IF(O27=Dienste!$A$26,Dienste!$C$26,IF(O27=Dienste!$A$27,Dienste!$C$27,IF(O27=Dienste!$A$28,Dienste!$C$28,IF(O27=Dienste!#REF!,Dienste!#REF!,IF(O27=Dienste!#REF!,Dienste!#REF!,IF(O27=Dienste!#REF!,Dienste!#REF!,IF(O27=Dienste!#REF!,Dienste!#REF!,IF(O27=Dienste!$A$33,Dienste!$C$33,IF(O27=Dienste!$A$34,Dienste!$C$34,IF(O27=Dienste!$A$35,Dienste!$C$35,IF(O27=Dienste!$A$36,Dienste!$C$36,)))))))))))))))))))))))))))))))))))</f>
        <v>8</v>
      </c>
      <c r="BJ27" s="27">
        <f>IF(P27=Dienste!$A$2,Dienste!$C$2,IF(P27=Dienste!$A$3,Dienste!$C$3,IF(P27=Dienste!$A$4,Dienste!$C$4,IF(P27=Dienste!$A$5,Dienste!$C$5,IF(P27=Dienste!$A$6,Dienste!$C$6,IF(P27=Dienste!$A$7,Dienste!$C$7,IF(P27=Dienste!$A$8,Dienste!$C$8,IF(P27=Dienste!$A$9,Dienste!$C$9,IF(P27=Dienste!$A$10,Dienste!$C$10,IF(P27=Dienste!$A$11,Dienste!$C$11,IF(P27=Dienste!$A$12,Dienste!$C$12,IF(P27=Dienste!$A$13,Dienste!$C$13,IF(P27=Dienste!$A$14,Dienste!$C$14,IF(P27=Dienste!$A$15,Dienste!$C$15,IF(P27=Dienste!$A$16,Dienste!$C$16,IF(P27=Dienste!$A$17,Dienste!$C$17,IF(P27=Dienste!$A$18,Dienste!$C$18,IF(P27=Dienste!$A$19,Dienste!$C$19,IF(P27=Dienste!$A$20,Dienste!$C$20,IF(P27=Dienste!$A$21,Dienste!$C$21,IF(P27=Dienste!$A$22,Dienste!$C$22,IF(P27=Dienste!$A$23,Dienste!$C$23,IF(P27=Dienste!$A$24,Dienste!$C$24,IF(P27=Dienste!$A$25,Dienste!$C$25,IF(P27=Dienste!$A$26,Dienste!$C$26,IF(P27=Dienste!$A$27,Dienste!$C$27,IF(P27=Dienste!$A$28,Dienste!$C$28,IF(P27=Dienste!#REF!,Dienste!#REF!,IF(P27=Dienste!#REF!,Dienste!#REF!,IF(P27=Dienste!#REF!,Dienste!#REF!,IF(P27=Dienste!#REF!,Dienste!#REF!,IF(P27=Dienste!$A$33,Dienste!$C$33,IF(P27=Dienste!$A$34,Dienste!$C$34,IF(P27=Dienste!$A$35,Dienste!$C$35,IF(P27=Dienste!$A$36,Dienste!$C$36,)))))))))))))))))))))))))))))))))))</f>
        <v>8</v>
      </c>
      <c r="BK27" s="27">
        <f>IF(Q27=Dienste!$A$2,Dienste!$C$2,IF(Q27=Dienste!$A$3,Dienste!$C$3,IF(Q27=Dienste!$A$4,Dienste!$C$4,IF(Q27=Dienste!$A$5,Dienste!$C$5,IF(Q27=Dienste!$A$6,Dienste!$C$6,IF(Q27=Dienste!$A$7,Dienste!$C$7,IF(Q27=Dienste!$A$8,Dienste!$C$8,IF(Q27=Dienste!$A$9,Dienste!$C$9,IF(Q27=Dienste!$A$10,Dienste!$C$10,IF(Q27=Dienste!$A$11,Dienste!$C$11,IF(Q27=Dienste!$A$12,Dienste!$C$12,IF(Q27=Dienste!$A$13,Dienste!$C$13,IF(Q27=Dienste!$A$14,Dienste!$C$14,IF(Q27=Dienste!$A$15,Dienste!$C$15,IF(Q27=Dienste!$A$16,Dienste!$C$16,IF(Q27=Dienste!$A$17,Dienste!$C$17,IF(Q27=Dienste!$A$18,Dienste!$C$18,IF(Q27=Dienste!$A$19,Dienste!$C$19,IF(Q27=Dienste!$A$20,Dienste!$C$20,IF(Q27=Dienste!$A$21,Dienste!$C$21,IF(Q27=Dienste!$A$22,Dienste!$C$22,IF(Q27=Dienste!$A$23,Dienste!$C$23,IF(Q27=Dienste!$A$24,Dienste!$C$24,IF(Q27=Dienste!$A$25,Dienste!$C$25,IF(Q27=Dienste!$A$26,Dienste!$C$26,IF(Q27=Dienste!$A$27,Dienste!$C$27,IF(Q27=Dienste!$A$28,Dienste!$C$28,IF(Q27=Dienste!#REF!,Dienste!#REF!,IF(Q27=Dienste!#REF!,Dienste!#REF!,IF(Q27=Dienste!#REF!,Dienste!#REF!,IF(Q27=Dienste!#REF!,Dienste!#REF!,IF(Q27=Dienste!$A$33,Dienste!$C$33,IF(Q27=Dienste!$A$34,Dienste!$C$34,IF(Q27=Dienste!$A$35,Dienste!$C$35,IF(Q27=Dienste!$A$36,Dienste!$C$36,)))))))))))))))))))))))))))))))))))</f>
        <v>8</v>
      </c>
      <c r="BL27" s="27">
        <f>IF(R27=Dienste!$A$2,Dienste!$C$2,IF(R27=Dienste!$A$3,Dienste!$C$3,IF(R27=Dienste!$A$4,Dienste!$C$4,IF(R27=Dienste!$A$5,Dienste!$C$5,IF(R27=Dienste!$A$6,Dienste!$C$6,IF(R27=Dienste!$A$7,Dienste!$C$7,IF(R27=Dienste!$A$8,Dienste!$C$8,IF(R27=Dienste!$A$9,Dienste!$C$9,IF(R27=Dienste!$A$10,Dienste!$C$10,IF(R27=Dienste!$A$11,Dienste!$C$11,IF(R27=Dienste!$A$12,Dienste!$C$12,IF(R27=Dienste!$A$13,Dienste!$C$13,IF(R27=Dienste!$A$14,Dienste!$C$14,IF(R27=Dienste!$A$15,Dienste!$C$15,IF(R27=Dienste!$A$16,Dienste!$C$16,IF(R27=Dienste!$A$17,Dienste!$C$17,IF(R27=Dienste!$A$18,Dienste!$C$18,IF(R27=Dienste!$A$19,Dienste!$C$19,IF(R27=Dienste!$A$20,Dienste!$C$20,IF(R27=Dienste!$A$21,Dienste!$C$21,IF(R27=Dienste!$A$22,Dienste!$C$22,IF(R27=Dienste!$A$23,Dienste!$C$23,IF(R27=Dienste!$A$24,Dienste!$C$24,IF(R27=Dienste!$A$25,Dienste!$C$25,IF(R27=Dienste!$A$26,Dienste!$C$26,IF(R27=Dienste!$A$27,Dienste!$C$27,IF(R27=Dienste!$A$28,Dienste!$C$28,IF(R27=Dienste!#REF!,Dienste!#REF!,IF(R27=Dienste!#REF!,Dienste!#REF!,IF(R27=Dienste!#REF!,Dienste!#REF!,IF(R27=Dienste!#REF!,Dienste!#REF!,IF(R27=Dienste!$A$33,Dienste!$C$33,IF(R27=Dienste!$A$34,Dienste!$C$34,IF(R27=Dienste!$A$35,Dienste!$C$35,IF(R27=Dienste!$A$36,Dienste!$C$36,)))))))))))))))))))))))))))))))))))</f>
        <v>8</v>
      </c>
      <c r="BM27" s="27" t="e">
        <f>IF(S27=Dienste!$A$2,Dienste!$C$2,IF(S27=Dienste!$A$3,Dienste!$C$3,IF(S27=Dienste!$A$4,Dienste!$C$4,IF(S27=Dienste!$A$5,Dienste!$C$5,IF(S27=Dienste!$A$6,Dienste!$C$6,IF(S27=Dienste!$A$7,Dienste!$C$7,IF(S27=Dienste!$A$8,Dienste!$C$8,IF(S27=Dienste!$A$9,Dienste!$C$9,IF(S27=Dienste!$A$10,Dienste!$C$10,IF(S27=Dienste!$A$11,Dienste!$C$11,IF(S27=Dienste!$A$12,Dienste!$C$12,IF(S27=Dienste!$A$13,Dienste!$C$13,IF(S27=Dienste!$A$14,Dienste!$C$14,IF(S27=Dienste!$A$15,Dienste!$C$15,IF(S27=Dienste!$A$16,Dienste!$C$16,IF(S27=Dienste!$A$17,Dienste!$C$17,IF(S27=Dienste!$A$18,Dienste!$C$18,IF(S27=Dienste!$A$19,Dienste!$C$19,IF(S27=Dienste!$A$20,Dienste!$C$20,IF(S27=Dienste!$A$21,Dienste!$C$21,IF(S27=Dienste!$A$22,Dienste!$C$22,IF(S27=Dienste!$A$23,Dienste!$C$23,IF(S27=Dienste!$A$24,Dienste!$C$24,IF(S27=Dienste!$A$25,Dienste!$C$25,IF(S27=Dienste!$A$26,Dienste!$C$26,IF(S27=Dienste!$A$27,Dienste!$C$27,IF(S27=Dienste!$A$28,Dienste!$C$28,IF(S27=Dienste!#REF!,Dienste!#REF!,IF(S27=Dienste!#REF!,Dienste!#REF!,IF(S27=Dienste!#REF!,Dienste!#REF!,IF(S27=Dienste!#REF!,Dienste!#REF!,IF(S27=Dienste!$A$33,Dienste!$C$33,IF(S27=Dienste!$A$34,Dienste!$C$34,IF(S27=Dienste!$A$35,Dienste!$C$35,IF(S27=Dienste!$A$36,Dienste!$C$36,)))))))))))))))))))))))))))))))))))</f>
        <v>#REF!</v>
      </c>
      <c r="BN27" s="27">
        <f>IF(T27=Dienste!$A$2,Dienste!$C$2,IF(T27=Dienste!$A$3,Dienste!$C$3,IF(T27=Dienste!$A$4,Dienste!$C$4,IF(T27=Dienste!$A$5,Dienste!$C$5,IF(T27=Dienste!$A$6,Dienste!$C$6,IF(T27=Dienste!$A$7,Dienste!$C$7,IF(T27=Dienste!$A$8,Dienste!$C$8,IF(T27=Dienste!$A$9,Dienste!$C$9,IF(T27=Dienste!$A$10,Dienste!$C$10,IF(T27=Dienste!$A$11,Dienste!$C$11,IF(T27=Dienste!$A$12,Dienste!$C$12,IF(T27=Dienste!$A$13,Dienste!$C$13,IF(T27=Dienste!$A$14,Dienste!$C$14,IF(T27=Dienste!$A$15,Dienste!$C$15,IF(T27=Dienste!$A$16,Dienste!$C$16,IF(T27=Dienste!$A$17,Dienste!$C$17,IF(T27=Dienste!$A$18,Dienste!$C$18,IF(T27=Dienste!$A$19,Dienste!$C$19,IF(T27=Dienste!$A$20,Dienste!$C$20,IF(T27=Dienste!$A$21,Dienste!$C$21,IF(T27=Dienste!$A$22,Dienste!$C$22,IF(T27=Dienste!$A$23,Dienste!$C$23,IF(T27=Dienste!$A$24,Dienste!$C$24,IF(T27=Dienste!$A$25,Dienste!$C$25,IF(T27=Dienste!$A$26,Dienste!$C$26,IF(T27=Dienste!$A$27,Dienste!$C$27,IF(T27=Dienste!$A$28,Dienste!$C$28,IF(T27=Dienste!#REF!,Dienste!#REF!,IF(T27=Dienste!#REF!,Dienste!#REF!,IF(T27=Dienste!#REF!,Dienste!#REF!,IF(T27=Dienste!#REF!,Dienste!#REF!,IF(T27=Dienste!$A$33,Dienste!$C$33,IF(T27=Dienste!$A$34,Dienste!$C$34,IF(T27=Dienste!$A$35,Dienste!$C$35,IF(T27=Dienste!$A$36,Dienste!$C$36,)))))))))))))))))))))))))))))))))))</f>
        <v>8</v>
      </c>
      <c r="BO27" s="27">
        <f>IF(U27=Dienste!$A$2,Dienste!$C$2,IF(U27=Dienste!$A$3,Dienste!$C$3,IF(U27=Dienste!$A$4,Dienste!$C$4,IF(U27=Dienste!$A$5,Dienste!$C$5,IF(U27=Dienste!$A$6,Dienste!$C$6,IF(U27=Dienste!$A$7,Dienste!$C$7,IF(U27=Dienste!$A$8,Dienste!$C$8,IF(U27=Dienste!$A$9,Dienste!$C$9,IF(U27=Dienste!$A$10,Dienste!$C$10,IF(U27=Dienste!$A$11,Dienste!$C$11,IF(U27=Dienste!$A$12,Dienste!$C$12,IF(U27=Dienste!$A$13,Dienste!$C$13,IF(U27=Dienste!$A$14,Dienste!$C$14,IF(U27=Dienste!$A$15,Dienste!$C$15,IF(U27=Dienste!$A$16,Dienste!$C$16,IF(U27=Dienste!$A$17,Dienste!$C$17,IF(U27=Dienste!$A$18,Dienste!$C$18,IF(U27=Dienste!$A$19,Dienste!$C$19,IF(U27=Dienste!$A$20,Dienste!$C$20,IF(U27=Dienste!$A$21,Dienste!$C$21,IF(U27=Dienste!$A$22,Dienste!$C$22,IF(U27=Dienste!$A$23,Dienste!$C$23,IF(U27=Dienste!$A$24,Dienste!$C$24,IF(U27=Dienste!$A$25,Dienste!$C$25,IF(U27=Dienste!$A$26,Dienste!$C$26,IF(U27=Dienste!$A$27,Dienste!$C$27,IF(U27=Dienste!$A$28,Dienste!$C$28,IF(U27=Dienste!#REF!,Dienste!#REF!,IF(U27=Dienste!#REF!,Dienste!#REF!,IF(U27=Dienste!#REF!,Dienste!#REF!,IF(U27=Dienste!#REF!,Dienste!#REF!,IF(U27=Dienste!$A$33,Dienste!$C$33,IF(U27=Dienste!$A$34,Dienste!$C$34,IF(U27=Dienste!$A$35,Dienste!$C$35,IF(U27=Dienste!$A$36,Dienste!$C$36,)))))))))))))))))))))))))))))))))))</f>
        <v>0</v>
      </c>
      <c r="BP27" s="27">
        <f>IF(V27=Dienste!$A$2,Dienste!$C$2,IF(V27=Dienste!$A$3,Dienste!$C$3,IF(V27=Dienste!$A$4,Dienste!$C$4,IF(V27=Dienste!$A$5,Dienste!$C$5,IF(V27=Dienste!$A$6,Dienste!$C$6,IF(V27=Dienste!$A$7,Dienste!$C$7,IF(V27=Dienste!$A$8,Dienste!$C$8,IF(V27=Dienste!$A$9,Dienste!$C$9,IF(V27=Dienste!$A$10,Dienste!$C$10,IF(V27=Dienste!$A$11,Dienste!$C$11,IF(V27=Dienste!$A$12,Dienste!$C$12,IF(V27=Dienste!$A$13,Dienste!$C$13,IF(V27=Dienste!$A$14,Dienste!$C$14,IF(V27=Dienste!$A$15,Dienste!$C$15,IF(V27=Dienste!$A$16,Dienste!$C$16,IF(V27=Dienste!$A$17,Dienste!$C$17,IF(V27=Dienste!$A$18,Dienste!$C$18,IF(V27=Dienste!$A$19,Dienste!$C$19,IF(V27=Dienste!$A$20,Dienste!$C$20,IF(V27=Dienste!$A$21,Dienste!$C$21,IF(V27=Dienste!$A$22,Dienste!$C$22,IF(V27=Dienste!$A$23,Dienste!$C$23,IF(V27=Dienste!$A$24,Dienste!$C$24,IF(V27=Dienste!$A$25,Dienste!$C$25,IF(V27=Dienste!$A$26,Dienste!$C$26,IF(V27=Dienste!$A$27,Dienste!$C$27,IF(V27=Dienste!$A$28,Dienste!$C$28,IF(V27=Dienste!#REF!,Dienste!#REF!,IF(V27=Dienste!#REF!,Dienste!#REF!,IF(V27=Dienste!#REF!,Dienste!#REF!,IF(V27=Dienste!#REF!,Dienste!#REF!,IF(V27=Dienste!$A$33,Dienste!$C$33,IF(V27=Dienste!$A$34,Dienste!$C$34,IF(V27=Dienste!$A$35,Dienste!$C$35,IF(V27=Dienste!$A$36,Dienste!$C$36,)))))))))))))))))))))))))))))))))))</f>
        <v>8</v>
      </c>
      <c r="BQ27" s="27">
        <f>IF(W27=Dienste!$A$2,Dienste!$C$2,IF(W27=Dienste!$A$3,Dienste!$C$3,IF(W27=Dienste!$A$4,Dienste!$C$4,IF(W27=Dienste!$A$5,Dienste!$C$5,IF(W27=Dienste!$A$6,Dienste!$C$6,IF(W27=Dienste!$A$7,Dienste!$C$7,IF(W27=Dienste!$A$8,Dienste!$C$8,IF(W27=Dienste!$A$9,Dienste!$C$9,IF(W27=Dienste!$A$10,Dienste!$C$10,IF(W27=Dienste!$A$11,Dienste!$C$11,IF(W27=Dienste!$A$12,Dienste!$C$12,IF(W27=Dienste!$A$13,Dienste!$C$13,IF(W27=Dienste!$A$14,Dienste!$C$14,IF(W27=Dienste!$A$15,Dienste!$C$15,IF(W27=Dienste!$A$16,Dienste!$C$16,IF(W27=Dienste!$A$17,Dienste!$C$17,IF(W27=Dienste!$A$18,Dienste!$C$18,IF(W27=Dienste!$A$19,Dienste!$C$19,IF(W27=Dienste!$A$20,Dienste!$C$20,IF(W27=Dienste!$A$21,Dienste!$C$21,IF(W27=Dienste!$A$22,Dienste!$C$22,IF(W27=Dienste!$A$23,Dienste!$C$23,IF(W27=Dienste!$A$24,Dienste!$C$24,IF(W27=Dienste!$A$25,Dienste!$C$25,IF(W27=Dienste!$A$26,Dienste!$C$26,IF(W27=Dienste!$A$27,Dienste!$C$27,IF(W27=Dienste!$A$28,Dienste!$C$28,IF(W27=Dienste!#REF!,Dienste!#REF!,IF(W27=Dienste!#REF!,Dienste!#REF!,IF(W27=Dienste!#REF!,Dienste!#REF!,IF(W27=Dienste!#REF!,Dienste!#REF!,IF(W27=Dienste!$A$33,Dienste!$C$33,IF(W27=Dienste!$A$34,Dienste!$C$34,IF(W27=Dienste!$A$35,Dienste!$C$35,IF(W27=Dienste!$A$36,Dienste!$C$36,)))))))))))))))))))))))))))))))))))</f>
        <v>8</v>
      </c>
      <c r="BR27" s="27">
        <f>IF(X27=Dienste!$A$2,Dienste!$C$2,IF(X27=Dienste!$A$3,Dienste!$C$3,IF(X27=Dienste!$A$4,Dienste!$C$4,IF(X27=Dienste!$A$5,Dienste!$C$5,IF(X27=Dienste!$A$6,Dienste!$C$6,IF(X27=Dienste!$A$7,Dienste!$C$7,IF(X27=Dienste!$A$8,Dienste!$C$8,IF(X27=Dienste!$A$9,Dienste!$C$9,IF(X27=Dienste!$A$10,Dienste!$C$10,IF(X27=Dienste!$A$11,Dienste!$C$11,IF(X27=Dienste!$A$12,Dienste!$C$12,IF(X27=Dienste!$A$13,Dienste!$C$13,IF(X27=Dienste!$A$14,Dienste!$C$14,IF(X27=Dienste!$A$15,Dienste!$C$15,IF(X27=Dienste!$A$16,Dienste!$C$16,IF(X27=Dienste!$A$17,Dienste!$C$17,IF(X27=Dienste!$A$18,Dienste!$C$18,IF(X27=Dienste!$A$19,Dienste!$C$19,IF(X27=Dienste!$A$20,Dienste!$C$20,IF(X27=Dienste!$A$21,Dienste!$C$21,IF(X27=Dienste!$A$22,Dienste!$C$22,IF(X27=Dienste!$A$23,Dienste!$C$23,IF(X27=Dienste!$A$24,Dienste!$C$24,IF(X27=Dienste!$A$25,Dienste!$C$25,IF(X27=Dienste!$A$26,Dienste!$C$26,IF(X27=Dienste!$A$27,Dienste!$C$27,IF(X27=Dienste!$A$28,Dienste!$C$28,IF(X27=Dienste!#REF!,Dienste!#REF!,IF(X27=Dienste!#REF!,Dienste!#REF!,IF(X27=Dienste!#REF!,Dienste!#REF!,IF(X27=Dienste!#REF!,Dienste!#REF!,IF(X27=Dienste!$A$33,Dienste!$C$33,IF(X27=Dienste!$A$34,Dienste!$C$34,IF(X27=Dienste!$A$35,Dienste!$C$35,IF(X27=Dienste!$A$36,Dienste!$C$36,)))))))))))))))))))))))))))))))))))</f>
        <v>8</v>
      </c>
      <c r="BS27" s="27">
        <f>IF(Y27=Dienste!$A$2,Dienste!$C$2,IF(Y27=Dienste!$A$3,Dienste!$C$3,IF(Y27=Dienste!$A$4,Dienste!$C$4,IF(Y27=Dienste!$A$5,Dienste!$C$5,IF(Y27=Dienste!$A$6,Dienste!$C$6,IF(Y27=Dienste!$A$7,Dienste!$C$7,IF(Y27=Dienste!$A$8,Dienste!$C$8,IF(Y27=Dienste!$A$9,Dienste!$C$9,IF(Y27=Dienste!$A$10,Dienste!$C$10,IF(Y27=Dienste!$A$11,Dienste!$C$11,IF(Y27=Dienste!$A$12,Dienste!$C$12,IF(Y27=Dienste!$A$13,Dienste!$C$13,IF(Y27=Dienste!$A$14,Dienste!$C$14,IF(Y27=Dienste!$A$15,Dienste!$C$15,IF(Y27=Dienste!$A$16,Dienste!$C$16,IF(Y27=Dienste!$A$17,Dienste!$C$17,IF(Y27=Dienste!$A$18,Dienste!$C$18,IF(Y27=Dienste!$A$19,Dienste!$C$19,IF(Y27=Dienste!$A$20,Dienste!$C$20,IF(Y27=Dienste!$A$21,Dienste!$C$21,IF(Y27=Dienste!$A$22,Dienste!$C$22,IF(Y27=Dienste!$A$23,Dienste!$C$23,IF(Y27=Dienste!$A$24,Dienste!$C$24,IF(Y27=Dienste!$A$25,Dienste!$C$25,IF(Y27=Dienste!$A$26,Dienste!$C$26,IF(Y27=Dienste!$A$27,Dienste!$C$27,IF(Y27=Dienste!$A$28,Dienste!$C$28,IF(Y27=Dienste!#REF!,Dienste!#REF!,IF(Y27=Dienste!#REF!,Dienste!#REF!,IF(Y27=Dienste!#REF!,Dienste!#REF!,IF(Y27=Dienste!#REF!,Dienste!#REF!,IF(Y27=Dienste!$A$33,Dienste!$C$33,IF(Y27=Dienste!$A$34,Dienste!$C$34,IF(Y27=Dienste!$A$35,Dienste!$C$35,IF(Y27=Dienste!$A$36,Dienste!$C$36,)))))))))))))))))))))))))))))))))))</f>
        <v>8</v>
      </c>
      <c r="BT27" s="27">
        <f>IF(Z27=Dienste!$A$2,Dienste!$C$2,IF(Z27=Dienste!$A$3,Dienste!$C$3,IF(Z27=Dienste!$A$4,Dienste!$C$4,IF(Z27=Dienste!$A$5,Dienste!$C$5,IF(Z27=Dienste!$A$6,Dienste!$C$6,IF(Z27=Dienste!$A$7,Dienste!$C$7,IF(Z27=Dienste!$A$8,Dienste!$C$8,IF(Z27=Dienste!$A$9,Dienste!$C$9,IF(Z27=Dienste!$A$10,Dienste!$C$10,IF(Z27=Dienste!$A$11,Dienste!$C$11,IF(Z27=Dienste!$A$12,Dienste!$C$12,IF(Z27=Dienste!$A$13,Dienste!$C$13,IF(Z27=Dienste!$A$14,Dienste!$C$14,IF(Z27=Dienste!$A$15,Dienste!$C$15,IF(Z27=Dienste!$A$16,Dienste!$C$16,IF(Z27=Dienste!$A$17,Dienste!$C$17,IF(Z27=Dienste!$A$18,Dienste!$C$18,IF(Z27=Dienste!$A$19,Dienste!$C$19,IF(Z27=Dienste!$A$20,Dienste!$C$20,IF(Z27=Dienste!$A$21,Dienste!$C$21,IF(Z27=Dienste!$A$22,Dienste!$C$22,IF(Z27=Dienste!$A$23,Dienste!$C$23,IF(Z27=Dienste!$A$24,Dienste!$C$24,IF(Z27=Dienste!$A$25,Dienste!$C$25,IF(Z27=Dienste!$A$26,Dienste!$C$26,IF(Z27=Dienste!$A$27,Dienste!$C$27,IF(Z27=Dienste!$A$28,Dienste!$C$28,IF(Z27=Dienste!#REF!,Dienste!#REF!,IF(Z27=Dienste!#REF!,Dienste!#REF!,IF(Z27=Dienste!#REF!,Dienste!#REF!,IF(Z27=Dienste!#REF!,Dienste!#REF!,IF(Z27=Dienste!$A$33,Dienste!$C$33,IF(Z27=Dienste!$A$34,Dienste!$C$34,IF(Z27=Dienste!$A$35,Dienste!$C$35,IF(Z27=Dienste!$A$36,Dienste!$C$36,)))))))))))))))))))))))))))))))))))</f>
        <v>8</v>
      </c>
      <c r="BU27" s="27">
        <f>IF(AA27=Dienste!$A$2,Dienste!$C$2,IF(AA27=Dienste!$A$3,Dienste!$C$3,IF(AA27=Dienste!$A$4,Dienste!$C$4,IF(AA27=Dienste!$A$5,Dienste!$C$5,IF(AA27=Dienste!$A$6,Dienste!$C$6,IF(AA27=Dienste!$A$7,Dienste!$C$7,IF(AA27=Dienste!$A$8,Dienste!$C$8,IF(AA27=Dienste!$A$9,Dienste!$C$9,IF(AA27=Dienste!$A$10,Dienste!$C$10,IF(AA27=Dienste!$A$11,Dienste!$C$11,IF(AA27=Dienste!$A$12,Dienste!$C$12,IF(AA27=Dienste!$A$13,Dienste!$C$13,IF(AA27=Dienste!$A$14,Dienste!$C$14,IF(AA27=Dienste!$A$15,Dienste!$C$15,IF(AA27=Dienste!$A$16,Dienste!$C$16,IF(AA27=Dienste!$A$17,Dienste!$C$17,IF(AA27=Dienste!$A$18,Dienste!$C$18,IF(AA27=Dienste!$A$19,Dienste!$C$19,IF(AA27=Dienste!$A$20,Dienste!$C$20,IF(AA27=Dienste!$A$21,Dienste!$C$21,IF(AA27=Dienste!$A$22,Dienste!$C$22,IF(AA27=Dienste!$A$23,Dienste!$C$23,IF(AA27=Dienste!$A$24,Dienste!$C$24,IF(AA27=Dienste!$A$25,Dienste!$C$25,IF(AA27=Dienste!$A$26,Dienste!$C$26,IF(AA27=Dienste!$A$27,Dienste!$C$27,IF(AA27=Dienste!$A$28,Dienste!$C$28,IF(AA27=Dienste!#REF!,Dienste!#REF!,IF(AA27=Dienste!#REF!,Dienste!#REF!,IF(AA27=Dienste!#REF!,Dienste!#REF!,IF(AA27=Dienste!#REF!,Dienste!#REF!,IF(AA27=Dienste!$A$33,Dienste!$C$33,IF(AA27=Dienste!$A$34,Dienste!$C$34,IF(AA27=Dienste!$A$35,Dienste!$C$35,IF(AA27=Dienste!$A$36,Dienste!$C$36,)))))))))))))))))))))))))))))))))))</f>
        <v>8</v>
      </c>
      <c r="BV27" s="27">
        <f>IF(AB27=Dienste!$A$2,Dienste!$C$2,IF(AB27=Dienste!$A$3,Dienste!$C$3,IF(AB27=Dienste!$A$4,Dienste!$C$4,IF(AB27=Dienste!$A$5,Dienste!$C$5,IF(AB27=Dienste!$A$6,Dienste!$C$6,IF(AB27=Dienste!$A$7,Dienste!$C$7,IF(AB27=Dienste!$A$8,Dienste!$C$8,IF(AB27=Dienste!$A$9,Dienste!$C$9,IF(AB27=Dienste!$A$10,Dienste!$C$10,IF(AB27=Dienste!$A$11,Dienste!$C$11,IF(AB27=Dienste!$A$12,Dienste!$C$12,IF(AB27=Dienste!$A$13,Dienste!$C$13,IF(AB27=Dienste!$A$14,Dienste!$C$14,IF(AB27=Dienste!$A$15,Dienste!$C$15,IF(AB27=Dienste!$A$16,Dienste!$C$16,IF(AB27=Dienste!$A$17,Dienste!$C$17,IF(AB27=Dienste!$A$18,Dienste!$C$18,IF(AB27=Dienste!$A$19,Dienste!$C$19,IF(AB27=Dienste!$A$20,Dienste!$C$20,IF(AB27=Dienste!$A$21,Dienste!$C$21,IF(AB27=Dienste!$A$22,Dienste!$C$22,IF(AB27=Dienste!$A$23,Dienste!$C$23,IF(AB27=Dienste!$A$24,Dienste!$C$24,IF(AB27=Dienste!$A$25,Dienste!$C$25,IF(AB27=Dienste!$A$26,Dienste!$C$26,IF(AB27=Dienste!$A$27,Dienste!$C$27,IF(AB27=Dienste!$A$28,Dienste!$C$28,IF(AB27=Dienste!#REF!,Dienste!#REF!,IF(AB27=Dienste!#REF!,Dienste!#REF!,IF(AB27=Dienste!#REF!,Dienste!#REF!,IF(AB27=Dienste!#REF!,Dienste!#REF!,IF(AB27=Dienste!$A$33,Dienste!$C$33,IF(AB27=Dienste!$A$34,Dienste!$C$34,IF(AB27=Dienste!$A$35,Dienste!$C$35,IF(AB27=Dienste!$A$36,Dienste!$C$36,)))))))))))))))))))))))))))))))))))</f>
        <v>9</v>
      </c>
      <c r="BW27" s="27">
        <f>IF(AC27=Dienste!$A$2,Dienste!$C$2,IF(AC27=Dienste!$A$3,Dienste!$C$3,IF(AC27=Dienste!$A$4,Dienste!$C$4,IF(AC27=Dienste!$A$5,Dienste!$C$5,IF(AC27=Dienste!$A$6,Dienste!$C$6,IF(AC27=Dienste!$A$7,Dienste!$C$7,IF(AC27=Dienste!$A$8,Dienste!$C$8,IF(AC27=Dienste!$A$9,Dienste!$C$9,IF(AC27=Dienste!$A$10,Dienste!$C$10,IF(AC27=Dienste!$A$11,Dienste!$C$11,IF(AC27=Dienste!$A$12,Dienste!$C$12,IF(AC27=Dienste!$A$13,Dienste!$C$13,IF(AC27=Dienste!$A$14,Dienste!$C$14,IF(AC27=Dienste!$A$15,Dienste!$C$15,IF(AC27=Dienste!$A$16,Dienste!$C$16,IF(AC27=Dienste!$A$17,Dienste!$C$17,IF(AC27=Dienste!$A$18,Dienste!$C$18,IF(AC27=Dienste!$A$19,Dienste!$C$19,IF(AC27=Dienste!$A$20,Dienste!$C$20,IF(AC27=Dienste!$A$21,Dienste!$C$21,IF(AC27=Dienste!$A$22,Dienste!$C$22,IF(AC27=Dienste!$A$23,Dienste!$C$23,IF(AC27=Dienste!$A$24,Dienste!$C$24,IF(AC27=Dienste!$A$25,Dienste!$C$25,IF(AC27=Dienste!$A$26,Dienste!$C$26,IF(AC27=Dienste!$A$27,Dienste!$C$27,IF(AC27=Dienste!$A$28,Dienste!$C$28,IF(AC27=Dienste!#REF!,Dienste!#REF!,IF(AC27=Dienste!#REF!,Dienste!#REF!,IF(AC27=Dienste!#REF!,Dienste!#REF!,IF(AC27=Dienste!#REF!,Dienste!#REF!,IF(AC27=Dienste!$A$33,Dienste!$C$33,IF(AC27=Dienste!$A$34,Dienste!$C$34,IF(AC27=Dienste!$A$35,Dienste!$C$35,IF(AC27=Dienste!$A$36,Dienste!$C$36,)))))))))))))))))))))))))))))))))))</f>
        <v>8</v>
      </c>
      <c r="BX27" s="27">
        <f>IF(AD27=Dienste!$A$2,Dienste!$C$2,IF(AD27=Dienste!$A$3,Dienste!$C$3,IF(AD27=Dienste!$A$4,Dienste!$C$4,IF(AD27=Dienste!$A$5,Dienste!$C$5,IF(AD27=Dienste!$A$6,Dienste!$C$6,IF(AD27=Dienste!$A$7,Dienste!$C$7,IF(AD27=Dienste!$A$8,Dienste!$C$8,IF(AD27=Dienste!$A$9,Dienste!$C$9,IF(AD27=Dienste!$A$10,Dienste!$C$10,IF(AD27=Dienste!$A$11,Dienste!$C$11,IF(AD27=Dienste!$A$12,Dienste!$C$12,IF(AD27=Dienste!$A$13,Dienste!$C$13,IF(AD27=Dienste!$A$14,Dienste!$C$14,IF(AD27=Dienste!$A$15,Dienste!$C$15,IF(AD27=Dienste!$A$16,Dienste!$C$16,IF(AD27=Dienste!$A$17,Dienste!$C$17,IF(AD27=Dienste!$A$18,Dienste!$C$18,IF(AD27=Dienste!$A$19,Dienste!$C$19,IF(AD27=Dienste!$A$20,Dienste!$C$20,IF(AD27=Dienste!$A$21,Dienste!$C$21,IF(AD27=Dienste!$A$22,Dienste!$C$22,IF(AD27=Dienste!$A$23,Dienste!$C$23,IF(AD27=Dienste!$A$24,Dienste!$C$24,IF(AD27=Dienste!$A$25,Dienste!$C$25,IF(AD27=Dienste!$A$26,Dienste!$C$26,IF(AD27=Dienste!$A$27,Dienste!$C$27,IF(AD27=Dienste!$A$28,Dienste!$C$28,IF(AD27=Dienste!#REF!,Dienste!#REF!,IF(AD27=Dienste!#REF!,Dienste!#REF!,IF(AD27=Dienste!#REF!,Dienste!#REF!,IF(AD27=Dienste!#REF!,Dienste!#REF!,IF(AD27=Dienste!$A$33,Dienste!$C$33,IF(AD27=Dienste!$A$34,Dienste!$C$34,IF(AD27=Dienste!$A$35,Dienste!$C$35,IF(AD27=Dienste!$A$36,Dienste!$C$36,)))))))))))))))))))))))))))))))))))</f>
        <v>0</v>
      </c>
      <c r="BY27" s="27">
        <f>IF(AE27=Dienste!$A$2,Dienste!$C$2,IF(AE27=Dienste!$A$3,Dienste!$C$3,IF(AE27=Dienste!$A$4,Dienste!$C$4,IF(AE27=Dienste!$A$5,Dienste!$C$5,IF(AE27=Dienste!$A$6,Dienste!$C$6,IF(AE27=Dienste!$A$7,Dienste!$C$7,IF(AE27=Dienste!$A$8,Dienste!$C$8,IF(AE27=Dienste!$A$9,Dienste!$C$9,IF(AE27=Dienste!$A$10,Dienste!$C$10,IF(AE27=Dienste!$A$11,Dienste!$C$11,IF(AE27=Dienste!$A$12,Dienste!$C$12,IF(AE27=Dienste!$A$13,Dienste!$C$13,IF(AE27=Dienste!$A$14,Dienste!$C$14,IF(AE27=Dienste!$A$15,Dienste!$C$15,IF(AE27=Dienste!$A$16,Dienste!$C$16,IF(AE27=Dienste!$A$17,Dienste!$C$17,IF(AE27=Dienste!$A$18,Dienste!$C$18,IF(AE27=Dienste!$A$19,Dienste!$C$19,IF(AE27=Dienste!$A$20,Dienste!$C$20,IF(AE27=Dienste!$A$21,Dienste!$C$21,IF(AE27=Dienste!$A$22,Dienste!$C$22,IF(AE27=Dienste!$A$23,Dienste!$C$23,IF(AE27=Dienste!$A$24,Dienste!$C$24,IF(AE27=Dienste!$A$25,Dienste!$C$25,IF(AE27=Dienste!$A$26,Dienste!$C$26,IF(AE27=Dienste!$A$27,Dienste!$C$27,IF(AE27=Dienste!$A$28,Dienste!$C$28,IF(AE27=Dienste!#REF!,Dienste!#REF!,IF(AE27=Dienste!#REF!,Dienste!#REF!,IF(AE27=Dienste!#REF!,Dienste!#REF!,IF(AE27=Dienste!#REF!,Dienste!#REF!,IF(AE27=Dienste!$A$33,Dienste!$C$33,IF(AE27=Dienste!$A$34,Dienste!$C$34,IF(AE27=Dienste!$A$35,Dienste!$C$35,IF(AE27=Dienste!$A$36,Dienste!$C$36,)))))))))))))))))))))))))))))))))))</f>
        <v>0</v>
      </c>
      <c r="BZ27" s="27">
        <f>IF(AF27=Dienste!$A$2,Dienste!$C$2,IF(AF27=Dienste!$A$3,Dienste!$C$3,IF(AF27=Dienste!$A$4,Dienste!$C$4,IF(AF27=Dienste!$A$5,Dienste!$C$5,IF(AF27=Dienste!$A$6,Dienste!$C$6,IF(AF27=Dienste!$A$7,Dienste!$C$7,IF(AF27=Dienste!$A$8,Dienste!$C$8,IF(AF27=Dienste!$A$9,Dienste!$C$9,IF(AF27=Dienste!$A$10,Dienste!$C$10,IF(AF27=Dienste!$A$11,Dienste!$C$11,IF(AF27=Dienste!$A$12,Dienste!$C$12,IF(AF27=Dienste!$A$13,Dienste!$C$13,IF(AF27=Dienste!$A$14,Dienste!$C$14,IF(AF27=Dienste!$A$15,Dienste!$C$15,IF(AF27=Dienste!$A$16,Dienste!$C$16,IF(AF27=Dienste!$A$17,Dienste!$C$17,IF(AF27=Dienste!$A$18,Dienste!$C$18,IF(AF27=Dienste!$A$19,Dienste!$C$19,IF(AF27=Dienste!$A$20,Dienste!$C$20,IF(AF27=Dienste!$A$21,Dienste!$C$21,IF(AF27=Dienste!$A$22,Dienste!$C$22,IF(AF27=Dienste!$A$23,Dienste!$C$23,IF(AF27=Dienste!$A$24,Dienste!$C$24,IF(AF27=Dienste!$A$25,Dienste!$C$25,IF(AF27=Dienste!$A$26,Dienste!$C$26,IF(AF27=Dienste!$A$27,Dienste!$C$27,IF(AF27=Dienste!$A$28,Dienste!$C$28,IF(AF27=Dienste!#REF!,Dienste!#REF!,IF(AF27=Dienste!#REF!,Dienste!#REF!,IF(AF27=Dienste!#REF!,Dienste!#REF!,IF(AF27=Dienste!#REF!,Dienste!#REF!,IF(AF27=Dienste!$A$33,Dienste!$C$33,IF(AF27=Dienste!$A$34,Dienste!$C$34,IF(AF27=Dienste!$A$35,Dienste!$C$35,IF(AF27=Dienste!$A$36,Dienste!$C$36,)))))))))))))))))))))))))))))))))))</f>
        <v>0</v>
      </c>
      <c r="CA27" s="27">
        <f>IF(AG27=Dienste!$A$2,Dienste!$C$2,IF(AG27=Dienste!$A$3,Dienste!$C$3,IF(AG27=Dienste!$A$4,Dienste!$C$4,IF(AG27=Dienste!$A$5,Dienste!$C$5,IF(AG27=Dienste!$A$6,Dienste!$C$6,IF(AG27=Dienste!$A$7,Dienste!$C$7,IF(AG27=Dienste!$A$8,Dienste!$C$8,IF(AG27=Dienste!$A$9,Dienste!$C$9,IF(AG27=Dienste!$A$10,Dienste!$C$10,IF(AG27=Dienste!$A$11,Dienste!$C$11,IF(AG27=Dienste!$A$12,Dienste!$C$12,IF(AG27=Dienste!$A$13,Dienste!$C$13,IF(AG27=Dienste!$A$14,Dienste!$C$14,IF(AG27=Dienste!$A$15,Dienste!$C$15,IF(AG27=Dienste!$A$16,Dienste!$C$16,IF(AG27=Dienste!$A$17,Dienste!$C$17,IF(AG27=Dienste!$A$18,Dienste!$C$18,IF(AG27=Dienste!$A$19,Dienste!$C$19,IF(AG27=Dienste!$A$20,Dienste!$C$20,IF(AG27=Dienste!$A$21,Dienste!$C$21,IF(AG27=Dienste!$A$22,Dienste!$C$22,IF(AG27=Dienste!$A$23,Dienste!$C$23,IF(AG27=Dienste!$A$24,Dienste!$C$24,IF(AG27=Dienste!$A$25,Dienste!$C$25,IF(AG27=Dienste!$A$26,Dienste!$C$26,IF(AG27=Dienste!$A$27,Dienste!$C$27,IF(AG27=Dienste!$A$28,Dienste!$C$28,IF(AG27=Dienste!#REF!,Dienste!#REF!,IF(AG27=Dienste!#REF!,Dienste!#REF!,IF(AG27=Dienste!#REF!,Dienste!#REF!,IF(AG27=Dienste!#REF!,Dienste!#REF!,IF(AG27=Dienste!$A$33,Dienste!$C$33,IF(AG27=Dienste!$A$34,Dienste!$C$34,IF(AG27=Dienste!$A$35,Dienste!$C$35,IF(AG27=Dienste!$A$36,Dienste!$C$36,)))))))))))))))))))))))))))))))))))</f>
        <v>0</v>
      </c>
      <c r="CB27" s="27" t="e">
        <f>IF(AH27=Dienste!$A$2,Dienste!$C$2,IF(AH27=Dienste!$A$3,Dienste!$C$3,IF(AH27=Dienste!$A$4,Dienste!$C$4,IF(AH27=Dienste!$A$5,Dienste!$C$5,IF(AH27=Dienste!$A$6,Dienste!$C$6,IF(AH27=Dienste!$A$7,Dienste!$C$7,IF(AH27=Dienste!$A$8,Dienste!$C$8,IF(AH27=Dienste!$A$9,Dienste!$C$9,IF(AH27=Dienste!$A$10,Dienste!$C$10,IF(AH27=Dienste!$A$11,Dienste!$C$11,IF(AH27=Dienste!$A$12,Dienste!$C$12,IF(AH27=Dienste!$A$13,Dienste!$C$13,IF(AH27=Dienste!$A$14,Dienste!$C$14,IF(AH27=Dienste!$A$15,Dienste!$C$15,IF(AH27=Dienste!$A$16,Dienste!$C$16,IF(AH27=Dienste!$A$17,Dienste!$C$17,IF(AH27=Dienste!$A$18,Dienste!$C$18,IF(AH27=Dienste!$A$19,Dienste!$C$19,IF(AH27=Dienste!$A$20,Dienste!$C$20,IF(AH27=Dienste!$A$21,Dienste!$C$21,IF(AH27=Dienste!$A$22,Dienste!$C$22,IF(AH27=Dienste!$A$23,Dienste!$C$23,IF(AH27=Dienste!$A$24,Dienste!$C$24,IF(AH27=Dienste!$A$25,Dienste!$C$25,IF(AH27=Dienste!$A$26,Dienste!$C$26,IF(AH27=Dienste!$A$27,Dienste!$C$27,IF(AH27=Dienste!$A$28,Dienste!$C$28,IF(AH27=Dienste!#REF!,Dienste!#REF!,IF(AH27=Dienste!#REF!,Dienste!#REF!,IF(AH27=Dienste!#REF!,Dienste!#REF!,IF(AH27=Dienste!#REF!,Dienste!#REF!,IF(AH27=Dienste!$A$33,Dienste!$C$33,IF(AH27=Dienste!$A$34,Dienste!$C$34,IF(AH27=Dienste!$A$35,Dienste!$C$35,IF(AH27=Dienste!$A$36,Dienste!$C$36,)))))))))))))))))))))))))))))))))))</f>
        <v>#REF!</v>
      </c>
      <c r="CC27" s="27" t="e">
        <f>IF(AI27=Dienste!$A$2,Dienste!$C$2,IF(AI27=Dienste!$A$3,Dienste!$C$3,IF(AI27=Dienste!$A$4,Dienste!$C$4,IF(AI27=Dienste!$A$5,Dienste!$C$5,IF(AI27=Dienste!$A$6,Dienste!$C$6,IF(AI27=Dienste!$A$7,Dienste!$C$7,IF(AI27=Dienste!$A$8,Dienste!$C$8,IF(AI27=Dienste!$A$9,Dienste!$C$9,IF(AI27=Dienste!$A$10,Dienste!$C$10,IF(AI27=Dienste!$A$11,Dienste!$C$11,IF(AI27=Dienste!$A$12,Dienste!$C$12,IF(AI27=Dienste!$A$13,Dienste!$C$13,IF(AI27=Dienste!$A$14,Dienste!$C$14,IF(AI27=Dienste!$A$15,Dienste!$C$15,IF(AI27=Dienste!$A$16,Dienste!$C$16,IF(AI27=Dienste!$A$17,Dienste!$C$17,IF(AI27=Dienste!$A$18,Dienste!$C$18,IF(AI27=Dienste!$A$19,Dienste!$C$19,IF(AI27=Dienste!$A$20,Dienste!$C$20,IF(AI27=Dienste!$A$21,Dienste!$C$21,IF(AI27=Dienste!$A$22,Dienste!$C$22,IF(AI27=Dienste!$A$23,Dienste!$C$23,IF(AI27=Dienste!$A$24,Dienste!$C$24,IF(AI27=Dienste!$A$25,Dienste!$C$25,IF(AI27=Dienste!$A$26,Dienste!$C$26,IF(AI27=Dienste!$A$27,Dienste!$C$27,IF(AI27=Dienste!$A$28,Dienste!$C$28,IF(AI27=Dienste!#REF!,Dienste!#REF!,IF(AI27=Dienste!#REF!,Dienste!#REF!,IF(AI27=Dienste!#REF!,Dienste!#REF!,IF(AI27=Dienste!#REF!,Dienste!#REF!,IF(AI27=Dienste!$A$33,Dienste!$C$33,IF(AI27=Dienste!$A$34,Dienste!$C$34,IF(AI27=Dienste!$A$35,Dienste!$C$35,IF(AI27=Dienste!$A$36,Dienste!$C$36,)))))))))))))))))))))))))))))))))))</f>
        <v>#REF!</v>
      </c>
    </row>
    <row r="28" spans="1:81" x14ac:dyDescent="0.25">
      <c r="A28" s="109" t="s">
        <v>335</v>
      </c>
      <c r="B28" s="15" t="s">
        <v>230</v>
      </c>
      <c r="C28" s="15">
        <v>40</v>
      </c>
      <c r="D28" s="98">
        <v>1</v>
      </c>
      <c r="E28" s="104" t="s">
        <v>19</v>
      </c>
      <c r="F28" s="9" t="s">
        <v>65</v>
      </c>
      <c r="G28" s="9" t="s">
        <v>6</v>
      </c>
      <c r="H28" s="9" t="s">
        <v>31</v>
      </c>
      <c r="I28" s="9" t="s">
        <v>43</v>
      </c>
      <c r="J28" s="9" t="s">
        <v>31</v>
      </c>
      <c r="K28" s="9" t="s">
        <v>83</v>
      </c>
      <c r="L28" s="9" t="s">
        <v>83</v>
      </c>
      <c r="M28" s="9" t="s">
        <v>6</v>
      </c>
      <c r="N28" s="9" t="s">
        <v>31</v>
      </c>
      <c r="O28" s="9" t="s">
        <v>6</v>
      </c>
      <c r="P28" s="9" t="s">
        <v>6</v>
      </c>
      <c r="Q28" s="9" t="s">
        <v>6</v>
      </c>
      <c r="R28" s="9" t="s">
        <v>35</v>
      </c>
      <c r="S28" s="9" t="s">
        <v>372</v>
      </c>
      <c r="T28" s="9" t="s">
        <v>65</v>
      </c>
      <c r="U28" s="9" t="s">
        <v>43</v>
      </c>
      <c r="V28" s="9" t="s">
        <v>31</v>
      </c>
      <c r="W28" s="9" t="s">
        <v>17</v>
      </c>
      <c r="X28" s="9" t="s">
        <v>65</v>
      </c>
      <c r="Y28" s="9" t="s">
        <v>83</v>
      </c>
      <c r="Z28" s="9" t="s">
        <v>83</v>
      </c>
      <c r="AA28" s="9" t="s">
        <v>31</v>
      </c>
      <c r="AB28" s="9" t="s">
        <v>31</v>
      </c>
      <c r="AC28" s="9" t="s">
        <v>31</v>
      </c>
      <c r="AD28" s="9" t="s">
        <v>32</v>
      </c>
      <c r="AE28" s="9" t="s">
        <v>31</v>
      </c>
      <c r="AF28" s="9" t="s">
        <v>19</v>
      </c>
      <c r="AG28" s="9" t="s">
        <v>83</v>
      </c>
      <c r="AH28" s="9" t="s">
        <v>31</v>
      </c>
      <c r="AI28" s="15"/>
      <c r="AJ28" s="109">
        <v>-0.5</v>
      </c>
      <c r="AK28" s="15">
        <v>168</v>
      </c>
      <c r="AL28" s="109">
        <v>168</v>
      </c>
      <c r="AM28" s="15">
        <v>-0.5</v>
      </c>
      <c r="AN28" s="170">
        <v>0</v>
      </c>
      <c r="AO28" s="109">
        <v>59.75</v>
      </c>
      <c r="AP28" s="15">
        <v>4</v>
      </c>
      <c r="AQ28" s="98">
        <v>2</v>
      </c>
      <c r="AR28" s="109">
        <v>60</v>
      </c>
      <c r="AS28" s="15">
        <v>43.91346153846154</v>
      </c>
      <c r="AT28" s="98">
        <v>26</v>
      </c>
      <c r="AU28" s="96" t="e">
        <f t="shared" si="2"/>
        <v>#REF!</v>
      </c>
      <c r="AV28" s="27" t="e">
        <f t="shared" si="0"/>
        <v>#REF!</v>
      </c>
      <c r="AW28" s="58" t="e">
        <f t="shared" si="1"/>
        <v>#REF!</v>
      </c>
      <c r="AY28" s="27">
        <f>IF(E28=Dienste!$A$2,Dienste!$C$2,IF(E28=Dienste!$A$3,Dienste!$C$3,IF(E28=Dienste!$A$4,Dienste!$C$4,IF(E28=Dienste!$A$5,Dienste!$C$5,IF(E28=Dienste!$A$6,Dienste!$C$6,IF(E28=Dienste!$A$7,Dienste!$C$7,IF(E28=Dienste!$A$8,Dienste!$C$8,IF(E28=Dienste!$A$9,Dienste!$C$9,IF(E28=Dienste!$A$10,Dienste!$C$10,IF(E28=Dienste!$A$11,Dienste!$C$11,IF(E28=Dienste!$A$12,Dienste!$C$12,IF(E28=Dienste!$A$13,Dienste!$C$13,IF(E28=Dienste!$A$14,Dienste!$C$14,IF(E28=Dienste!$A$15,Dienste!$C$15,IF(E28=Dienste!$A$16,Dienste!$C$16,IF(E28=Dienste!$A$17,Dienste!$C$17,IF(E28=Dienste!$A$18,Dienste!$C$18,IF(E28=Dienste!$A$19,Dienste!$C$19,IF(E28=Dienste!$A$20,Dienste!$C$20,IF(E28=Dienste!$A$21,Dienste!$C$21,IF(E28=Dienste!$A$22,Dienste!$C$22,IF(E28=Dienste!$A$23,Dienste!$C$23,IF(E28=Dienste!$A$24,Dienste!$C$24,IF(E28=Dienste!$A$25,Dienste!$C$25,IF(E28=Dienste!$A$26,Dienste!$C$26,IF(E28=Dienste!$A$27,Dienste!$C$27,IF(E28=Dienste!$A$28,Dienste!$C$28,IF(E28=Dienste!#REF!,Dienste!#REF!,IF(E28=Dienste!#REF!,Dienste!#REF!,IF(E28=Dienste!#REF!,Dienste!#REF!,IF(E28=Dienste!#REF!,Dienste!#REF!,IF(E28=Dienste!$A$33,Dienste!$C$33,IF(E28=Dienste!$A$34,Dienste!$C$34,IF(E28=Dienste!$A$35,Dienste!$C$35,IF(E28=Dienste!$A$36,Dienste!$C$36,)))))))))))))))))))))))))))))))))))</f>
        <v>0</v>
      </c>
      <c r="AZ28" s="27">
        <f>IF(F28=Dienste!$A$2,Dienste!$C$2,IF(F28=Dienste!$A$3,Dienste!$C$3,IF(F28=Dienste!$A$4,Dienste!$C$4,IF(F28=Dienste!$A$5,Dienste!$C$5,IF(F28=Dienste!$A$6,Dienste!$C$6,IF(F28=Dienste!$A$7,Dienste!$C$7,IF(F28=Dienste!$A$8,Dienste!$C$8,IF(F28=Dienste!$A$9,Dienste!$C$9,IF(F28=Dienste!$A$10,Dienste!$C$10,IF(F28=Dienste!$A$11,Dienste!$C$11,IF(F28=Dienste!$A$12,Dienste!$C$12,IF(F28=Dienste!$A$13,Dienste!$C$13,IF(F28=Dienste!$A$14,Dienste!$C$14,IF(F28=Dienste!$A$15,Dienste!$C$15,IF(F28=Dienste!$A$16,Dienste!$C$16,IF(F28=Dienste!$A$17,Dienste!$C$17,IF(F28=Dienste!$A$18,Dienste!$C$18,IF(F28=Dienste!$A$19,Dienste!$C$19,IF(F28=Dienste!$A$20,Dienste!$C$20,IF(F28=Dienste!$A$21,Dienste!$C$21,IF(F28=Dienste!$A$22,Dienste!$C$22,IF(F28=Dienste!$A$23,Dienste!$C$23,IF(F28=Dienste!$A$24,Dienste!$C$24,IF(F28=Dienste!$A$25,Dienste!$C$25,IF(F28=Dienste!$A$26,Dienste!$C$26,IF(F28=Dienste!$A$27,Dienste!$C$27,IF(F28=Dienste!$A$28,Dienste!$C$28,IF(F28=Dienste!#REF!,Dienste!#REF!,IF(F28=Dienste!#REF!,Dienste!#REF!,IF(F28=Dienste!#REF!,Dienste!#REF!,IF(F28=Dienste!#REF!,Dienste!#REF!,IF(F28=Dienste!$A$33,Dienste!$C$33,IF(F28=Dienste!$A$34,Dienste!$C$34,IF(F28=Dienste!$A$35,Dienste!$C$35,IF(F28=Dienste!$A$36,Dienste!$C$36,)))))))))))))))))))))))))))))))))))</f>
        <v>8</v>
      </c>
      <c r="BA28" s="27">
        <f>IF(G28=Dienste!$A$2,Dienste!$C$2,IF(G28=Dienste!$A$3,Dienste!$C$3,IF(G28=Dienste!$A$4,Dienste!$C$4,IF(G28=Dienste!$A$5,Dienste!$C$5,IF(G28=Dienste!$A$6,Dienste!$C$6,IF(G28=Dienste!$A$7,Dienste!$C$7,IF(G28=Dienste!$A$8,Dienste!$C$8,IF(G28=Dienste!$A$9,Dienste!$C$9,IF(G28=Dienste!$A$10,Dienste!$C$10,IF(G28=Dienste!$A$11,Dienste!$C$11,IF(G28=Dienste!$A$12,Dienste!$C$12,IF(G28=Dienste!$A$13,Dienste!$C$13,IF(G28=Dienste!$A$14,Dienste!$C$14,IF(G28=Dienste!$A$15,Dienste!$C$15,IF(G28=Dienste!$A$16,Dienste!$C$16,IF(G28=Dienste!$A$17,Dienste!$C$17,IF(G28=Dienste!$A$18,Dienste!$C$18,IF(G28=Dienste!$A$19,Dienste!$C$19,IF(G28=Dienste!$A$20,Dienste!$C$20,IF(G28=Dienste!$A$21,Dienste!$C$21,IF(G28=Dienste!$A$22,Dienste!$C$22,IF(G28=Dienste!$A$23,Dienste!$C$23,IF(G28=Dienste!$A$24,Dienste!$C$24,IF(G28=Dienste!$A$25,Dienste!$C$25,IF(G28=Dienste!$A$26,Dienste!$C$26,IF(G28=Dienste!$A$27,Dienste!$C$27,IF(G28=Dienste!$A$28,Dienste!$C$28,IF(G28=Dienste!#REF!,Dienste!#REF!,IF(G28=Dienste!#REF!,Dienste!#REF!,IF(G28=Dienste!#REF!,Dienste!#REF!,IF(G28=Dienste!#REF!,Dienste!#REF!,IF(G28=Dienste!$A$33,Dienste!$C$33,IF(G28=Dienste!$A$34,Dienste!$C$34,IF(G28=Dienste!$A$35,Dienste!$C$35,IF(G28=Dienste!$A$36,Dienste!$C$36,)))))))))))))))))))))))))))))))))))</f>
        <v>8</v>
      </c>
      <c r="BB28" s="27">
        <f>IF(H28=Dienste!$A$2,Dienste!$C$2,IF(H28=Dienste!$A$3,Dienste!$C$3,IF(H28=Dienste!$A$4,Dienste!$C$4,IF(H28=Dienste!$A$5,Dienste!$C$5,IF(H28=Dienste!$A$6,Dienste!$C$6,IF(H28=Dienste!$A$7,Dienste!$C$7,IF(H28=Dienste!$A$8,Dienste!$C$8,IF(H28=Dienste!$A$9,Dienste!$C$9,IF(H28=Dienste!$A$10,Dienste!$C$10,IF(H28=Dienste!$A$11,Dienste!$C$11,IF(H28=Dienste!$A$12,Dienste!$C$12,IF(H28=Dienste!$A$13,Dienste!$C$13,IF(H28=Dienste!$A$14,Dienste!$C$14,IF(H28=Dienste!$A$15,Dienste!$C$15,IF(H28=Dienste!$A$16,Dienste!$C$16,IF(H28=Dienste!$A$17,Dienste!$C$17,IF(H28=Dienste!$A$18,Dienste!$C$18,IF(H28=Dienste!$A$19,Dienste!$C$19,IF(H28=Dienste!$A$20,Dienste!$C$20,IF(H28=Dienste!$A$21,Dienste!$C$21,IF(H28=Dienste!$A$22,Dienste!$C$22,IF(H28=Dienste!$A$23,Dienste!$C$23,IF(H28=Dienste!$A$24,Dienste!$C$24,IF(H28=Dienste!$A$25,Dienste!$C$25,IF(H28=Dienste!$A$26,Dienste!$C$26,IF(H28=Dienste!$A$27,Dienste!$C$27,IF(H28=Dienste!$A$28,Dienste!$C$28,IF(H28=Dienste!#REF!,Dienste!#REF!,IF(H28=Dienste!#REF!,Dienste!#REF!,IF(H28=Dienste!#REF!,Dienste!#REF!,IF(H28=Dienste!#REF!,Dienste!#REF!,IF(H28=Dienste!$A$33,Dienste!$C$33,IF(H28=Dienste!$A$34,Dienste!$C$34,IF(H28=Dienste!$A$35,Dienste!$C$35,IF(H28=Dienste!$A$36,Dienste!$C$36,)))))))))))))))))))))))))))))))))))</f>
        <v>8</v>
      </c>
      <c r="BC28" s="27">
        <f>IF(I28=Dienste!$A$2,Dienste!$C$2,IF(I28=Dienste!$A$3,Dienste!$C$3,IF(I28=Dienste!$A$4,Dienste!$C$4,IF(I28=Dienste!$A$5,Dienste!$C$5,IF(I28=Dienste!$A$6,Dienste!$C$6,IF(I28=Dienste!$A$7,Dienste!$C$7,IF(I28=Dienste!$A$8,Dienste!$C$8,IF(I28=Dienste!$A$9,Dienste!$C$9,IF(I28=Dienste!$A$10,Dienste!$C$10,IF(I28=Dienste!$A$11,Dienste!$C$11,IF(I28=Dienste!$A$12,Dienste!$C$12,IF(I28=Dienste!$A$13,Dienste!$C$13,IF(I28=Dienste!$A$14,Dienste!$C$14,IF(I28=Dienste!$A$15,Dienste!$C$15,IF(I28=Dienste!$A$16,Dienste!$C$16,IF(I28=Dienste!$A$17,Dienste!$C$17,IF(I28=Dienste!$A$18,Dienste!$C$18,IF(I28=Dienste!$A$19,Dienste!$C$19,IF(I28=Dienste!$A$20,Dienste!$C$20,IF(I28=Dienste!$A$21,Dienste!$C$21,IF(I28=Dienste!$A$22,Dienste!$C$22,IF(I28=Dienste!$A$23,Dienste!$C$23,IF(I28=Dienste!$A$24,Dienste!$C$24,IF(I28=Dienste!$A$25,Dienste!$C$25,IF(I28=Dienste!$A$26,Dienste!$C$26,IF(I28=Dienste!$A$27,Dienste!$C$27,IF(I28=Dienste!$A$28,Dienste!$C$28,IF(I28=Dienste!#REF!,Dienste!#REF!,IF(I28=Dienste!#REF!,Dienste!#REF!,IF(I28=Dienste!#REF!,Dienste!#REF!,IF(I28=Dienste!#REF!,Dienste!#REF!,IF(I28=Dienste!$A$33,Dienste!$C$33,IF(I28=Dienste!$A$34,Dienste!$C$34,IF(I28=Dienste!$A$35,Dienste!$C$35,IF(I28=Dienste!$A$36,Dienste!$C$36,)))))))))))))))))))))))))))))))))))</f>
        <v>8</v>
      </c>
      <c r="BD28" s="27">
        <f>IF(J28=Dienste!$A$2,Dienste!$C$2,IF(J28=Dienste!$A$3,Dienste!$C$3,IF(J28=Dienste!$A$4,Dienste!$C$4,IF(J28=Dienste!$A$5,Dienste!$C$5,IF(J28=Dienste!$A$6,Dienste!$C$6,IF(J28=Dienste!$A$7,Dienste!$C$7,IF(J28=Dienste!$A$8,Dienste!$C$8,IF(J28=Dienste!$A$9,Dienste!$C$9,IF(J28=Dienste!$A$10,Dienste!$C$10,IF(J28=Dienste!$A$11,Dienste!$C$11,IF(J28=Dienste!$A$12,Dienste!$C$12,IF(J28=Dienste!$A$13,Dienste!$C$13,IF(J28=Dienste!$A$14,Dienste!$C$14,IF(J28=Dienste!$A$15,Dienste!$C$15,IF(J28=Dienste!$A$16,Dienste!$C$16,IF(J28=Dienste!$A$17,Dienste!$C$17,IF(J28=Dienste!$A$18,Dienste!$C$18,IF(J28=Dienste!$A$19,Dienste!$C$19,IF(J28=Dienste!$A$20,Dienste!$C$20,IF(J28=Dienste!$A$21,Dienste!$C$21,IF(J28=Dienste!$A$22,Dienste!$C$22,IF(J28=Dienste!$A$23,Dienste!$C$23,IF(J28=Dienste!$A$24,Dienste!$C$24,IF(J28=Dienste!$A$25,Dienste!$C$25,IF(J28=Dienste!$A$26,Dienste!$C$26,IF(J28=Dienste!$A$27,Dienste!$C$27,IF(J28=Dienste!$A$28,Dienste!$C$28,IF(J28=Dienste!#REF!,Dienste!#REF!,IF(J28=Dienste!#REF!,Dienste!#REF!,IF(J28=Dienste!#REF!,Dienste!#REF!,IF(J28=Dienste!#REF!,Dienste!#REF!,IF(J28=Dienste!$A$33,Dienste!$C$33,IF(J28=Dienste!$A$34,Dienste!$C$34,IF(J28=Dienste!$A$35,Dienste!$C$35,IF(J28=Dienste!$A$36,Dienste!$C$36,)))))))))))))))))))))))))))))))))))</f>
        <v>8</v>
      </c>
      <c r="BE28" s="27">
        <f>IF(K28=Dienste!$A$2,Dienste!$C$2,IF(K28=Dienste!$A$3,Dienste!$C$3,IF(K28=Dienste!$A$4,Dienste!$C$4,IF(K28=Dienste!$A$5,Dienste!$C$5,IF(K28=Dienste!$A$6,Dienste!$C$6,IF(K28=Dienste!$A$7,Dienste!$C$7,IF(K28=Dienste!$A$8,Dienste!$C$8,IF(K28=Dienste!$A$9,Dienste!$C$9,IF(K28=Dienste!$A$10,Dienste!$C$10,IF(K28=Dienste!$A$11,Dienste!$C$11,IF(K28=Dienste!$A$12,Dienste!$C$12,IF(K28=Dienste!$A$13,Dienste!$C$13,IF(K28=Dienste!$A$14,Dienste!$C$14,IF(K28=Dienste!$A$15,Dienste!$C$15,IF(K28=Dienste!$A$16,Dienste!$C$16,IF(K28=Dienste!$A$17,Dienste!$C$17,IF(K28=Dienste!$A$18,Dienste!$C$18,IF(K28=Dienste!$A$19,Dienste!$C$19,IF(K28=Dienste!$A$20,Dienste!$C$20,IF(K28=Dienste!$A$21,Dienste!$C$21,IF(K28=Dienste!$A$22,Dienste!$C$22,IF(K28=Dienste!$A$23,Dienste!$C$23,IF(K28=Dienste!$A$24,Dienste!$C$24,IF(K28=Dienste!$A$25,Dienste!$C$25,IF(K28=Dienste!$A$26,Dienste!$C$26,IF(K28=Dienste!$A$27,Dienste!$C$27,IF(K28=Dienste!$A$28,Dienste!$C$28,IF(K28=Dienste!#REF!,Dienste!#REF!,IF(K28=Dienste!#REF!,Dienste!#REF!,IF(K28=Dienste!#REF!,Dienste!#REF!,IF(K28=Dienste!#REF!,Dienste!#REF!,IF(K28=Dienste!$A$33,Dienste!$C$33,IF(K28=Dienste!$A$34,Dienste!$C$34,IF(K28=Dienste!$A$35,Dienste!$C$35,IF(K28=Dienste!$A$36,Dienste!$C$36,)))))))))))))))))))))))))))))))))))</f>
        <v>0</v>
      </c>
      <c r="BF28" s="27">
        <f>IF(L28=Dienste!$A$2,Dienste!$C$2,IF(L28=Dienste!$A$3,Dienste!$C$3,IF(L28=Dienste!$A$4,Dienste!$C$4,IF(L28=Dienste!$A$5,Dienste!$C$5,IF(L28=Dienste!$A$6,Dienste!$C$6,IF(L28=Dienste!$A$7,Dienste!$C$7,IF(L28=Dienste!$A$8,Dienste!$C$8,IF(L28=Dienste!$A$9,Dienste!$C$9,IF(L28=Dienste!$A$10,Dienste!$C$10,IF(L28=Dienste!$A$11,Dienste!$C$11,IF(L28=Dienste!$A$12,Dienste!$C$12,IF(L28=Dienste!$A$13,Dienste!$C$13,IF(L28=Dienste!$A$14,Dienste!$C$14,IF(L28=Dienste!$A$15,Dienste!$C$15,IF(L28=Dienste!$A$16,Dienste!$C$16,IF(L28=Dienste!$A$17,Dienste!$C$17,IF(L28=Dienste!$A$18,Dienste!$C$18,IF(L28=Dienste!$A$19,Dienste!$C$19,IF(L28=Dienste!$A$20,Dienste!$C$20,IF(L28=Dienste!$A$21,Dienste!$C$21,IF(L28=Dienste!$A$22,Dienste!$C$22,IF(L28=Dienste!$A$23,Dienste!$C$23,IF(L28=Dienste!$A$24,Dienste!$C$24,IF(L28=Dienste!$A$25,Dienste!$C$25,IF(L28=Dienste!$A$26,Dienste!$C$26,IF(L28=Dienste!$A$27,Dienste!$C$27,IF(L28=Dienste!$A$28,Dienste!$C$28,IF(L28=Dienste!#REF!,Dienste!#REF!,IF(L28=Dienste!#REF!,Dienste!#REF!,IF(L28=Dienste!#REF!,Dienste!#REF!,IF(L28=Dienste!#REF!,Dienste!#REF!,IF(L28=Dienste!$A$33,Dienste!$C$33,IF(L28=Dienste!$A$34,Dienste!$C$34,IF(L28=Dienste!$A$35,Dienste!$C$35,IF(L28=Dienste!$A$36,Dienste!$C$36,)))))))))))))))))))))))))))))))))))</f>
        <v>0</v>
      </c>
      <c r="BG28" s="27">
        <f>IF(M28=Dienste!$A$2,Dienste!$C$2,IF(M28=Dienste!$A$3,Dienste!$C$3,IF(M28=Dienste!$A$4,Dienste!$C$4,IF(M28=Dienste!$A$5,Dienste!$C$5,IF(M28=Dienste!$A$6,Dienste!$C$6,IF(M28=Dienste!$A$7,Dienste!$C$7,IF(M28=Dienste!$A$8,Dienste!$C$8,IF(M28=Dienste!$A$9,Dienste!$C$9,IF(M28=Dienste!$A$10,Dienste!$C$10,IF(M28=Dienste!$A$11,Dienste!$C$11,IF(M28=Dienste!$A$12,Dienste!$C$12,IF(M28=Dienste!$A$13,Dienste!$C$13,IF(M28=Dienste!$A$14,Dienste!$C$14,IF(M28=Dienste!$A$15,Dienste!$C$15,IF(M28=Dienste!$A$16,Dienste!$C$16,IF(M28=Dienste!$A$17,Dienste!$C$17,IF(M28=Dienste!$A$18,Dienste!$C$18,IF(M28=Dienste!$A$19,Dienste!$C$19,IF(M28=Dienste!$A$20,Dienste!$C$20,IF(M28=Dienste!$A$21,Dienste!$C$21,IF(M28=Dienste!$A$22,Dienste!$C$22,IF(M28=Dienste!$A$23,Dienste!$C$23,IF(M28=Dienste!$A$24,Dienste!$C$24,IF(M28=Dienste!$A$25,Dienste!$C$25,IF(M28=Dienste!$A$26,Dienste!$C$26,IF(M28=Dienste!$A$27,Dienste!$C$27,IF(M28=Dienste!$A$28,Dienste!$C$28,IF(M28=Dienste!#REF!,Dienste!#REF!,IF(M28=Dienste!#REF!,Dienste!#REF!,IF(M28=Dienste!#REF!,Dienste!#REF!,IF(M28=Dienste!#REF!,Dienste!#REF!,IF(M28=Dienste!$A$33,Dienste!$C$33,IF(M28=Dienste!$A$34,Dienste!$C$34,IF(M28=Dienste!$A$35,Dienste!$C$35,IF(M28=Dienste!$A$36,Dienste!$C$36,)))))))))))))))))))))))))))))))))))</f>
        <v>8</v>
      </c>
      <c r="BH28" s="27">
        <f>IF(N28=Dienste!$A$2,Dienste!$C$2,IF(N28=Dienste!$A$3,Dienste!$C$3,IF(N28=Dienste!$A$4,Dienste!$C$4,IF(N28=Dienste!$A$5,Dienste!$C$5,IF(N28=Dienste!$A$6,Dienste!$C$6,IF(N28=Dienste!$A$7,Dienste!$C$7,IF(N28=Dienste!$A$8,Dienste!$C$8,IF(N28=Dienste!$A$9,Dienste!$C$9,IF(N28=Dienste!$A$10,Dienste!$C$10,IF(N28=Dienste!$A$11,Dienste!$C$11,IF(N28=Dienste!$A$12,Dienste!$C$12,IF(N28=Dienste!$A$13,Dienste!$C$13,IF(N28=Dienste!$A$14,Dienste!$C$14,IF(N28=Dienste!$A$15,Dienste!$C$15,IF(N28=Dienste!$A$16,Dienste!$C$16,IF(N28=Dienste!$A$17,Dienste!$C$17,IF(N28=Dienste!$A$18,Dienste!$C$18,IF(N28=Dienste!$A$19,Dienste!$C$19,IF(N28=Dienste!$A$20,Dienste!$C$20,IF(N28=Dienste!$A$21,Dienste!$C$21,IF(N28=Dienste!$A$22,Dienste!$C$22,IF(N28=Dienste!$A$23,Dienste!$C$23,IF(N28=Dienste!$A$24,Dienste!$C$24,IF(N28=Dienste!$A$25,Dienste!$C$25,IF(N28=Dienste!$A$26,Dienste!$C$26,IF(N28=Dienste!$A$27,Dienste!$C$27,IF(N28=Dienste!$A$28,Dienste!$C$28,IF(N28=Dienste!#REF!,Dienste!#REF!,IF(N28=Dienste!#REF!,Dienste!#REF!,IF(N28=Dienste!#REF!,Dienste!#REF!,IF(N28=Dienste!#REF!,Dienste!#REF!,IF(N28=Dienste!$A$33,Dienste!$C$33,IF(N28=Dienste!$A$34,Dienste!$C$34,IF(N28=Dienste!$A$35,Dienste!$C$35,IF(N28=Dienste!$A$36,Dienste!$C$36,)))))))))))))))))))))))))))))))))))</f>
        <v>8</v>
      </c>
      <c r="BI28" s="27">
        <f>IF(O28=Dienste!$A$2,Dienste!$C$2,IF(O28=Dienste!$A$3,Dienste!$C$3,IF(O28=Dienste!$A$4,Dienste!$C$4,IF(O28=Dienste!$A$5,Dienste!$C$5,IF(O28=Dienste!$A$6,Dienste!$C$6,IF(O28=Dienste!$A$7,Dienste!$C$7,IF(O28=Dienste!$A$8,Dienste!$C$8,IF(O28=Dienste!$A$9,Dienste!$C$9,IF(O28=Dienste!$A$10,Dienste!$C$10,IF(O28=Dienste!$A$11,Dienste!$C$11,IF(O28=Dienste!$A$12,Dienste!$C$12,IF(O28=Dienste!$A$13,Dienste!$C$13,IF(O28=Dienste!$A$14,Dienste!$C$14,IF(O28=Dienste!$A$15,Dienste!$C$15,IF(O28=Dienste!$A$16,Dienste!$C$16,IF(O28=Dienste!$A$17,Dienste!$C$17,IF(O28=Dienste!$A$18,Dienste!$C$18,IF(O28=Dienste!$A$19,Dienste!$C$19,IF(O28=Dienste!$A$20,Dienste!$C$20,IF(O28=Dienste!$A$21,Dienste!$C$21,IF(O28=Dienste!$A$22,Dienste!$C$22,IF(O28=Dienste!$A$23,Dienste!$C$23,IF(O28=Dienste!$A$24,Dienste!$C$24,IF(O28=Dienste!$A$25,Dienste!$C$25,IF(O28=Dienste!$A$26,Dienste!$C$26,IF(O28=Dienste!$A$27,Dienste!$C$27,IF(O28=Dienste!$A$28,Dienste!$C$28,IF(O28=Dienste!#REF!,Dienste!#REF!,IF(O28=Dienste!#REF!,Dienste!#REF!,IF(O28=Dienste!#REF!,Dienste!#REF!,IF(O28=Dienste!#REF!,Dienste!#REF!,IF(O28=Dienste!$A$33,Dienste!$C$33,IF(O28=Dienste!$A$34,Dienste!$C$34,IF(O28=Dienste!$A$35,Dienste!$C$35,IF(O28=Dienste!$A$36,Dienste!$C$36,)))))))))))))))))))))))))))))))))))</f>
        <v>8</v>
      </c>
      <c r="BJ28" s="27">
        <f>IF(P28=Dienste!$A$2,Dienste!$C$2,IF(P28=Dienste!$A$3,Dienste!$C$3,IF(P28=Dienste!$A$4,Dienste!$C$4,IF(P28=Dienste!$A$5,Dienste!$C$5,IF(P28=Dienste!$A$6,Dienste!$C$6,IF(P28=Dienste!$A$7,Dienste!$C$7,IF(P28=Dienste!$A$8,Dienste!$C$8,IF(P28=Dienste!$A$9,Dienste!$C$9,IF(P28=Dienste!$A$10,Dienste!$C$10,IF(P28=Dienste!$A$11,Dienste!$C$11,IF(P28=Dienste!$A$12,Dienste!$C$12,IF(P28=Dienste!$A$13,Dienste!$C$13,IF(P28=Dienste!$A$14,Dienste!$C$14,IF(P28=Dienste!$A$15,Dienste!$C$15,IF(P28=Dienste!$A$16,Dienste!$C$16,IF(P28=Dienste!$A$17,Dienste!$C$17,IF(P28=Dienste!$A$18,Dienste!$C$18,IF(P28=Dienste!$A$19,Dienste!$C$19,IF(P28=Dienste!$A$20,Dienste!$C$20,IF(P28=Dienste!$A$21,Dienste!$C$21,IF(P28=Dienste!$A$22,Dienste!$C$22,IF(P28=Dienste!$A$23,Dienste!$C$23,IF(P28=Dienste!$A$24,Dienste!$C$24,IF(P28=Dienste!$A$25,Dienste!$C$25,IF(P28=Dienste!$A$26,Dienste!$C$26,IF(P28=Dienste!$A$27,Dienste!$C$27,IF(P28=Dienste!$A$28,Dienste!$C$28,IF(P28=Dienste!#REF!,Dienste!#REF!,IF(P28=Dienste!#REF!,Dienste!#REF!,IF(P28=Dienste!#REF!,Dienste!#REF!,IF(P28=Dienste!#REF!,Dienste!#REF!,IF(P28=Dienste!$A$33,Dienste!$C$33,IF(P28=Dienste!$A$34,Dienste!$C$34,IF(P28=Dienste!$A$35,Dienste!$C$35,IF(P28=Dienste!$A$36,Dienste!$C$36,)))))))))))))))))))))))))))))))))))</f>
        <v>8</v>
      </c>
      <c r="BK28" s="27">
        <f>IF(Q28=Dienste!$A$2,Dienste!$C$2,IF(Q28=Dienste!$A$3,Dienste!$C$3,IF(Q28=Dienste!$A$4,Dienste!$C$4,IF(Q28=Dienste!$A$5,Dienste!$C$5,IF(Q28=Dienste!$A$6,Dienste!$C$6,IF(Q28=Dienste!$A$7,Dienste!$C$7,IF(Q28=Dienste!$A$8,Dienste!$C$8,IF(Q28=Dienste!$A$9,Dienste!$C$9,IF(Q28=Dienste!$A$10,Dienste!$C$10,IF(Q28=Dienste!$A$11,Dienste!$C$11,IF(Q28=Dienste!$A$12,Dienste!$C$12,IF(Q28=Dienste!$A$13,Dienste!$C$13,IF(Q28=Dienste!$A$14,Dienste!$C$14,IF(Q28=Dienste!$A$15,Dienste!$C$15,IF(Q28=Dienste!$A$16,Dienste!$C$16,IF(Q28=Dienste!$A$17,Dienste!$C$17,IF(Q28=Dienste!$A$18,Dienste!$C$18,IF(Q28=Dienste!$A$19,Dienste!$C$19,IF(Q28=Dienste!$A$20,Dienste!$C$20,IF(Q28=Dienste!$A$21,Dienste!$C$21,IF(Q28=Dienste!$A$22,Dienste!$C$22,IF(Q28=Dienste!$A$23,Dienste!$C$23,IF(Q28=Dienste!$A$24,Dienste!$C$24,IF(Q28=Dienste!$A$25,Dienste!$C$25,IF(Q28=Dienste!$A$26,Dienste!$C$26,IF(Q28=Dienste!$A$27,Dienste!$C$27,IF(Q28=Dienste!$A$28,Dienste!$C$28,IF(Q28=Dienste!#REF!,Dienste!#REF!,IF(Q28=Dienste!#REF!,Dienste!#REF!,IF(Q28=Dienste!#REF!,Dienste!#REF!,IF(Q28=Dienste!#REF!,Dienste!#REF!,IF(Q28=Dienste!$A$33,Dienste!$C$33,IF(Q28=Dienste!$A$34,Dienste!$C$34,IF(Q28=Dienste!$A$35,Dienste!$C$35,IF(Q28=Dienste!$A$36,Dienste!$C$36,)))))))))))))))))))))))))))))))))))</f>
        <v>8</v>
      </c>
      <c r="BL28" s="27">
        <f>IF(R28=Dienste!$A$2,Dienste!$C$2,IF(R28=Dienste!$A$3,Dienste!$C$3,IF(R28=Dienste!$A$4,Dienste!$C$4,IF(R28=Dienste!$A$5,Dienste!$C$5,IF(R28=Dienste!$A$6,Dienste!$C$6,IF(R28=Dienste!$A$7,Dienste!$C$7,IF(R28=Dienste!$A$8,Dienste!$C$8,IF(R28=Dienste!$A$9,Dienste!$C$9,IF(R28=Dienste!$A$10,Dienste!$C$10,IF(R28=Dienste!$A$11,Dienste!$C$11,IF(R28=Dienste!$A$12,Dienste!$C$12,IF(R28=Dienste!$A$13,Dienste!$C$13,IF(R28=Dienste!$A$14,Dienste!$C$14,IF(R28=Dienste!$A$15,Dienste!$C$15,IF(R28=Dienste!$A$16,Dienste!$C$16,IF(R28=Dienste!$A$17,Dienste!$C$17,IF(R28=Dienste!$A$18,Dienste!$C$18,IF(R28=Dienste!$A$19,Dienste!$C$19,IF(R28=Dienste!$A$20,Dienste!$C$20,IF(R28=Dienste!$A$21,Dienste!$C$21,IF(R28=Dienste!$A$22,Dienste!$C$22,IF(R28=Dienste!$A$23,Dienste!$C$23,IF(R28=Dienste!$A$24,Dienste!$C$24,IF(R28=Dienste!$A$25,Dienste!$C$25,IF(R28=Dienste!$A$26,Dienste!$C$26,IF(R28=Dienste!$A$27,Dienste!$C$27,IF(R28=Dienste!$A$28,Dienste!$C$28,IF(R28=Dienste!#REF!,Dienste!#REF!,IF(R28=Dienste!#REF!,Dienste!#REF!,IF(R28=Dienste!#REF!,Dienste!#REF!,IF(R28=Dienste!#REF!,Dienste!#REF!,IF(R28=Dienste!$A$33,Dienste!$C$33,IF(R28=Dienste!$A$34,Dienste!$C$34,IF(R28=Dienste!$A$35,Dienste!$C$35,IF(R28=Dienste!$A$36,Dienste!$C$36,)))))))))))))))))))))))))))))))))))</f>
        <v>0</v>
      </c>
      <c r="BM28" s="27">
        <f>IF(S28=Dienste!$A$2,Dienste!$C$2,IF(S28=Dienste!$A$3,Dienste!$C$3,IF(S28=Dienste!$A$4,Dienste!$C$4,IF(S28=Dienste!$A$5,Dienste!$C$5,IF(S28=Dienste!$A$6,Dienste!$C$6,IF(S28=Dienste!$A$7,Dienste!$C$7,IF(S28=Dienste!$A$8,Dienste!$C$8,IF(S28=Dienste!$A$9,Dienste!$C$9,IF(S28=Dienste!$A$10,Dienste!$C$10,IF(S28=Dienste!$A$11,Dienste!$C$11,IF(S28=Dienste!$A$12,Dienste!$C$12,IF(S28=Dienste!$A$13,Dienste!$C$13,IF(S28=Dienste!$A$14,Dienste!$C$14,IF(S28=Dienste!$A$15,Dienste!$C$15,IF(S28=Dienste!$A$16,Dienste!$C$16,IF(S28=Dienste!$A$17,Dienste!$C$17,IF(S28=Dienste!$A$18,Dienste!$C$18,IF(S28=Dienste!$A$19,Dienste!$C$19,IF(S28=Dienste!$A$20,Dienste!$C$20,IF(S28=Dienste!$A$21,Dienste!$C$21,IF(S28=Dienste!$A$22,Dienste!$C$22,IF(S28=Dienste!$A$23,Dienste!$C$23,IF(S28=Dienste!$A$24,Dienste!$C$24,IF(S28=Dienste!$A$25,Dienste!$C$25,IF(S28=Dienste!$A$26,Dienste!$C$26,IF(S28=Dienste!$A$27,Dienste!$C$27,IF(S28=Dienste!$A$28,Dienste!$C$28,IF(S28=Dienste!#REF!,Dienste!#REF!,IF(S28=Dienste!#REF!,Dienste!#REF!,IF(S28=Dienste!#REF!,Dienste!#REF!,IF(S28=Dienste!#REF!,Dienste!#REF!,IF(S28=Dienste!$A$33,Dienste!$C$33,IF(S28=Dienste!$A$34,Dienste!$C$34,IF(S28=Dienste!$A$35,Dienste!$C$35,IF(S28=Dienste!$A$36,Dienste!$C$36,)))))))))))))))))))))))))))))))))))</f>
        <v>0</v>
      </c>
      <c r="BN28" s="27">
        <f>IF(T28=Dienste!$A$2,Dienste!$C$2,IF(T28=Dienste!$A$3,Dienste!$C$3,IF(T28=Dienste!$A$4,Dienste!$C$4,IF(T28=Dienste!$A$5,Dienste!$C$5,IF(T28=Dienste!$A$6,Dienste!$C$6,IF(T28=Dienste!$A$7,Dienste!$C$7,IF(T28=Dienste!$A$8,Dienste!$C$8,IF(T28=Dienste!$A$9,Dienste!$C$9,IF(T28=Dienste!$A$10,Dienste!$C$10,IF(T28=Dienste!$A$11,Dienste!$C$11,IF(T28=Dienste!$A$12,Dienste!$C$12,IF(T28=Dienste!$A$13,Dienste!$C$13,IF(T28=Dienste!$A$14,Dienste!$C$14,IF(T28=Dienste!$A$15,Dienste!$C$15,IF(T28=Dienste!$A$16,Dienste!$C$16,IF(T28=Dienste!$A$17,Dienste!$C$17,IF(T28=Dienste!$A$18,Dienste!$C$18,IF(T28=Dienste!$A$19,Dienste!$C$19,IF(T28=Dienste!$A$20,Dienste!$C$20,IF(T28=Dienste!$A$21,Dienste!$C$21,IF(T28=Dienste!$A$22,Dienste!$C$22,IF(T28=Dienste!$A$23,Dienste!$C$23,IF(T28=Dienste!$A$24,Dienste!$C$24,IF(T28=Dienste!$A$25,Dienste!$C$25,IF(T28=Dienste!$A$26,Dienste!$C$26,IF(T28=Dienste!$A$27,Dienste!$C$27,IF(T28=Dienste!$A$28,Dienste!$C$28,IF(T28=Dienste!#REF!,Dienste!#REF!,IF(T28=Dienste!#REF!,Dienste!#REF!,IF(T28=Dienste!#REF!,Dienste!#REF!,IF(T28=Dienste!#REF!,Dienste!#REF!,IF(T28=Dienste!$A$33,Dienste!$C$33,IF(T28=Dienste!$A$34,Dienste!$C$34,IF(T28=Dienste!$A$35,Dienste!$C$35,IF(T28=Dienste!$A$36,Dienste!$C$36,)))))))))))))))))))))))))))))))))))</f>
        <v>8</v>
      </c>
      <c r="BO28" s="27">
        <f>IF(U28=Dienste!$A$2,Dienste!$C$2,IF(U28=Dienste!$A$3,Dienste!$C$3,IF(U28=Dienste!$A$4,Dienste!$C$4,IF(U28=Dienste!$A$5,Dienste!$C$5,IF(U28=Dienste!$A$6,Dienste!$C$6,IF(U28=Dienste!$A$7,Dienste!$C$7,IF(U28=Dienste!$A$8,Dienste!$C$8,IF(U28=Dienste!$A$9,Dienste!$C$9,IF(U28=Dienste!$A$10,Dienste!$C$10,IF(U28=Dienste!$A$11,Dienste!$C$11,IF(U28=Dienste!$A$12,Dienste!$C$12,IF(U28=Dienste!$A$13,Dienste!$C$13,IF(U28=Dienste!$A$14,Dienste!$C$14,IF(U28=Dienste!$A$15,Dienste!$C$15,IF(U28=Dienste!$A$16,Dienste!$C$16,IF(U28=Dienste!$A$17,Dienste!$C$17,IF(U28=Dienste!$A$18,Dienste!$C$18,IF(U28=Dienste!$A$19,Dienste!$C$19,IF(U28=Dienste!$A$20,Dienste!$C$20,IF(U28=Dienste!$A$21,Dienste!$C$21,IF(U28=Dienste!$A$22,Dienste!$C$22,IF(U28=Dienste!$A$23,Dienste!$C$23,IF(U28=Dienste!$A$24,Dienste!$C$24,IF(U28=Dienste!$A$25,Dienste!$C$25,IF(U28=Dienste!$A$26,Dienste!$C$26,IF(U28=Dienste!$A$27,Dienste!$C$27,IF(U28=Dienste!$A$28,Dienste!$C$28,IF(U28=Dienste!#REF!,Dienste!#REF!,IF(U28=Dienste!#REF!,Dienste!#REF!,IF(U28=Dienste!#REF!,Dienste!#REF!,IF(U28=Dienste!#REF!,Dienste!#REF!,IF(U28=Dienste!$A$33,Dienste!$C$33,IF(U28=Dienste!$A$34,Dienste!$C$34,IF(U28=Dienste!$A$35,Dienste!$C$35,IF(U28=Dienste!$A$36,Dienste!$C$36,)))))))))))))))))))))))))))))))))))</f>
        <v>8</v>
      </c>
      <c r="BP28" s="27">
        <f>IF(V28=Dienste!$A$2,Dienste!$C$2,IF(V28=Dienste!$A$3,Dienste!$C$3,IF(V28=Dienste!$A$4,Dienste!$C$4,IF(V28=Dienste!$A$5,Dienste!$C$5,IF(V28=Dienste!$A$6,Dienste!$C$6,IF(V28=Dienste!$A$7,Dienste!$C$7,IF(V28=Dienste!$A$8,Dienste!$C$8,IF(V28=Dienste!$A$9,Dienste!$C$9,IF(V28=Dienste!$A$10,Dienste!$C$10,IF(V28=Dienste!$A$11,Dienste!$C$11,IF(V28=Dienste!$A$12,Dienste!$C$12,IF(V28=Dienste!$A$13,Dienste!$C$13,IF(V28=Dienste!$A$14,Dienste!$C$14,IF(V28=Dienste!$A$15,Dienste!$C$15,IF(V28=Dienste!$A$16,Dienste!$C$16,IF(V28=Dienste!$A$17,Dienste!$C$17,IF(V28=Dienste!$A$18,Dienste!$C$18,IF(V28=Dienste!$A$19,Dienste!$C$19,IF(V28=Dienste!$A$20,Dienste!$C$20,IF(V28=Dienste!$A$21,Dienste!$C$21,IF(V28=Dienste!$A$22,Dienste!$C$22,IF(V28=Dienste!$A$23,Dienste!$C$23,IF(V28=Dienste!$A$24,Dienste!$C$24,IF(V28=Dienste!$A$25,Dienste!$C$25,IF(V28=Dienste!$A$26,Dienste!$C$26,IF(V28=Dienste!$A$27,Dienste!$C$27,IF(V28=Dienste!$A$28,Dienste!$C$28,IF(V28=Dienste!#REF!,Dienste!#REF!,IF(V28=Dienste!#REF!,Dienste!#REF!,IF(V28=Dienste!#REF!,Dienste!#REF!,IF(V28=Dienste!#REF!,Dienste!#REF!,IF(V28=Dienste!$A$33,Dienste!$C$33,IF(V28=Dienste!$A$34,Dienste!$C$34,IF(V28=Dienste!$A$35,Dienste!$C$35,IF(V28=Dienste!$A$36,Dienste!$C$36,)))))))))))))))))))))))))))))))))))</f>
        <v>8</v>
      </c>
      <c r="BQ28" s="27">
        <f>IF(W28=Dienste!$A$2,Dienste!$C$2,IF(W28=Dienste!$A$3,Dienste!$C$3,IF(W28=Dienste!$A$4,Dienste!$C$4,IF(W28=Dienste!$A$5,Dienste!$C$5,IF(W28=Dienste!$A$6,Dienste!$C$6,IF(W28=Dienste!$A$7,Dienste!$C$7,IF(W28=Dienste!$A$8,Dienste!$C$8,IF(W28=Dienste!$A$9,Dienste!$C$9,IF(W28=Dienste!$A$10,Dienste!$C$10,IF(W28=Dienste!$A$11,Dienste!$C$11,IF(W28=Dienste!$A$12,Dienste!$C$12,IF(W28=Dienste!$A$13,Dienste!$C$13,IF(W28=Dienste!$A$14,Dienste!$C$14,IF(W28=Dienste!$A$15,Dienste!$C$15,IF(W28=Dienste!$A$16,Dienste!$C$16,IF(W28=Dienste!$A$17,Dienste!$C$17,IF(W28=Dienste!$A$18,Dienste!$C$18,IF(W28=Dienste!$A$19,Dienste!$C$19,IF(W28=Dienste!$A$20,Dienste!$C$20,IF(W28=Dienste!$A$21,Dienste!$C$21,IF(W28=Dienste!$A$22,Dienste!$C$22,IF(W28=Dienste!$A$23,Dienste!$C$23,IF(W28=Dienste!$A$24,Dienste!$C$24,IF(W28=Dienste!$A$25,Dienste!$C$25,IF(W28=Dienste!$A$26,Dienste!$C$26,IF(W28=Dienste!$A$27,Dienste!$C$27,IF(W28=Dienste!$A$28,Dienste!$C$28,IF(W28=Dienste!#REF!,Dienste!#REF!,IF(W28=Dienste!#REF!,Dienste!#REF!,IF(W28=Dienste!#REF!,Dienste!#REF!,IF(W28=Dienste!#REF!,Dienste!#REF!,IF(W28=Dienste!$A$33,Dienste!$C$33,IF(W28=Dienste!$A$34,Dienste!$C$34,IF(W28=Dienste!$A$35,Dienste!$C$35,IF(W28=Dienste!$A$36,Dienste!$C$36,)))))))))))))))))))))))))))))))))))</f>
        <v>8</v>
      </c>
      <c r="BR28" s="27">
        <f>IF(X28=Dienste!$A$2,Dienste!$C$2,IF(X28=Dienste!$A$3,Dienste!$C$3,IF(X28=Dienste!$A$4,Dienste!$C$4,IF(X28=Dienste!$A$5,Dienste!$C$5,IF(X28=Dienste!$A$6,Dienste!$C$6,IF(X28=Dienste!$A$7,Dienste!$C$7,IF(X28=Dienste!$A$8,Dienste!$C$8,IF(X28=Dienste!$A$9,Dienste!$C$9,IF(X28=Dienste!$A$10,Dienste!$C$10,IF(X28=Dienste!$A$11,Dienste!$C$11,IF(X28=Dienste!$A$12,Dienste!$C$12,IF(X28=Dienste!$A$13,Dienste!$C$13,IF(X28=Dienste!$A$14,Dienste!$C$14,IF(X28=Dienste!$A$15,Dienste!$C$15,IF(X28=Dienste!$A$16,Dienste!$C$16,IF(X28=Dienste!$A$17,Dienste!$C$17,IF(X28=Dienste!$A$18,Dienste!$C$18,IF(X28=Dienste!$A$19,Dienste!$C$19,IF(X28=Dienste!$A$20,Dienste!$C$20,IF(X28=Dienste!$A$21,Dienste!$C$21,IF(X28=Dienste!$A$22,Dienste!$C$22,IF(X28=Dienste!$A$23,Dienste!$C$23,IF(X28=Dienste!$A$24,Dienste!$C$24,IF(X28=Dienste!$A$25,Dienste!$C$25,IF(X28=Dienste!$A$26,Dienste!$C$26,IF(X28=Dienste!$A$27,Dienste!$C$27,IF(X28=Dienste!$A$28,Dienste!$C$28,IF(X28=Dienste!#REF!,Dienste!#REF!,IF(X28=Dienste!#REF!,Dienste!#REF!,IF(X28=Dienste!#REF!,Dienste!#REF!,IF(X28=Dienste!#REF!,Dienste!#REF!,IF(X28=Dienste!$A$33,Dienste!$C$33,IF(X28=Dienste!$A$34,Dienste!$C$34,IF(X28=Dienste!$A$35,Dienste!$C$35,IF(X28=Dienste!$A$36,Dienste!$C$36,)))))))))))))))))))))))))))))))))))</f>
        <v>8</v>
      </c>
      <c r="BS28" s="27">
        <f>IF(Y28=Dienste!$A$2,Dienste!$C$2,IF(Y28=Dienste!$A$3,Dienste!$C$3,IF(Y28=Dienste!$A$4,Dienste!$C$4,IF(Y28=Dienste!$A$5,Dienste!$C$5,IF(Y28=Dienste!$A$6,Dienste!$C$6,IF(Y28=Dienste!$A$7,Dienste!$C$7,IF(Y28=Dienste!$A$8,Dienste!$C$8,IF(Y28=Dienste!$A$9,Dienste!$C$9,IF(Y28=Dienste!$A$10,Dienste!$C$10,IF(Y28=Dienste!$A$11,Dienste!$C$11,IF(Y28=Dienste!$A$12,Dienste!$C$12,IF(Y28=Dienste!$A$13,Dienste!$C$13,IF(Y28=Dienste!$A$14,Dienste!$C$14,IF(Y28=Dienste!$A$15,Dienste!$C$15,IF(Y28=Dienste!$A$16,Dienste!$C$16,IF(Y28=Dienste!$A$17,Dienste!$C$17,IF(Y28=Dienste!$A$18,Dienste!$C$18,IF(Y28=Dienste!$A$19,Dienste!$C$19,IF(Y28=Dienste!$A$20,Dienste!$C$20,IF(Y28=Dienste!$A$21,Dienste!$C$21,IF(Y28=Dienste!$A$22,Dienste!$C$22,IF(Y28=Dienste!$A$23,Dienste!$C$23,IF(Y28=Dienste!$A$24,Dienste!$C$24,IF(Y28=Dienste!$A$25,Dienste!$C$25,IF(Y28=Dienste!$A$26,Dienste!$C$26,IF(Y28=Dienste!$A$27,Dienste!$C$27,IF(Y28=Dienste!$A$28,Dienste!$C$28,IF(Y28=Dienste!#REF!,Dienste!#REF!,IF(Y28=Dienste!#REF!,Dienste!#REF!,IF(Y28=Dienste!#REF!,Dienste!#REF!,IF(Y28=Dienste!#REF!,Dienste!#REF!,IF(Y28=Dienste!$A$33,Dienste!$C$33,IF(Y28=Dienste!$A$34,Dienste!$C$34,IF(Y28=Dienste!$A$35,Dienste!$C$35,IF(Y28=Dienste!$A$36,Dienste!$C$36,)))))))))))))))))))))))))))))))))))</f>
        <v>0</v>
      </c>
      <c r="BT28" s="27">
        <f>IF(Z28=Dienste!$A$2,Dienste!$C$2,IF(Z28=Dienste!$A$3,Dienste!$C$3,IF(Z28=Dienste!$A$4,Dienste!$C$4,IF(Z28=Dienste!$A$5,Dienste!$C$5,IF(Z28=Dienste!$A$6,Dienste!$C$6,IF(Z28=Dienste!$A$7,Dienste!$C$7,IF(Z28=Dienste!$A$8,Dienste!$C$8,IF(Z28=Dienste!$A$9,Dienste!$C$9,IF(Z28=Dienste!$A$10,Dienste!$C$10,IF(Z28=Dienste!$A$11,Dienste!$C$11,IF(Z28=Dienste!$A$12,Dienste!$C$12,IF(Z28=Dienste!$A$13,Dienste!$C$13,IF(Z28=Dienste!$A$14,Dienste!$C$14,IF(Z28=Dienste!$A$15,Dienste!$C$15,IF(Z28=Dienste!$A$16,Dienste!$C$16,IF(Z28=Dienste!$A$17,Dienste!$C$17,IF(Z28=Dienste!$A$18,Dienste!$C$18,IF(Z28=Dienste!$A$19,Dienste!$C$19,IF(Z28=Dienste!$A$20,Dienste!$C$20,IF(Z28=Dienste!$A$21,Dienste!$C$21,IF(Z28=Dienste!$A$22,Dienste!$C$22,IF(Z28=Dienste!$A$23,Dienste!$C$23,IF(Z28=Dienste!$A$24,Dienste!$C$24,IF(Z28=Dienste!$A$25,Dienste!$C$25,IF(Z28=Dienste!$A$26,Dienste!$C$26,IF(Z28=Dienste!$A$27,Dienste!$C$27,IF(Z28=Dienste!$A$28,Dienste!$C$28,IF(Z28=Dienste!#REF!,Dienste!#REF!,IF(Z28=Dienste!#REF!,Dienste!#REF!,IF(Z28=Dienste!#REF!,Dienste!#REF!,IF(Z28=Dienste!#REF!,Dienste!#REF!,IF(Z28=Dienste!$A$33,Dienste!$C$33,IF(Z28=Dienste!$A$34,Dienste!$C$34,IF(Z28=Dienste!$A$35,Dienste!$C$35,IF(Z28=Dienste!$A$36,Dienste!$C$36,)))))))))))))))))))))))))))))))))))</f>
        <v>0</v>
      </c>
      <c r="BU28" s="27">
        <f>IF(AA28=Dienste!$A$2,Dienste!$C$2,IF(AA28=Dienste!$A$3,Dienste!$C$3,IF(AA28=Dienste!$A$4,Dienste!$C$4,IF(AA28=Dienste!$A$5,Dienste!$C$5,IF(AA28=Dienste!$A$6,Dienste!$C$6,IF(AA28=Dienste!$A$7,Dienste!$C$7,IF(AA28=Dienste!$A$8,Dienste!$C$8,IF(AA28=Dienste!$A$9,Dienste!$C$9,IF(AA28=Dienste!$A$10,Dienste!$C$10,IF(AA28=Dienste!$A$11,Dienste!$C$11,IF(AA28=Dienste!$A$12,Dienste!$C$12,IF(AA28=Dienste!$A$13,Dienste!$C$13,IF(AA28=Dienste!$A$14,Dienste!$C$14,IF(AA28=Dienste!$A$15,Dienste!$C$15,IF(AA28=Dienste!$A$16,Dienste!$C$16,IF(AA28=Dienste!$A$17,Dienste!$C$17,IF(AA28=Dienste!$A$18,Dienste!$C$18,IF(AA28=Dienste!$A$19,Dienste!$C$19,IF(AA28=Dienste!$A$20,Dienste!$C$20,IF(AA28=Dienste!$A$21,Dienste!$C$21,IF(AA28=Dienste!$A$22,Dienste!$C$22,IF(AA28=Dienste!$A$23,Dienste!$C$23,IF(AA28=Dienste!$A$24,Dienste!$C$24,IF(AA28=Dienste!$A$25,Dienste!$C$25,IF(AA28=Dienste!$A$26,Dienste!$C$26,IF(AA28=Dienste!$A$27,Dienste!$C$27,IF(AA28=Dienste!$A$28,Dienste!$C$28,IF(AA28=Dienste!#REF!,Dienste!#REF!,IF(AA28=Dienste!#REF!,Dienste!#REF!,IF(AA28=Dienste!#REF!,Dienste!#REF!,IF(AA28=Dienste!#REF!,Dienste!#REF!,IF(AA28=Dienste!$A$33,Dienste!$C$33,IF(AA28=Dienste!$A$34,Dienste!$C$34,IF(AA28=Dienste!$A$35,Dienste!$C$35,IF(AA28=Dienste!$A$36,Dienste!$C$36,)))))))))))))))))))))))))))))))))))</f>
        <v>8</v>
      </c>
      <c r="BV28" s="27">
        <f>IF(AB28=Dienste!$A$2,Dienste!$C$2,IF(AB28=Dienste!$A$3,Dienste!$C$3,IF(AB28=Dienste!$A$4,Dienste!$C$4,IF(AB28=Dienste!$A$5,Dienste!$C$5,IF(AB28=Dienste!$A$6,Dienste!$C$6,IF(AB28=Dienste!$A$7,Dienste!$C$7,IF(AB28=Dienste!$A$8,Dienste!$C$8,IF(AB28=Dienste!$A$9,Dienste!$C$9,IF(AB28=Dienste!$A$10,Dienste!$C$10,IF(AB28=Dienste!$A$11,Dienste!$C$11,IF(AB28=Dienste!$A$12,Dienste!$C$12,IF(AB28=Dienste!$A$13,Dienste!$C$13,IF(AB28=Dienste!$A$14,Dienste!$C$14,IF(AB28=Dienste!$A$15,Dienste!$C$15,IF(AB28=Dienste!$A$16,Dienste!$C$16,IF(AB28=Dienste!$A$17,Dienste!$C$17,IF(AB28=Dienste!$A$18,Dienste!$C$18,IF(AB28=Dienste!$A$19,Dienste!$C$19,IF(AB28=Dienste!$A$20,Dienste!$C$20,IF(AB28=Dienste!$A$21,Dienste!$C$21,IF(AB28=Dienste!$A$22,Dienste!$C$22,IF(AB28=Dienste!$A$23,Dienste!$C$23,IF(AB28=Dienste!$A$24,Dienste!$C$24,IF(AB28=Dienste!$A$25,Dienste!$C$25,IF(AB28=Dienste!$A$26,Dienste!$C$26,IF(AB28=Dienste!$A$27,Dienste!$C$27,IF(AB28=Dienste!$A$28,Dienste!$C$28,IF(AB28=Dienste!#REF!,Dienste!#REF!,IF(AB28=Dienste!#REF!,Dienste!#REF!,IF(AB28=Dienste!#REF!,Dienste!#REF!,IF(AB28=Dienste!#REF!,Dienste!#REF!,IF(AB28=Dienste!$A$33,Dienste!$C$33,IF(AB28=Dienste!$A$34,Dienste!$C$34,IF(AB28=Dienste!$A$35,Dienste!$C$35,IF(AB28=Dienste!$A$36,Dienste!$C$36,)))))))))))))))))))))))))))))))))))</f>
        <v>8</v>
      </c>
      <c r="BW28" s="27">
        <f>IF(AC28=Dienste!$A$2,Dienste!$C$2,IF(AC28=Dienste!$A$3,Dienste!$C$3,IF(AC28=Dienste!$A$4,Dienste!$C$4,IF(AC28=Dienste!$A$5,Dienste!$C$5,IF(AC28=Dienste!$A$6,Dienste!$C$6,IF(AC28=Dienste!$A$7,Dienste!$C$7,IF(AC28=Dienste!$A$8,Dienste!$C$8,IF(AC28=Dienste!$A$9,Dienste!$C$9,IF(AC28=Dienste!$A$10,Dienste!$C$10,IF(AC28=Dienste!$A$11,Dienste!$C$11,IF(AC28=Dienste!$A$12,Dienste!$C$12,IF(AC28=Dienste!$A$13,Dienste!$C$13,IF(AC28=Dienste!$A$14,Dienste!$C$14,IF(AC28=Dienste!$A$15,Dienste!$C$15,IF(AC28=Dienste!$A$16,Dienste!$C$16,IF(AC28=Dienste!$A$17,Dienste!$C$17,IF(AC28=Dienste!$A$18,Dienste!$C$18,IF(AC28=Dienste!$A$19,Dienste!$C$19,IF(AC28=Dienste!$A$20,Dienste!$C$20,IF(AC28=Dienste!$A$21,Dienste!$C$21,IF(AC28=Dienste!$A$22,Dienste!$C$22,IF(AC28=Dienste!$A$23,Dienste!$C$23,IF(AC28=Dienste!$A$24,Dienste!$C$24,IF(AC28=Dienste!$A$25,Dienste!$C$25,IF(AC28=Dienste!$A$26,Dienste!$C$26,IF(AC28=Dienste!$A$27,Dienste!$C$27,IF(AC28=Dienste!$A$28,Dienste!$C$28,IF(AC28=Dienste!#REF!,Dienste!#REF!,IF(AC28=Dienste!#REF!,Dienste!#REF!,IF(AC28=Dienste!#REF!,Dienste!#REF!,IF(AC28=Dienste!#REF!,Dienste!#REF!,IF(AC28=Dienste!$A$33,Dienste!$C$33,IF(AC28=Dienste!$A$34,Dienste!$C$34,IF(AC28=Dienste!$A$35,Dienste!$C$35,IF(AC28=Dienste!$A$36,Dienste!$C$36,)))))))))))))))))))))))))))))))))))</f>
        <v>8</v>
      </c>
      <c r="BX28" s="27">
        <f>IF(AD28=Dienste!$A$2,Dienste!$C$2,IF(AD28=Dienste!$A$3,Dienste!$C$3,IF(AD28=Dienste!$A$4,Dienste!$C$4,IF(AD28=Dienste!$A$5,Dienste!$C$5,IF(AD28=Dienste!$A$6,Dienste!$C$6,IF(AD28=Dienste!$A$7,Dienste!$C$7,IF(AD28=Dienste!$A$8,Dienste!$C$8,IF(AD28=Dienste!$A$9,Dienste!$C$9,IF(AD28=Dienste!$A$10,Dienste!$C$10,IF(AD28=Dienste!$A$11,Dienste!$C$11,IF(AD28=Dienste!$A$12,Dienste!$C$12,IF(AD28=Dienste!$A$13,Dienste!$C$13,IF(AD28=Dienste!$A$14,Dienste!$C$14,IF(AD28=Dienste!$A$15,Dienste!$C$15,IF(AD28=Dienste!$A$16,Dienste!$C$16,IF(AD28=Dienste!$A$17,Dienste!$C$17,IF(AD28=Dienste!$A$18,Dienste!$C$18,IF(AD28=Dienste!$A$19,Dienste!$C$19,IF(AD28=Dienste!$A$20,Dienste!$C$20,IF(AD28=Dienste!$A$21,Dienste!$C$21,IF(AD28=Dienste!$A$22,Dienste!$C$22,IF(AD28=Dienste!$A$23,Dienste!$C$23,IF(AD28=Dienste!$A$24,Dienste!$C$24,IF(AD28=Dienste!$A$25,Dienste!$C$25,IF(AD28=Dienste!$A$26,Dienste!$C$26,IF(AD28=Dienste!$A$27,Dienste!$C$27,IF(AD28=Dienste!$A$28,Dienste!$C$28,IF(AD28=Dienste!#REF!,Dienste!#REF!,IF(AD28=Dienste!#REF!,Dienste!#REF!,IF(AD28=Dienste!#REF!,Dienste!#REF!,IF(AD28=Dienste!#REF!,Dienste!#REF!,IF(AD28=Dienste!$A$33,Dienste!$C$33,IF(AD28=Dienste!$A$34,Dienste!$C$34,IF(AD28=Dienste!$A$35,Dienste!$C$35,IF(AD28=Dienste!$A$36,Dienste!$C$36,)))))))))))))))))))))))))))))))))))</f>
        <v>8</v>
      </c>
      <c r="BY28" s="27">
        <f>IF(AE28=Dienste!$A$2,Dienste!$C$2,IF(AE28=Dienste!$A$3,Dienste!$C$3,IF(AE28=Dienste!$A$4,Dienste!$C$4,IF(AE28=Dienste!$A$5,Dienste!$C$5,IF(AE28=Dienste!$A$6,Dienste!$C$6,IF(AE28=Dienste!$A$7,Dienste!$C$7,IF(AE28=Dienste!$A$8,Dienste!$C$8,IF(AE28=Dienste!$A$9,Dienste!$C$9,IF(AE28=Dienste!$A$10,Dienste!$C$10,IF(AE28=Dienste!$A$11,Dienste!$C$11,IF(AE28=Dienste!$A$12,Dienste!$C$12,IF(AE28=Dienste!$A$13,Dienste!$C$13,IF(AE28=Dienste!$A$14,Dienste!$C$14,IF(AE28=Dienste!$A$15,Dienste!$C$15,IF(AE28=Dienste!$A$16,Dienste!$C$16,IF(AE28=Dienste!$A$17,Dienste!$C$17,IF(AE28=Dienste!$A$18,Dienste!$C$18,IF(AE28=Dienste!$A$19,Dienste!$C$19,IF(AE28=Dienste!$A$20,Dienste!$C$20,IF(AE28=Dienste!$A$21,Dienste!$C$21,IF(AE28=Dienste!$A$22,Dienste!$C$22,IF(AE28=Dienste!$A$23,Dienste!$C$23,IF(AE28=Dienste!$A$24,Dienste!$C$24,IF(AE28=Dienste!$A$25,Dienste!$C$25,IF(AE28=Dienste!$A$26,Dienste!$C$26,IF(AE28=Dienste!$A$27,Dienste!$C$27,IF(AE28=Dienste!$A$28,Dienste!$C$28,IF(AE28=Dienste!#REF!,Dienste!#REF!,IF(AE28=Dienste!#REF!,Dienste!#REF!,IF(AE28=Dienste!#REF!,Dienste!#REF!,IF(AE28=Dienste!#REF!,Dienste!#REF!,IF(AE28=Dienste!$A$33,Dienste!$C$33,IF(AE28=Dienste!$A$34,Dienste!$C$34,IF(AE28=Dienste!$A$35,Dienste!$C$35,IF(AE28=Dienste!$A$36,Dienste!$C$36,)))))))))))))))))))))))))))))))))))</f>
        <v>8</v>
      </c>
      <c r="BZ28" s="27">
        <f>IF(AF28=Dienste!$A$2,Dienste!$C$2,IF(AF28=Dienste!$A$3,Dienste!$C$3,IF(AF28=Dienste!$A$4,Dienste!$C$4,IF(AF28=Dienste!$A$5,Dienste!$C$5,IF(AF28=Dienste!$A$6,Dienste!$C$6,IF(AF28=Dienste!$A$7,Dienste!$C$7,IF(AF28=Dienste!$A$8,Dienste!$C$8,IF(AF28=Dienste!$A$9,Dienste!$C$9,IF(AF28=Dienste!$A$10,Dienste!$C$10,IF(AF28=Dienste!$A$11,Dienste!$C$11,IF(AF28=Dienste!$A$12,Dienste!$C$12,IF(AF28=Dienste!$A$13,Dienste!$C$13,IF(AF28=Dienste!$A$14,Dienste!$C$14,IF(AF28=Dienste!$A$15,Dienste!$C$15,IF(AF28=Dienste!$A$16,Dienste!$C$16,IF(AF28=Dienste!$A$17,Dienste!$C$17,IF(AF28=Dienste!$A$18,Dienste!$C$18,IF(AF28=Dienste!$A$19,Dienste!$C$19,IF(AF28=Dienste!$A$20,Dienste!$C$20,IF(AF28=Dienste!$A$21,Dienste!$C$21,IF(AF28=Dienste!$A$22,Dienste!$C$22,IF(AF28=Dienste!$A$23,Dienste!$C$23,IF(AF28=Dienste!$A$24,Dienste!$C$24,IF(AF28=Dienste!$A$25,Dienste!$C$25,IF(AF28=Dienste!$A$26,Dienste!$C$26,IF(AF28=Dienste!$A$27,Dienste!$C$27,IF(AF28=Dienste!$A$28,Dienste!$C$28,IF(AF28=Dienste!#REF!,Dienste!#REF!,IF(AF28=Dienste!#REF!,Dienste!#REF!,IF(AF28=Dienste!#REF!,Dienste!#REF!,IF(AF28=Dienste!#REF!,Dienste!#REF!,IF(AF28=Dienste!$A$33,Dienste!$C$33,IF(AF28=Dienste!$A$34,Dienste!$C$34,IF(AF28=Dienste!$A$35,Dienste!$C$35,IF(AF28=Dienste!$A$36,Dienste!$C$36,)))))))))))))))))))))))))))))))))))</f>
        <v>0</v>
      </c>
      <c r="CA28" s="27">
        <f>IF(AG28=Dienste!$A$2,Dienste!$C$2,IF(AG28=Dienste!$A$3,Dienste!$C$3,IF(AG28=Dienste!$A$4,Dienste!$C$4,IF(AG28=Dienste!$A$5,Dienste!$C$5,IF(AG28=Dienste!$A$6,Dienste!$C$6,IF(AG28=Dienste!$A$7,Dienste!$C$7,IF(AG28=Dienste!$A$8,Dienste!$C$8,IF(AG28=Dienste!$A$9,Dienste!$C$9,IF(AG28=Dienste!$A$10,Dienste!$C$10,IF(AG28=Dienste!$A$11,Dienste!$C$11,IF(AG28=Dienste!$A$12,Dienste!$C$12,IF(AG28=Dienste!$A$13,Dienste!$C$13,IF(AG28=Dienste!$A$14,Dienste!$C$14,IF(AG28=Dienste!$A$15,Dienste!$C$15,IF(AG28=Dienste!$A$16,Dienste!$C$16,IF(AG28=Dienste!$A$17,Dienste!$C$17,IF(AG28=Dienste!$A$18,Dienste!$C$18,IF(AG28=Dienste!$A$19,Dienste!$C$19,IF(AG28=Dienste!$A$20,Dienste!$C$20,IF(AG28=Dienste!$A$21,Dienste!$C$21,IF(AG28=Dienste!$A$22,Dienste!$C$22,IF(AG28=Dienste!$A$23,Dienste!$C$23,IF(AG28=Dienste!$A$24,Dienste!$C$24,IF(AG28=Dienste!$A$25,Dienste!$C$25,IF(AG28=Dienste!$A$26,Dienste!$C$26,IF(AG28=Dienste!$A$27,Dienste!$C$27,IF(AG28=Dienste!$A$28,Dienste!$C$28,IF(AG28=Dienste!#REF!,Dienste!#REF!,IF(AG28=Dienste!#REF!,Dienste!#REF!,IF(AG28=Dienste!#REF!,Dienste!#REF!,IF(AG28=Dienste!#REF!,Dienste!#REF!,IF(AG28=Dienste!$A$33,Dienste!$C$33,IF(AG28=Dienste!$A$34,Dienste!$C$34,IF(AG28=Dienste!$A$35,Dienste!$C$35,IF(AG28=Dienste!$A$36,Dienste!$C$36,)))))))))))))))))))))))))))))))))))</f>
        <v>0</v>
      </c>
      <c r="CB28" s="27">
        <f>IF(AH28=Dienste!$A$2,Dienste!$C$2,IF(AH28=Dienste!$A$3,Dienste!$C$3,IF(AH28=Dienste!$A$4,Dienste!$C$4,IF(AH28=Dienste!$A$5,Dienste!$C$5,IF(AH28=Dienste!$A$6,Dienste!$C$6,IF(AH28=Dienste!$A$7,Dienste!$C$7,IF(AH28=Dienste!$A$8,Dienste!$C$8,IF(AH28=Dienste!$A$9,Dienste!$C$9,IF(AH28=Dienste!$A$10,Dienste!$C$10,IF(AH28=Dienste!$A$11,Dienste!$C$11,IF(AH28=Dienste!$A$12,Dienste!$C$12,IF(AH28=Dienste!$A$13,Dienste!$C$13,IF(AH28=Dienste!$A$14,Dienste!$C$14,IF(AH28=Dienste!$A$15,Dienste!$C$15,IF(AH28=Dienste!$A$16,Dienste!$C$16,IF(AH28=Dienste!$A$17,Dienste!$C$17,IF(AH28=Dienste!$A$18,Dienste!$C$18,IF(AH28=Dienste!$A$19,Dienste!$C$19,IF(AH28=Dienste!$A$20,Dienste!$C$20,IF(AH28=Dienste!$A$21,Dienste!$C$21,IF(AH28=Dienste!$A$22,Dienste!$C$22,IF(AH28=Dienste!$A$23,Dienste!$C$23,IF(AH28=Dienste!$A$24,Dienste!$C$24,IF(AH28=Dienste!$A$25,Dienste!$C$25,IF(AH28=Dienste!$A$26,Dienste!$C$26,IF(AH28=Dienste!$A$27,Dienste!$C$27,IF(AH28=Dienste!$A$28,Dienste!$C$28,IF(AH28=Dienste!#REF!,Dienste!#REF!,IF(AH28=Dienste!#REF!,Dienste!#REF!,IF(AH28=Dienste!#REF!,Dienste!#REF!,IF(AH28=Dienste!#REF!,Dienste!#REF!,IF(AH28=Dienste!$A$33,Dienste!$C$33,IF(AH28=Dienste!$A$34,Dienste!$C$34,IF(AH28=Dienste!$A$35,Dienste!$C$35,IF(AH28=Dienste!$A$36,Dienste!$C$36,)))))))))))))))))))))))))))))))))))</f>
        <v>8</v>
      </c>
      <c r="CC28" s="27" t="e">
        <f>IF(AI28=Dienste!$A$2,Dienste!$C$2,IF(AI28=Dienste!$A$3,Dienste!$C$3,IF(AI28=Dienste!$A$4,Dienste!$C$4,IF(AI28=Dienste!$A$5,Dienste!$C$5,IF(AI28=Dienste!$A$6,Dienste!$C$6,IF(AI28=Dienste!$A$7,Dienste!$C$7,IF(AI28=Dienste!$A$8,Dienste!$C$8,IF(AI28=Dienste!$A$9,Dienste!$C$9,IF(AI28=Dienste!$A$10,Dienste!$C$10,IF(AI28=Dienste!$A$11,Dienste!$C$11,IF(AI28=Dienste!$A$12,Dienste!$C$12,IF(AI28=Dienste!$A$13,Dienste!$C$13,IF(AI28=Dienste!$A$14,Dienste!$C$14,IF(AI28=Dienste!$A$15,Dienste!$C$15,IF(AI28=Dienste!$A$16,Dienste!$C$16,IF(AI28=Dienste!$A$17,Dienste!$C$17,IF(AI28=Dienste!$A$18,Dienste!$C$18,IF(AI28=Dienste!$A$19,Dienste!$C$19,IF(AI28=Dienste!$A$20,Dienste!$C$20,IF(AI28=Dienste!$A$21,Dienste!$C$21,IF(AI28=Dienste!$A$22,Dienste!$C$22,IF(AI28=Dienste!$A$23,Dienste!$C$23,IF(AI28=Dienste!$A$24,Dienste!$C$24,IF(AI28=Dienste!$A$25,Dienste!$C$25,IF(AI28=Dienste!$A$26,Dienste!$C$26,IF(AI28=Dienste!$A$27,Dienste!$C$27,IF(AI28=Dienste!$A$28,Dienste!$C$28,IF(AI28=Dienste!#REF!,Dienste!#REF!,IF(AI28=Dienste!#REF!,Dienste!#REF!,IF(AI28=Dienste!#REF!,Dienste!#REF!,IF(AI28=Dienste!#REF!,Dienste!#REF!,IF(AI28=Dienste!$A$33,Dienste!$C$33,IF(AI28=Dienste!$A$34,Dienste!$C$34,IF(AI28=Dienste!$A$35,Dienste!$C$35,IF(AI28=Dienste!$A$36,Dienste!$C$36,)))))))))))))))))))))))))))))))))))</f>
        <v>#REF!</v>
      </c>
    </row>
    <row r="29" spans="1:81" x14ac:dyDescent="0.25">
      <c r="A29" s="109" t="s">
        <v>142</v>
      </c>
      <c r="B29" s="15" t="s">
        <v>231</v>
      </c>
      <c r="C29" s="15">
        <v>32</v>
      </c>
      <c r="D29" s="98">
        <v>0</v>
      </c>
      <c r="E29" s="104" t="s">
        <v>83</v>
      </c>
      <c r="F29" s="9" t="s">
        <v>5</v>
      </c>
      <c r="G29" s="9" t="s">
        <v>43</v>
      </c>
      <c r="H29" s="9" t="s">
        <v>83</v>
      </c>
      <c r="I29" s="9" t="s">
        <v>31</v>
      </c>
      <c r="J29" s="9" t="s">
        <v>53</v>
      </c>
      <c r="K29" s="9" t="s">
        <v>83</v>
      </c>
      <c r="L29" s="9" t="s">
        <v>83</v>
      </c>
      <c r="M29" s="9" t="s">
        <v>31</v>
      </c>
      <c r="N29" s="9" t="s">
        <v>31</v>
      </c>
      <c r="O29" s="9" t="s">
        <v>5</v>
      </c>
      <c r="P29" s="9" t="s">
        <v>31</v>
      </c>
      <c r="Q29" s="9" t="s">
        <v>31</v>
      </c>
      <c r="R29" s="9" t="s">
        <v>83</v>
      </c>
      <c r="S29" s="9" t="s">
        <v>83</v>
      </c>
      <c r="T29" s="9" t="s">
        <v>6</v>
      </c>
      <c r="U29" s="9" t="s">
        <v>5</v>
      </c>
      <c r="V29" s="9" t="s">
        <v>5</v>
      </c>
      <c r="W29" s="9" t="s">
        <v>43</v>
      </c>
      <c r="X29" s="9" t="s">
        <v>31</v>
      </c>
      <c r="Y29" s="9" t="s">
        <v>53</v>
      </c>
      <c r="Z29" s="9" t="s">
        <v>83</v>
      </c>
      <c r="AA29" s="9" t="s">
        <v>83</v>
      </c>
      <c r="AB29" s="9" t="s">
        <v>32</v>
      </c>
      <c r="AC29" s="9" t="s">
        <v>31</v>
      </c>
      <c r="AD29" s="9" t="s">
        <v>53</v>
      </c>
      <c r="AE29" s="9" t="s">
        <v>65</v>
      </c>
      <c r="AF29" s="9" t="s">
        <v>83</v>
      </c>
      <c r="AG29" s="9" t="s">
        <v>83</v>
      </c>
      <c r="AH29" s="9" t="s">
        <v>31</v>
      </c>
      <c r="AI29" s="15"/>
      <c r="AJ29" s="109">
        <v>9.6</v>
      </c>
      <c r="AK29" s="15">
        <v>134.4</v>
      </c>
      <c r="AL29" s="109">
        <v>131</v>
      </c>
      <c r="AM29" s="15">
        <v>6.199999999999994</v>
      </c>
      <c r="AN29" s="170">
        <v>-3.4000000000000057</v>
      </c>
      <c r="AO29" s="109">
        <v>18.400000000000002</v>
      </c>
      <c r="AP29" s="15">
        <v>3</v>
      </c>
      <c r="AQ29" s="98">
        <v>3</v>
      </c>
      <c r="AR29" s="109">
        <v>38.4</v>
      </c>
      <c r="AS29" s="15">
        <v>32.707692307692305</v>
      </c>
      <c r="AT29" s="98">
        <v>26</v>
      </c>
      <c r="AU29" s="96" t="e">
        <f t="shared" si="2"/>
        <v>#REF!</v>
      </c>
      <c r="AV29" s="27" t="e">
        <f t="shared" si="0"/>
        <v>#REF!</v>
      </c>
      <c r="AW29" s="58" t="e">
        <f t="shared" si="1"/>
        <v>#REF!</v>
      </c>
      <c r="AY29" s="27">
        <f>IF(E29=Dienste!$A$2,Dienste!$C$2,IF(E29=Dienste!$A$3,Dienste!$C$3,IF(E29=Dienste!$A$4,Dienste!$C$4,IF(E29=Dienste!$A$5,Dienste!$C$5,IF(E29=Dienste!$A$6,Dienste!$C$6,IF(E29=Dienste!$A$7,Dienste!$C$7,IF(E29=Dienste!$A$8,Dienste!$C$8,IF(E29=Dienste!$A$9,Dienste!$C$9,IF(E29=Dienste!$A$10,Dienste!$C$10,IF(E29=Dienste!$A$11,Dienste!$C$11,IF(E29=Dienste!$A$12,Dienste!$C$12,IF(E29=Dienste!$A$13,Dienste!$C$13,IF(E29=Dienste!$A$14,Dienste!$C$14,IF(E29=Dienste!$A$15,Dienste!$C$15,IF(E29=Dienste!$A$16,Dienste!$C$16,IF(E29=Dienste!$A$17,Dienste!$C$17,IF(E29=Dienste!$A$18,Dienste!$C$18,IF(E29=Dienste!$A$19,Dienste!$C$19,IF(E29=Dienste!$A$20,Dienste!$C$20,IF(E29=Dienste!$A$21,Dienste!$C$21,IF(E29=Dienste!$A$22,Dienste!$C$22,IF(E29=Dienste!$A$23,Dienste!$C$23,IF(E29=Dienste!$A$24,Dienste!$C$24,IF(E29=Dienste!$A$25,Dienste!$C$25,IF(E29=Dienste!$A$26,Dienste!$C$26,IF(E29=Dienste!$A$27,Dienste!$C$27,IF(E29=Dienste!$A$28,Dienste!$C$28,IF(E29=Dienste!#REF!,Dienste!#REF!,IF(E29=Dienste!#REF!,Dienste!#REF!,IF(E29=Dienste!#REF!,Dienste!#REF!,IF(E29=Dienste!#REF!,Dienste!#REF!,IF(E29=Dienste!$A$33,Dienste!$C$33,IF(E29=Dienste!$A$34,Dienste!$C$34,IF(E29=Dienste!$A$35,Dienste!$C$35,IF(E29=Dienste!$A$36,Dienste!$C$36,)))))))))))))))))))))))))))))))))))</f>
        <v>0</v>
      </c>
      <c r="AZ29" s="27">
        <f>IF(F29=Dienste!$A$2,Dienste!$C$2,IF(F29=Dienste!$A$3,Dienste!$C$3,IF(F29=Dienste!$A$4,Dienste!$C$4,IF(F29=Dienste!$A$5,Dienste!$C$5,IF(F29=Dienste!$A$6,Dienste!$C$6,IF(F29=Dienste!$A$7,Dienste!$C$7,IF(F29=Dienste!$A$8,Dienste!$C$8,IF(F29=Dienste!$A$9,Dienste!$C$9,IF(F29=Dienste!$A$10,Dienste!$C$10,IF(F29=Dienste!$A$11,Dienste!$C$11,IF(F29=Dienste!$A$12,Dienste!$C$12,IF(F29=Dienste!$A$13,Dienste!$C$13,IF(F29=Dienste!$A$14,Dienste!$C$14,IF(F29=Dienste!$A$15,Dienste!$C$15,IF(F29=Dienste!$A$16,Dienste!$C$16,IF(F29=Dienste!$A$17,Dienste!$C$17,IF(F29=Dienste!$A$18,Dienste!$C$18,IF(F29=Dienste!$A$19,Dienste!$C$19,IF(F29=Dienste!$A$20,Dienste!$C$20,IF(F29=Dienste!$A$21,Dienste!$C$21,IF(F29=Dienste!$A$22,Dienste!$C$22,IF(F29=Dienste!$A$23,Dienste!$C$23,IF(F29=Dienste!$A$24,Dienste!$C$24,IF(F29=Dienste!$A$25,Dienste!$C$25,IF(F29=Dienste!$A$26,Dienste!$C$26,IF(F29=Dienste!$A$27,Dienste!$C$27,IF(F29=Dienste!$A$28,Dienste!$C$28,IF(F29=Dienste!#REF!,Dienste!#REF!,IF(F29=Dienste!#REF!,Dienste!#REF!,IF(F29=Dienste!#REF!,Dienste!#REF!,IF(F29=Dienste!#REF!,Dienste!#REF!,IF(F29=Dienste!$A$33,Dienste!$C$33,IF(F29=Dienste!$A$34,Dienste!$C$34,IF(F29=Dienste!$A$35,Dienste!$C$35,IF(F29=Dienste!$A$36,Dienste!$C$36,)))))))))))))))))))))))))))))))))))</f>
        <v>0</v>
      </c>
      <c r="BA29" s="27">
        <f>IF(G29=Dienste!$A$2,Dienste!$C$2,IF(G29=Dienste!$A$3,Dienste!$C$3,IF(G29=Dienste!$A$4,Dienste!$C$4,IF(G29=Dienste!$A$5,Dienste!$C$5,IF(G29=Dienste!$A$6,Dienste!$C$6,IF(G29=Dienste!$A$7,Dienste!$C$7,IF(G29=Dienste!$A$8,Dienste!$C$8,IF(G29=Dienste!$A$9,Dienste!$C$9,IF(G29=Dienste!$A$10,Dienste!$C$10,IF(G29=Dienste!$A$11,Dienste!$C$11,IF(G29=Dienste!$A$12,Dienste!$C$12,IF(G29=Dienste!$A$13,Dienste!$C$13,IF(G29=Dienste!$A$14,Dienste!$C$14,IF(G29=Dienste!$A$15,Dienste!$C$15,IF(G29=Dienste!$A$16,Dienste!$C$16,IF(G29=Dienste!$A$17,Dienste!$C$17,IF(G29=Dienste!$A$18,Dienste!$C$18,IF(G29=Dienste!$A$19,Dienste!$C$19,IF(G29=Dienste!$A$20,Dienste!$C$20,IF(G29=Dienste!$A$21,Dienste!$C$21,IF(G29=Dienste!$A$22,Dienste!$C$22,IF(G29=Dienste!$A$23,Dienste!$C$23,IF(G29=Dienste!$A$24,Dienste!$C$24,IF(G29=Dienste!$A$25,Dienste!$C$25,IF(G29=Dienste!$A$26,Dienste!$C$26,IF(G29=Dienste!$A$27,Dienste!$C$27,IF(G29=Dienste!$A$28,Dienste!$C$28,IF(G29=Dienste!#REF!,Dienste!#REF!,IF(G29=Dienste!#REF!,Dienste!#REF!,IF(G29=Dienste!#REF!,Dienste!#REF!,IF(G29=Dienste!#REF!,Dienste!#REF!,IF(G29=Dienste!$A$33,Dienste!$C$33,IF(G29=Dienste!$A$34,Dienste!$C$34,IF(G29=Dienste!$A$35,Dienste!$C$35,IF(G29=Dienste!$A$36,Dienste!$C$36,)))))))))))))))))))))))))))))))))))</f>
        <v>8</v>
      </c>
      <c r="BB29" s="27">
        <f>IF(H29=Dienste!$A$2,Dienste!$C$2,IF(H29=Dienste!$A$3,Dienste!$C$3,IF(H29=Dienste!$A$4,Dienste!$C$4,IF(H29=Dienste!$A$5,Dienste!$C$5,IF(H29=Dienste!$A$6,Dienste!$C$6,IF(H29=Dienste!$A$7,Dienste!$C$7,IF(H29=Dienste!$A$8,Dienste!$C$8,IF(H29=Dienste!$A$9,Dienste!$C$9,IF(H29=Dienste!$A$10,Dienste!$C$10,IF(H29=Dienste!$A$11,Dienste!$C$11,IF(H29=Dienste!$A$12,Dienste!$C$12,IF(H29=Dienste!$A$13,Dienste!$C$13,IF(H29=Dienste!$A$14,Dienste!$C$14,IF(H29=Dienste!$A$15,Dienste!$C$15,IF(H29=Dienste!$A$16,Dienste!$C$16,IF(H29=Dienste!$A$17,Dienste!$C$17,IF(H29=Dienste!$A$18,Dienste!$C$18,IF(H29=Dienste!$A$19,Dienste!$C$19,IF(H29=Dienste!$A$20,Dienste!$C$20,IF(H29=Dienste!$A$21,Dienste!$C$21,IF(H29=Dienste!$A$22,Dienste!$C$22,IF(H29=Dienste!$A$23,Dienste!$C$23,IF(H29=Dienste!$A$24,Dienste!$C$24,IF(H29=Dienste!$A$25,Dienste!$C$25,IF(H29=Dienste!$A$26,Dienste!$C$26,IF(H29=Dienste!$A$27,Dienste!$C$27,IF(H29=Dienste!$A$28,Dienste!$C$28,IF(H29=Dienste!#REF!,Dienste!#REF!,IF(H29=Dienste!#REF!,Dienste!#REF!,IF(H29=Dienste!#REF!,Dienste!#REF!,IF(H29=Dienste!#REF!,Dienste!#REF!,IF(H29=Dienste!$A$33,Dienste!$C$33,IF(H29=Dienste!$A$34,Dienste!$C$34,IF(H29=Dienste!$A$35,Dienste!$C$35,IF(H29=Dienste!$A$36,Dienste!$C$36,)))))))))))))))))))))))))))))))))))</f>
        <v>0</v>
      </c>
      <c r="BC29" s="27">
        <f>IF(I29=Dienste!$A$2,Dienste!$C$2,IF(I29=Dienste!$A$3,Dienste!$C$3,IF(I29=Dienste!$A$4,Dienste!$C$4,IF(I29=Dienste!$A$5,Dienste!$C$5,IF(I29=Dienste!$A$6,Dienste!$C$6,IF(I29=Dienste!$A$7,Dienste!$C$7,IF(I29=Dienste!$A$8,Dienste!$C$8,IF(I29=Dienste!$A$9,Dienste!$C$9,IF(I29=Dienste!$A$10,Dienste!$C$10,IF(I29=Dienste!$A$11,Dienste!$C$11,IF(I29=Dienste!$A$12,Dienste!$C$12,IF(I29=Dienste!$A$13,Dienste!$C$13,IF(I29=Dienste!$A$14,Dienste!$C$14,IF(I29=Dienste!$A$15,Dienste!$C$15,IF(I29=Dienste!$A$16,Dienste!$C$16,IF(I29=Dienste!$A$17,Dienste!$C$17,IF(I29=Dienste!$A$18,Dienste!$C$18,IF(I29=Dienste!$A$19,Dienste!$C$19,IF(I29=Dienste!$A$20,Dienste!$C$20,IF(I29=Dienste!$A$21,Dienste!$C$21,IF(I29=Dienste!$A$22,Dienste!$C$22,IF(I29=Dienste!$A$23,Dienste!$C$23,IF(I29=Dienste!$A$24,Dienste!$C$24,IF(I29=Dienste!$A$25,Dienste!$C$25,IF(I29=Dienste!$A$26,Dienste!$C$26,IF(I29=Dienste!$A$27,Dienste!$C$27,IF(I29=Dienste!$A$28,Dienste!$C$28,IF(I29=Dienste!#REF!,Dienste!#REF!,IF(I29=Dienste!#REF!,Dienste!#REF!,IF(I29=Dienste!#REF!,Dienste!#REF!,IF(I29=Dienste!#REF!,Dienste!#REF!,IF(I29=Dienste!$A$33,Dienste!$C$33,IF(I29=Dienste!$A$34,Dienste!$C$34,IF(I29=Dienste!$A$35,Dienste!$C$35,IF(I29=Dienste!$A$36,Dienste!$C$36,)))))))))))))))))))))))))))))))))))</f>
        <v>8</v>
      </c>
      <c r="BD29" s="27">
        <f>IF(J29=Dienste!$A$2,Dienste!$C$2,IF(J29=Dienste!$A$3,Dienste!$C$3,IF(J29=Dienste!$A$4,Dienste!$C$4,IF(J29=Dienste!$A$5,Dienste!$C$5,IF(J29=Dienste!$A$6,Dienste!$C$6,IF(J29=Dienste!$A$7,Dienste!$C$7,IF(J29=Dienste!$A$8,Dienste!$C$8,IF(J29=Dienste!$A$9,Dienste!$C$9,IF(J29=Dienste!$A$10,Dienste!$C$10,IF(J29=Dienste!$A$11,Dienste!$C$11,IF(J29=Dienste!$A$12,Dienste!$C$12,IF(J29=Dienste!$A$13,Dienste!$C$13,IF(J29=Dienste!$A$14,Dienste!$C$14,IF(J29=Dienste!$A$15,Dienste!$C$15,IF(J29=Dienste!$A$16,Dienste!$C$16,IF(J29=Dienste!$A$17,Dienste!$C$17,IF(J29=Dienste!$A$18,Dienste!$C$18,IF(J29=Dienste!$A$19,Dienste!$C$19,IF(J29=Dienste!$A$20,Dienste!$C$20,IF(J29=Dienste!$A$21,Dienste!$C$21,IF(J29=Dienste!$A$22,Dienste!$C$22,IF(J29=Dienste!$A$23,Dienste!$C$23,IF(J29=Dienste!$A$24,Dienste!$C$24,IF(J29=Dienste!$A$25,Dienste!$C$25,IF(J29=Dienste!$A$26,Dienste!$C$26,IF(J29=Dienste!$A$27,Dienste!$C$27,IF(J29=Dienste!$A$28,Dienste!$C$28,IF(J29=Dienste!#REF!,Dienste!#REF!,IF(J29=Dienste!#REF!,Dienste!#REF!,IF(J29=Dienste!#REF!,Dienste!#REF!,IF(J29=Dienste!#REF!,Dienste!#REF!,IF(J29=Dienste!$A$33,Dienste!$C$33,IF(J29=Dienste!$A$34,Dienste!$C$34,IF(J29=Dienste!$A$35,Dienste!$C$35,IF(J29=Dienste!$A$36,Dienste!$C$36,)))))))))))))))))))))))))))))))))))</f>
        <v>9</v>
      </c>
      <c r="BE29" s="27">
        <f>IF(K29=Dienste!$A$2,Dienste!$C$2,IF(K29=Dienste!$A$3,Dienste!$C$3,IF(K29=Dienste!$A$4,Dienste!$C$4,IF(K29=Dienste!$A$5,Dienste!$C$5,IF(K29=Dienste!$A$6,Dienste!$C$6,IF(K29=Dienste!$A$7,Dienste!$C$7,IF(K29=Dienste!$A$8,Dienste!$C$8,IF(K29=Dienste!$A$9,Dienste!$C$9,IF(K29=Dienste!$A$10,Dienste!$C$10,IF(K29=Dienste!$A$11,Dienste!$C$11,IF(K29=Dienste!$A$12,Dienste!$C$12,IF(K29=Dienste!$A$13,Dienste!$C$13,IF(K29=Dienste!$A$14,Dienste!$C$14,IF(K29=Dienste!$A$15,Dienste!$C$15,IF(K29=Dienste!$A$16,Dienste!$C$16,IF(K29=Dienste!$A$17,Dienste!$C$17,IF(K29=Dienste!$A$18,Dienste!$C$18,IF(K29=Dienste!$A$19,Dienste!$C$19,IF(K29=Dienste!$A$20,Dienste!$C$20,IF(K29=Dienste!$A$21,Dienste!$C$21,IF(K29=Dienste!$A$22,Dienste!$C$22,IF(K29=Dienste!$A$23,Dienste!$C$23,IF(K29=Dienste!$A$24,Dienste!$C$24,IF(K29=Dienste!$A$25,Dienste!$C$25,IF(K29=Dienste!$A$26,Dienste!$C$26,IF(K29=Dienste!$A$27,Dienste!$C$27,IF(K29=Dienste!$A$28,Dienste!$C$28,IF(K29=Dienste!#REF!,Dienste!#REF!,IF(K29=Dienste!#REF!,Dienste!#REF!,IF(K29=Dienste!#REF!,Dienste!#REF!,IF(K29=Dienste!#REF!,Dienste!#REF!,IF(K29=Dienste!$A$33,Dienste!$C$33,IF(K29=Dienste!$A$34,Dienste!$C$34,IF(K29=Dienste!$A$35,Dienste!$C$35,IF(K29=Dienste!$A$36,Dienste!$C$36,)))))))))))))))))))))))))))))))))))</f>
        <v>0</v>
      </c>
      <c r="BF29" s="27">
        <f>IF(L29=Dienste!$A$2,Dienste!$C$2,IF(L29=Dienste!$A$3,Dienste!$C$3,IF(L29=Dienste!$A$4,Dienste!$C$4,IF(L29=Dienste!$A$5,Dienste!$C$5,IF(L29=Dienste!$A$6,Dienste!$C$6,IF(L29=Dienste!$A$7,Dienste!$C$7,IF(L29=Dienste!$A$8,Dienste!$C$8,IF(L29=Dienste!$A$9,Dienste!$C$9,IF(L29=Dienste!$A$10,Dienste!$C$10,IF(L29=Dienste!$A$11,Dienste!$C$11,IF(L29=Dienste!$A$12,Dienste!$C$12,IF(L29=Dienste!$A$13,Dienste!$C$13,IF(L29=Dienste!$A$14,Dienste!$C$14,IF(L29=Dienste!$A$15,Dienste!$C$15,IF(L29=Dienste!$A$16,Dienste!$C$16,IF(L29=Dienste!$A$17,Dienste!$C$17,IF(L29=Dienste!$A$18,Dienste!$C$18,IF(L29=Dienste!$A$19,Dienste!$C$19,IF(L29=Dienste!$A$20,Dienste!$C$20,IF(L29=Dienste!$A$21,Dienste!$C$21,IF(L29=Dienste!$A$22,Dienste!$C$22,IF(L29=Dienste!$A$23,Dienste!$C$23,IF(L29=Dienste!$A$24,Dienste!$C$24,IF(L29=Dienste!$A$25,Dienste!$C$25,IF(L29=Dienste!$A$26,Dienste!$C$26,IF(L29=Dienste!$A$27,Dienste!$C$27,IF(L29=Dienste!$A$28,Dienste!$C$28,IF(L29=Dienste!#REF!,Dienste!#REF!,IF(L29=Dienste!#REF!,Dienste!#REF!,IF(L29=Dienste!#REF!,Dienste!#REF!,IF(L29=Dienste!#REF!,Dienste!#REF!,IF(L29=Dienste!$A$33,Dienste!$C$33,IF(L29=Dienste!$A$34,Dienste!$C$34,IF(L29=Dienste!$A$35,Dienste!$C$35,IF(L29=Dienste!$A$36,Dienste!$C$36,)))))))))))))))))))))))))))))))))))</f>
        <v>0</v>
      </c>
      <c r="BG29" s="27">
        <f>IF(M29=Dienste!$A$2,Dienste!$C$2,IF(M29=Dienste!$A$3,Dienste!$C$3,IF(M29=Dienste!$A$4,Dienste!$C$4,IF(M29=Dienste!$A$5,Dienste!$C$5,IF(M29=Dienste!$A$6,Dienste!$C$6,IF(M29=Dienste!$A$7,Dienste!$C$7,IF(M29=Dienste!$A$8,Dienste!$C$8,IF(M29=Dienste!$A$9,Dienste!$C$9,IF(M29=Dienste!$A$10,Dienste!$C$10,IF(M29=Dienste!$A$11,Dienste!$C$11,IF(M29=Dienste!$A$12,Dienste!$C$12,IF(M29=Dienste!$A$13,Dienste!$C$13,IF(M29=Dienste!$A$14,Dienste!$C$14,IF(M29=Dienste!$A$15,Dienste!$C$15,IF(M29=Dienste!$A$16,Dienste!$C$16,IF(M29=Dienste!$A$17,Dienste!$C$17,IF(M29=Dienste!$A$18,Dienste!$C$18,IF(M29=Dienste!$A$19,Dienste!$C$19,IF(M29=Dienste!$A$20,Dienste!$C$20,IF(M29=Dienste!$A$21,Dienste!$C$21,IF(M29=Dienste!$A$22,Dienste!$C$22,IF(M29=Dienste!$A$23,Dienste!$C$23,IF(M29=Dienste!$A$24,Dienste!$C$24,IF(M29=Dienste!$A$25,Dienste!$C$25,IF(M29=Dienste!$A$26,Dienste!$C$26,IF(M29=Dienste!$A$27,Dienste!$C$27,IF(M29=Dienste!$A$28,Dienste!$C$28,IF(M29=Dienste!#REF!,Dienste!#REF!,IF(M29=Dienste!#REF!,Dienste!#REF!,IF(M29=Dienste!#REF!,Dienste!#REF!,IF(M29=Dienste!#REF!,Dienste!#REF!,IF(M29=Dienste!$A$33,Dienste!$C$33,IF(M29=Dienste!$A$34,Dienste!$C$34,IF(M29=Dienste!$A$35,Dienste!$C$35,IF(M29=Dienste!$A$36,Dienste!$C$36,)))))))))))))))))))))))))))))))))))</f>
        <v>8</v>
      </c>
      <c r="BH29" s="27">
        <f>IF(N29=Dienste!$A$2,Dienste!$C$2,IF(N29=Dienste!$A$3,Dienste!$C$3,IF(N29=Dienste!$A$4,Dienste!$C$4,IF(N29=Dienste!$A$5,Dienste!$C$5,IF(N29=Dienste!$A$6,Dienste!$C$6,IF(N29=Dienste!$A$7,Dienste!$C$7,IF(N29=Dienste!$A$8,Dienste!$C$8,IF(N29=Dienste!$A$9,Dienste!$C$9,IF(N29=Dienste!$A$10,Dienste!$C$10,IF(N29=Dienste!$A$11,Dienste!$C$11,IF(N29=Dienste!$A$12,Dienste!$C$12,IF(N29=Dienste!$A$13,Dienste!$C$13,IF(N29=Dienste!$A$14,Dienste!$C$14,IF(N29=Dienste!$A$15,Dienste!$C$15,IF(N29=Dienste!$A$16,Dienste!$C$16,IF(N29=Dienste!$A$17,Dienste!$C$17,IF(N29=Dienste!$A$18,Dienste!$C$18,IF(N29=Dienste!$A$19,Dienste!$C$19,IF(N29=Dienste!$A$20,Dienste!$C$20,IF(N29=Dienste!$A$21,Dienste!$C$21,IF(N29=Dienste!$A$22,Dienste!$C$22,IF(N29=Dienste!$A$23,Dienste!$C$23,IF(N29=Dienste!$A$24,Dienste!$C$24,IF(N29=Dienste!$A$25,Dienste!$C$25,IF(N29=Dienste!$A$26,Dienste!$C$26,IF(N29=Dienste!$A$27,Dienste!$C$27,IF(N29=Dienste!$A$28,Dienste!$C$28,IF(N29=Dienste!#REF!,Dienste!#REF!,IF(N29=Dienste!#REF!,Dienste!#REF!,IF(N29=Dienste!#REF!,Dienste!#REF!,IF(N29=Dienste!#REF!,Dienste!#REF!,IF(N29=Dienste!$A$33,Dienste!$C$33,IF(N29=Dienste!$A$34,Dienste!$C$34,IF(N29=Dienste!$A$35,Dienste!$C$35,IF(N29=Dienste!$A$36,Dienste!$C$36,)))))))))))))))))))))))))))))))))))</f>
        <v>8</v>
      </c>
      <c r="BI29" s="27">
        <f>IF(O29=Dienste!$A$2,Dienste!$C$2,IF(O29=Dienste!$A$3,Dienste!$C$3,IF(O29=Dienste!$A$4,Dienste!$C$4,IF(O29=Dienste!$A$5,Dienste!$C$5,IF(O29=Dienste!$A$6,Dienste!$C$6,IF(O29=Dienste!$A$7,Dienste!$C$7,IF(O29=Dienste!$A$8,Dienste!$C$8,IF(O29=Dienste!$A$9,Dienste!$C$9,IF(O29=Dienste!$A$10,Dienste!$C$10,IF(O29=Dienste!$A$11,Dienste!$C$11,IF(O29=Dienste!$A$12,Dienste!$C$12,IF(O29=Dienste!$A$13,Dienste!$C$13,IF(O29=Dienste!$A$14,Dienste!$C$14,IF(O29=Dienste!$A$15,Dienste!$C$15,IF(O29=Dienste!$A$16,Dienste!$C$16,IF(O29=Dienste!$A$17,Dienste!$C$17,IF(O29=Dienste!$A$18,Dienste!$C$18,IF(O29=Dienste!$A$19,Dienste!$C$19,IF(O29=Dienste!$A$20,Dienste!$C$20,IF(O29=Dienste!$A$21,Dienste!$C$21,IF(O29=Dienste!$A$22,Dienste!$C$22,IF(O29=Dienste!$A$23,Dienste!$C$23,IF(O29=Dienste!$A$24,Dienste!$C$24,IF(O29=Dienste!$A$25,Dienste!$C$25,IF(O29=Dienste!$A$26,Dienste!$C$26,IF(O29=Dienste!$A$27,Dienste!$C$27,IF(O29=Dienste!$A$28,Dienste!$C$28,IF(O29=Dienste!#REF!,Dienste!#REF!,IF(O29=Dienste!#REF!,Dienste!#REF!,IF(O29=Dienste!#REF!,Dienste!#REF!,IF(O29=Dienste!#REF!,Dienste!#REF!,IF(O29=Dienste!$A$33,Dienste!$C$33,IF(O29=Dienste!$A$34,Dienste!$C$34,IF(O29=Dienste!$A$35,Dienste!$C$35,IF(O29=Dienste!$A$36,Dienste!$C$36,)))))))))))))))))))))))))))))))))))</f>
        <v>0</v>
      </c>
      <c r="BJ29" s="27">
        <f>IF(P29=Dienste!$A$2,Dienste!$C$2,IF(P29=Dienste!$A$3,Dienste!$C$3,IF(P29=Dienste!$A$4,Dienste!$C$4,IF(P29=Dienste!$A$5,Dienste!$C$5,IF(P29=Dienste!$A$6,Dienste!$C$6,IF(P29=Dienste!$A$7,Dienste!$C$7,IF(P29=Dienste!$A$8,Dienste!$C$8,IF(P29=Dienste!$A$9,Dienste!$C$9,IF(P29=Dienste!$A$10,Dienste!$C$10,IF(P29=Dienste!$A$11,Dienste!$C$11,IF(P29=Dienste!$A$12,Dienste!$C$12,IF(P29=Dienste!$A$13,Dienste!$C$13,IF(P29=Dienste!$A$14,Dienste!$C$14,IF(P29=Dienste!$A$15,Dienste!$C$15,IF(P29=Dienste!$A$16,Dienste!$C$16,IF(P29=Dienste!$A$17,Dienste!$C$17,IF(P29=Dienste!$A$18,Dienste!$C$18,IF(P29=Dienste!$A$19,Dienste!$C$19,IF(P29=Dienste!$A$20,Dienste!$C$20,IF(P29=Dienste!$A$21,Dienste!$C$21,IF(P29=Dienste!$A$22,Dienste!$C$22,IF(P29=Dienste!$A$23,Dienste!$C$23,IF(P29=Dienste!$A$24,Dienste!$C$24,IF(P29=Dienste!$A$25,Dienste!$C$25,IF(P29=Dienste!$A$26,Dienste!$C$26,IF(P29=Dienste!$A$27,Dienste!$C$27,IF(P29=Dienste!$A$28,Dienste!$C$28,IF(P29=Dienste!#REF!,Dienste!#REF!,IF(P29=Dienste!#REF!,Dienste!#REF!,IF(P29=Dienste!#REF!,Dienste!#REF!,IF(P29=Dienste!#REF!,Dienste!#REF!,IF(P29=Dienste!$A$33,Dienste!$C$33,IF(P29=Dienste!$A$34,Dienste!$C$34,IF(P29=Dienste!$A$35,Dienste!$C$35,IF(P29=Dienste!$A$36,Dienste!$C$36,)))))))))))))))))))))))))))))))))))</f>
        <v>8</v>
      </c>
      <c r="BK29" s="27">
        <f>IF(Q29=Dienste!$A$2,Dienste!$C$2,IF(Q29=Dienste!$A$3,Dienste!$C$3,IF(Q29=Dienste!$A$4,Dienste!$C$4,IF(Q29=Dienste!$A$5,Dienste!$C$5,IF(Q29=Dienste!$A$6,Dienste!$C$6,IF(Q29=Dienste!$A$7,Dienste!$C$7,IF(Q29=Dienste!$A$8,Dienste!$C$8,IF(Q29=Dienste!$A$9,Dienste!$C$9,IF(Q29=Dienste!$A$10,Dienste!$C$10,IF(Q29=Dienste!$A$11,Dienste!$C$11,IF(Q29=Dienste!$A$12,Dienste!$C$12,IF(Q29=Dienste!$A$13,Dienste!$C$13,IF(Q29=Dienste!$A$14,Dienste!$C$14,IF(Q29=Dienste!$A$15,Dienste!$C$15,IF(Q29=Dienste!$A$16,Dienste!$C$16,IF(Q29=Dienste!$A$17,Dienste!$C$17,IF(Q29=Dienste!$A$18,Dienste!$C$18,IF(Q29=Dienste!$A$19,Dienste!$C$19,IF(Q29=Dienste!$A$20,Dienste!$C$20,IF(Q29=Dienste!$A$21,Dienste!$C$21,IF(Q29=Dienste!$A$22,Dienste!$C$22,IF(Q29=Dienste!$A$23,Dienste!$C$23,IF(Q29=Dienste!$A$24,Dienste!$C$24,IF(Q29=Dienste!$A$25,Dienste!$C$25,IF(Q29=Dienste!$A$26,Dienste!$C$26,IF(Q29=Dienste!$A$27,Dienste!$C$27,IF(Q29=Dienste!$A$28,Dienste!$C$28,IF(Q29=Dienste!#REF!,Dienste!#REF!,IF(Q29=Dienste!#REF!,Dienste!#REF!,IF(Q29=Dienste!#REF!,Dienste!#REF!,IF(Q29=Dienste!#REF!,Dienste!#REF!,IF(Q29=Dienste!$A$33,Dienste!$C$33,IF(Q29=Dienste!$A$34,Dienste!$C$34,IF(Q29=Dienste!$A$35,Dienste!$C$35,IF(Q29=Dienste!$A$36,Dienste!$C$36,)))))))))))))))))))))))))))))))))))</f>
        <v>8</v>
      </c>
      <c r="BL29" s="27">
        <f>IF(R29=Dienste!$A$2,Dienste!$C$2,IF(R29=Dienste!$A$3,Dienste!$C$3,IF(R29=Dienste!$A$4,Dienste!$C$4,IF(R29=Dienste!$A$5,Dienste!$C$5,IF(R29=Dienste!$A$6,Dienste!$C$6,IF(R29=Dienste!$A$7,Dienste!$C$7,IF(R29=Dienste!$A$8,Dienste!$C$8,IF(R29=Dienste!$A$9,Dienste!$C$9,IF(R29=Dienste!$A$10,Dienste!$C$10,IF(R29=Dienste!$A$11,Dienste!$C$11,IF(R29=Dienste!$A$12,Dienste!$C$12,IF(R29=Dienste!$A$13,Dienste!$C$13,IF(R29=Dienste!$A$14,Dienste!$C$14,IF(R29=Dienste!$A$15,Dienste!$C$15,IF(R29=Dienste!$A$16,Dienste!$C$16,IF(R29=Dienste!$A$17,Dienste!$C$17,IF(R29=Dienste!$A$18,Dienste!$C$18,IF(R29=Dienste!$A$19,Dienste!$C$19,IF(R29=Dienste!$A$20,Dienste!$C$20,IF(R29=Dienste!$A$21,Dienste!$C$21,IF(R29=Dienste!$A$22,Dienste!$C$22,IF(R29=Dienste!$A$23,Dienste!$C$23,IF(R29=Dienste!$A$24,Dienste!$C$24,IF(R29=Dienste!$A$25,Dienste!$C$25,IF(R29=Dienste!$A$26,Dienste!$C$26,IF(R29=Dienste!$A$27,Dienste!$C$27,IF(R29=Dienste!$A$28,Dienste!$C$28,IF(R29=Dienste!#REF!,Dienste!#REF!,IF(R29=Dienste!#REF!,Dienste!#REF!,IF(R29=Dienste!#REF!,Dienste!#REF!,IF(R29=Dienste!#REF!,Dienste!#REF!,IF(R29=Dienste!$A$33,Dienste!$C$33,IF(R29=Dienste!$A$34,Dienste!$C$34,IF(R29=Dienste!$A$35,Dienste!$C$35,IF(R29=Dienste!$A$36,Dienste!$C$36,)))))))))))))))))))))))))))))))))))</f>
        <v>0</v>
      </c>
      <c r="BM29" s="27">
        <f>IF(S29=Dienste!$A$2,Dienste!$C$2,IF(S29=Dienste!$A$3,Dienste!$C$3,IF(S29=Dienste!$A$4,Dienste!$C$4,IF(S29=Dienste!$A$5,Dienste!$C$5,IF(S29=Dienste!$A$6,Dienste!$C$6,IF(S29=Dienste!$A$7,Dienste!$C$7,IF(S29=Dienste!$A$8,Dienste!$C$8,IF(S29=Dienste!$A$9,Dienste!$C$9,IF(S29=Dienste!$A$10,Dienste!$C$10,IF(S29=Dienste!$A$11,Dienste!$C$11,IF(S29=Dienste!$A$12,Dienste!$C$12,IF(S29=Dienste!$A$13,Dienste!$C$13,IF(S29=Dienste!$A$14,Dienste!$C$14,IF(S29=Dienste!$A$15,Dienste!$C$15,IF(S29=Dienste!$A$16,Dienste!$C$16,IF(S29=Dienste!$A$17,Dienste!$C$17,IF(S29=Dienste!$A$18,Dienste!$C$18,IF(S29=Dienste!$A$19,Dienste!$C$19,IF(S29=Dienste!$A$20,Dienste!$C$20,IF(S29=Dienste!$A$21,Dienste!$C$21,IF(S29=Dienste!$A$22,Dienste!$C$22,IF(S29=Dienste!$A$23,Dienste!$C$23,IF(S29=Dienste!$A$24,Dienste!$C$24,IF(S29=Dienste!$A$25,Dienste!$C$25,IF(S29=Dienste!$A$26,Dienste!$C$26,IF(S29=Dienste!$A$27,Dienste!$C$27,IF(S29=Dienste!$A$28,Dienste!$C$28,IF(S29=Dienste!#REF!,Dienste!#REF!,IF(S29=Dienste!#REF!,Dienste!#REF!,IF(S29=Dienste!#REF!,Dienste!#REF!,IF(S29=Dienste!#REF!,Dienste!#REF!,IF(S29=Dienste!$A$33,Dienste!$C$33,IF(S29=Dienste!$A$34,Dienste!$C$34,IF(S29=Dienste!$A$35,Dienste!$C$35,IF(S29=Dienste!$A$36,Dienste!$C$36,)))))))))))))))))))))))))))))))))))</f>
        <v>0</v>
      </c>
      <c r="BN29" s="27">
        <f>IF(T29=Dienste!$A$2,Dienste!$C$2,IF(T29=Dienste!$A$3,Dienste!$C$3,IF(T29=Dienste!$A$4,Dienste!$C$4,IF(T29=Dienste!$A$5,Dienste!$C$5,IF(T29=Dienste!$A$6,Dienste!$C$6,IF(T29=Dienste!$A$7,Dienste!$C$7,IF(T29=Dienste!$A$8,Dienste!$C$8,IF(T29=Dienste!$A$9,Dienste!$C$9,IF(T29=Dienste!$A$10,Dienste!$C$10,IF(T29=Dienste!$A$11,Dienste!$C$11,IF(T29=Dienste!$A$12,Dienste!$C$12,IF(T29=Dienste!$A$13,Dienste!$C$13,IF(T29=Dienste!$A$14,Dienste!$C$14,IF(T29=Dienste!$A$15,Dienste!$C$15,IF(T29=Dienste!$A$16,Dienste!$C$16,IF(T29=Dienste!$A$17,Dienste!$C$17,IF(T29=Dienste!$A$18,Dienste!$C$18,IF(T29=Dienste!$A$19,Dienste!$C$19,IF(T29=Dienste!$A$20,Dienste!$C$20,IF(T29=Dienste!$A$21,Dienste!$C$21,IF(T29=Dienste!$A$22,Dienste!$C$22,IF(T29=Dienste!$A$23,Dienste!$C$23,IF(T29=Dienste!$A$24,Dienste!$C$24,IF(T29=Dienste!$A$25,Dienste!$C$25,IF(T29=Dienste!$A$26,Dienste!$C$26,IF(T29=Dienste!$A$27,Dienste!$C$27,IF(T29=Dienste!$A$28,Dienste!$C$28,IF(T29=Dienste!#REF!,Dienste!#REF!,IF(T29=Dienste!#REF!,Dienste!#REF!,IF(T29=Dienste!#REF!,Dienste!#REF!,IF(T29=Dienste!#REF!,Dienste!#REF!,IF(T29=Dienste!$A$33,Dienste!$C$33,IF(T29=Dienste!$A$34,Dienste!$C$34,IF(T29=Dienste!$A$35,Dienste!$C$35,IF(T29=Dienste!$A$36,Dienste!$C$36,)))))))))))))))))))))))))))))))))))</f>
        <v>8</v>
      </c>
      <c r="BO29" s="27">
        <f>IF(U29=Dienste!$A$2,Dienste!$C$2,IF(U29=Dienste!$A$3,Dienste!$C$3,IF(U29=Dienste!$A$4,Dienste!$C$4,IF(U29=Dienste!$A$5,Dienste!$C$5,IF(U29=Dienste!$A$6,Dienste!$C$6,IF(U29=Dienste!$A$7,Dienste!$C$7,IF(U29=Dienste!$A$8,Dienste!$C$8,IF(U29=Dienste!$A$9,Dienste!$C$9,IF(U29=Dienste!$A$10,Dienste!$C$10,IF(U29=Dienste!$A$11,Dienste!$C$11,IF(U29=Dienste!$A$12,Dienste!$C$12,IF(U29=Dienste!$A$13,Dienste!$C$13,IF(U29=Dienste!$A$14,Dienste!$C$14,IF(U29=Dienste!$A$15,Dienste!$C$15,IF(U29=Dienste!$A$16,Dienste!$C$16,IF(U29=Dienste!$A$17,Dienste!$C$17,IF(U29=Dienste!$A$18,Dienste!$C$18,IF(U29=Dienste!$A$19,Dienste!$C$19,IF(U29=Dienste!$A$20,Dienste!$C$20,IF(U29=Dienste!$A$21,Dienste!$C$21,IF(U29=Dienste!$A$22,Dienste!$C$22,IF(U29=Dienste!$A$23,Dienste!$C$23,IF(U29=Dienste!$A$24,Dienste!$C$24,IF(U29=Dienste!$A$25,Dienste!$C$25,IF(U29=Dienste!$A$26,Dienste!$C$26,IF(U29=Dienste!$A$27,Dienste!$C$27,IF(U29=Dienste!$A$28,Dienste!$C$28,IF(U29=Dienste!#REF!,Dienste!#REF!,IF(U29=Dienste!#REF!,Dienste!#REF!,IF(U29=Dienste!#REF!,Dienste!#REF!,IF(U29=Dienste!#REF!,Dienste!#REF!,IF(U29=Dienste!$A$33,Dienste!$C$33,IF(U29=Dienste!$A$34,Dienste!$C$34,IF(U29=Dienste!$A$35,Dienste!$C$35,IF(U29=Dienste!$A$36,Dienste!$C$36,)))))))))))))))))))))))))))))))))))</f>
        <v>0</v>
      </c>
      <c r="BP29" s="27">
        <f>IF(V29=Dienste!$A$2,Dienste!$C$2,IF(V29=Dienste!$A$3,Dienste!$C$3,IF(V29=Dienste!$A$4,Dienste!$C$4,IF(V29=Dienste!$A$5,Dienste!$C$5,IF(V29=Dienste!$A$6,Dienste!$C$6,IF(V29=Dienste!$A$7,Dienste!$C$7,IF(V29=Dienste!$A$8,Dienste!$C$8,IF(V29=Dienste!$A$9,Dienste!$C$9,IF(V29=Dienste!$A$10,Dienste!$C$10,IF(V29=Dienste!$A$11,Dienste!$C$11,IF(V29=Dienste!$A$12,Dienste!$C$12,IF(V29=Dienste!$A$13,Dienste!$C$13,IF(V29=Dienste!$A$14,Dienste!$C$14,IF(V29=Dienste!$A$15,Dienste!$C$15,IF(V29=Dienste!$A$16,Dienste!$C$16,IF(V29=Dienste!$A$17,Dienste!$C$17,IF(V29=Dienste!$A$18,Dienste!$C$18,IF(V29=Dienste!$A$19,Dienste!$C$19,IF(V29=Dienste!$A$20,Dienste!$C$20,IF(V29=Dienste!$A$21,Dienste!$C$21,IF(V29=Dienste!$A$22,Dienste!$C$22,IF(V29=Dienste!$A$23,Dienste!$C$23,IF(V29=Dienste!$A$24,Dienste!$C$24,IF(V29=Dienste!$A$25,Dienste!$C$25,IF(V29=Dienste!$A$26,Dienste!$C$26,IF(V29=Dienste!$A$27,Dienste!$C$27,IF(V29=Dienste!$A$28,Dienste!$C$28,IF(V29=Dienste!#REF!,Dienste!#REF!,IF(V29=Dienste!#REF!,Dienste!#REF!,IF(V29=Dienste!#REF!,Dienste!#REF!,IF(V29=Dienste!#REF!,Dienste!#REF!,IF(V29=Dienste!$A$33,Dienste!$C$33,IF(V29=Dienste!$A$34,Dienste!$C$34,IF(V29=Dienste!$A$35,Dienste!$C$35,IF(V29=Dienste!$A$36,Dienste!$C$36,)))))))))))))))))))))))))))))))))))</f>
        <v>0</v>
      </c>
      <c r="BQ29" s="27">
        <f>IF(W29=Dienste!$A$2,Dienste!$C$2,IF(W29=Dienste!$A$3,Dienste!$C$3,IF(W29=Dienste!$A$4,Dienste!$C$4,IF(W29=Dienste!$A$5,Dienste!$C$5,IF(W29=Dienste!$A$6,Dienste!$C$6,IF(W29=Dienste!$A$7,Dienste!$C$7,IF(W29=Dienste!$A$8,Dienste!$C$8,IF(W29=Dienste!$A$9,Dienste!$C$9,IF(W29=Dienste!$A$10,Dienste!$C$10,IF(W29=Dienste!$A$11,Dienste!$C$11,IF(W29=Dienste!$A$12,Dienste!$C$12,IF(W29=Dienste!$A$13,Dienste!$C$13,IF(W29=Dienste!$A$14,Dienste!$C$14,IF(W29=Dienste!$A$15,Dienste!$C$15,IF(W29=Dienste!$A$16,Dienste!$C$16,IF(W29=Dienste!$A$17,Dienste!$C$17,IF(W29=Dienste!$A$18,Dienste!$C$18,IF(W29=Dienste!$A$19,Dienste!$C$19,IF(W29=Dienste!$A$20,Dienste!$C$20,IF(W29=Dienste!$A$21,Dienste!$C$21,IF(W29=Dienste!$A$22,Dienste!$C$22,IF(W29=Dienste!$A$23,Dienste!$C$23,IF(W29=Dienste!$A$24,Dienste!$C$24,IF(W29=Dienste!$A$25,Dienste!$C$25,IF(W29=Dienste!$A$26,Dienste!$C$26,IF(W29=Dienste!$A$27,Dienste!$C$27,IF(W29=Dienste!$A$28,Dienste!$C$28,IF(W29=Dienste!#REF!,Dienste!#REF!,IF(W29=Dienste!#REF!,Dienste!#REF!,IF(W29=Dienste!#REF!,Dienste!#REF!,IF(W29=Dienste!#REF!,Dienste!#REF!,IF(W29=Dienste!$A$33,Dienste!$C$33,IF(W29=Dienste!$A$34,Dienste!$C$34,IF(W29=Dienste!$A$35,Dienste!$C$35,IF(W29=Dienste!$A$36,Dienste!$C$36,)))))))))))))))))))))))))))))))))))</f>
        <v>8</v>
      </c>
      <c r="BR29" s="27">
        <f>IF(X29=Dienste!$A$2,Dienste!$C$2,IF(X29=Dienste!$A$3,Dienste!$C$3,IF(X29=Dienste!$A$4,Dienste!$C$4,IF(X29=Dienste!$A$5,Dienste!$C$5,IF(X29=Dienste!$A$6,Dienste!$C$6,IF(X29=Dienste!$A$7,Dienste!$C$7,IF(X29=Dienste!$A$8,Dienste!$C$8,IF(X29=Dienste!$A$9,Dienste!$C$9,IF(X29=Dienste!$A$10,Dienste!$C$10,IF(X29=Dienste!$A$11,Dienste!$C$11,IF(X29=Dienste!$A$12,Dienste!$C$12,IF(X29=Dienste!$A$13,Dienste!$C$13,IF(X29=Dienste!$A$14,Dienste!$C$14,IF(X29=Dienste!$A$15,Dienste!$C$15,IF(X29=Dienste!$A$16,Dienste!$C$16,IF(X29=Dienste!$A$17,Dienste!$C$17,IF(X29=Dienste!$A$18,Dienste!$C$18,IF(X29=Dienste!$A$19,Dienste!$C$19,IF(X29=Dienste!$A$20,Dienste!$C$20,IF(X29=Dienste!$A$21,Dienste!$C$21,IF(X29=Dienste!$A$22,Dienste!$C$22,IF(X29=Dienste!$A$23,Dienste!$C$23,IF(X29=Dienste!$A$24,Dienste!$C$24,IF(X29=Dienste!$A$25,Dienste!$C$25,IF(X29=Dienste!$A$26,Dienste!$C$26,IF(X29=Dienste!$A$27,Dienste!$C$27,IF(X29=Dienste!$A$28,Dienste!$C$28,IF(X29=Dienste!#REF!,Dienste!#REF!,IF(X29=Dienste!#REF!,Dienste!#REF!,IF(X29=Dienste!#REF!,Dienste!#REF!,IF(X29=Dienste!#REF!,Dienste!#REF!,IF(X29=Dienste!$A$33,Dienste!$C$33,IF(X29=Dienste!$A$34,Dienste!$C$34,IF(X29=Dienste!$A$35,Dienste!$C$35,IF(X29=Dienste!$A$36,Dienste!$C$36,)))))))))))))))))))))))))))))))))))</f>
        <v>8</v>
      </c>
      <c r="BS29" s="27">
        <f>IF(Y29=Dienste!$A$2,Dienste!$C$2,IF(Y29=Dienste!$A$3,Dienste!$C$3,IF(Y29=Dienste!$A$4,Dienste!$C$4,IF(Y29=Dienste!$A$5,Dienste!$C$5,IF(Y29=Dienste!$A$6,Dienste!$C$6,IF(Y29=Dienste!$A$7,Dienste!$C$7,IF(Y29=Dienste!$A$8,Dienste!$C$8,IF(Y29=Dienste!$A$9,Dienste!$C$9,IF(Y29=Dienste!$A$10,Dienste!$C$10,IF(Y29=Dienste!$A$11,Dienste!$C$11,IF(Y29=Dienste!$A$12,Dienste!$C$12,IF(Y29=Dienste!$A$13,Dienste!$C$13,IF(Y29=Dienste!$A$14,Dienste!$C$14,IF(Y29=Dienste!$A$15,Dienste!$C$15,IF(Y29=Dienste!$A$16,Dienste!$C$16,IF(Y29=Dienste!$A$17,Dienste!$C$17,IF(Y29=Dienste!$A$18,Dienste!$C$18,IF(Y29=Dienste!$A$19,Dienste!$C$19,IF(Y29=Dienste!$A$20,Dienste!$C$20,IF(Y29=Dienste!$A$21,Dienste!$C$21,IF(Y29=Dienste!$A$22,Dienste!$C$22,IF(Y29=Dienste!$A$23,Dienste!$C$23,IF(Y29=Dienste!$A$24,Dienste!$C$24,IF(Y29=Dienste!$A$25,Dienste!$C$25,IF(Y29=Dienste!$A$26,Dienste!$C$26,IF(Y29=Dienste!$A$27,Dienste!$C$27,IF(Y29=Dienste!$A$28,Dienste!$C$28,IF(Y29=Dienste!#REF!,Dienste!#REF!,IF(Y29=Dienste!#REF!,Dienste!#REF!,IF(Y29=Dienste!#REF!,Dienste!#REF!,IF(Y29=Dienste!#REF!,Dienste!#REF!,IF(Y29=Dienste!$A$33,Dienste!$C$33,IF(Y29=Dienste!$A$34,Dienste!$C$34,IF(Y29=Dienste!$A$35,Dienste!$C$35,IF(Y29=Dienste!$A$36,Dienste!$C$36,)))))))))))))))))))))))))))))))))))</f>
        <v>9</v>
      </c>
      <c r="BT29" s="27">
        <f>IF(Z29=Dienste!$A$2,Dienste!$C$2,IF(Z29=Dienste!$A$3,Dienste!$C$3,IF(Z29=Dienste!$A$4,Dienste!$C$4,IF(Z29=Dienste!$A$5,Dienste!$C$5,IF(Z29=Dienste!$A$6,Dienste!$C$6,IF(Z29=Dienste!$A$7,Dienste!$C$7,IF(Z29=Dienste!$A$8,Dienste!$C$8,IF(Z29=Dienste!$A$9,Dienste!$C$9,IF(Z29=Dienste!$A$10,Dienste!$C$10,IF(Z29=Dienste!$A$11,Dienste!$C$11,IF(Z29=Dienste!$A$12,Dienste!$C$12,IF(Z29=Dienste!$A$13,Dienste!$C$13,IF(Z29=Dienste!$A$14,Dienste!$C$14,IF(Z29=Dienste!$A$15,Dienste!$C$15,IF(Z29=Dienste!$A$16,Dienste!$C$16,IF(Z29=Dienste!$A$17,Dienste!$C$17,IF(Z29=Dienste!$A$18,Dienste!$C$18,IF(Z29=Dienste!$A$19,Dienste!$C$19,IF(Z29=Dienste!$A$20,Dienste!$C$20,IF(Z29=Dienste!$A$21,Dienste!$C$21,IF(Z29=Dienste!$A$22,Dienste!$C$22,IF(Z29=Dienste!$A$23,Dienste!$C$23,IF(Z29=Dienste!$A$24,Dienste!$C$24,IF(Z29=Dienste!$A$25,Dienste!$C$25,IF(Z29=Dienste!$A$26,Dienste!$C$26,IF(Z29=Dienste!$A$27,Dienste!$C$27,IF(Z29=Dienste!$A$28,Dienste!$C$28,IF(Z29=Dienste!#REF!,Dienste!#REF!,IF(Z29=Dienste!#REF!,Dienste!#REF!,IF(Z29=Dienste!#REF!,Dienste!#REF!,IF(Z29=Dienste!#REF!,Dienste!#REF!,IF(Z29=Dienste!$A$33,Dienste!$C$33,IF(Z29=Dienste!$A$34,Dienste!$C$34,IF(Z29=Dienste!$A$35,Dienste!$C$35,IF(Z29=Dienste!$A$36,Dienste!$C$36,)))))))))))))))))))))))))))))))))))</f>
        <v>0</v>
      </c>
      <c r="BU29" s="27">
        <f>IF(AA29=Dienste!$A$2,Dienste!$C$2,IF(AA29=Dienste!$A$3,Dienste!$C$3,IF(AA29=Dienste!$A$4,Dienste!$C$4,IF(AA29=Dienste!$A$5,Dienste!$C$5,IF(AA29=Dienste!$A$6,Dienste!$C$6,IF(AA29=Dienste!$A$7,Dienste!$C$7,IF(AA29=Dienste!$A$8,Dienste!$C$8,IF(AA29=Dienste!$A$9,Dienste!$C$9,IF(AA29=Dienste!$A$10,Dienste!$C$10,IF(AA29=Dienste!$A$11,Dienste!$C$11,IF(AA29=Dienste!$A$12,Dienste!$C$12,IF(AA29=Dienste!$A$13,Dienste!$C$13,IF(AA29=Dienste!$A$14,Dienste!$C$14,IF(AA29=Dienste!$A$15,Dienste!$C$15,IF(AA29=Dienste!$A$16,Dienste!$C$16,IF(AA29=Dienste!$A$17,Dienste!$C$17,IF(AA29=Dienste!$A$18,Dienste!$C$18,IF(AA29=Dienste!$A$19,Dienste!$C$19,IF(AA29=Dienste!$A$20,Dienste!$C$20,IF(AA29=Dienste!$A$21,Dienste!$C$21,IF(AA29=Dienste!$A$22,Dienste!$C$22,IF(AA29=Dienste!$A$23,Dienste!$C$23,IF(AA29=Dienste!$A$24,Dienste!$C$24,IF(AA29=Dienste!$A$25,Dienste!$C$25,IF(AA29=Dienste!$A$26,Dienste!$C$26,IF(AA29=Dienste!$A$27,Dienste!$C$27,IF(AA29=Dienste!$A$28,Dienste!$C$28,IF(AA29=Dienste!#REF!,Dienste!#REF!,IF(AA29=Dienste!#REF!,Dienste!#REF!,IF(AA29=Dienste!#REF!,Dienste!#REF!,IF(AA29=Dienste!#REF!,Dienste!#REF!,IF(AA29=Dienste!$A$33,Dienste!$C$33,IF(AA29=Dienste!$A$34,Dienste!$C$34,IF(AA29=Dienste!$A$35,Dienste!$C$35,IF(AA29=Dienste!$A$36,Dienste!$C$36,)))))))))))))))))))))))))))))))))))</f>
        <v>0</v>
      </c>
      <c r="BV29" s="27">
        <f>IF(AB29=Dienste!$A$2,Dienste!$C$2,IF(AB29=Dienste!$A$3,Dienste!$C$3,IF(AB29=Dienste!$A$4,Dienste!$C$4,IF(AB29=Dienste!$A$5,Dienste!$C$5,IF(AB29=Dienste!$A$6,Dienste!$C$6,IF(AB29=Dienste!$A$7,Dienste!$C$7,IF(AB29=Dienste!$A$8,Dienste!$C$8,IF(AB29=Dienste!$A$9,Dienste!$C$9,IF(AB29=Dienste!$A$10,Dienste!$C$10,IF(AB29=Dienste!$A$11,Dienste!$C$11,IF(AB29=Dienste!$A$12,Dienste!$C$12,IF(AB29=Dienste!$A$13,Dienste!$C$13,IF(AB29=Dienste!$A$14,Dienste!$C$14,IF(AB29=Dienste!$A$15,Dienste!$C$15,IF(AB29=Dienste!$A$16,Dienste!$C$16,IF(AB29=Dienste!$A$17,Dienste!$C$17,IF(AB29=Dienste!$A$18,Dienste!$C$18,IF(AB29=Dienste!$A$19,Dienste!$C$19,IF(AB29=Dienste!$A$20,Dienste!$C$20,IF(AB29=Dienste!$A$21,Dienste!$C$21,IF(AB29=Dienste!$A$22,Dienste!$C$22,IF(AB29=Dienste!$A$23,Dienste!$C$23,IF(AB29=Dienste!$A$24,Dienste!$C$24,IF(AB29=Dienste!$A$25,Dienste!$C$25,IF(AB29=Dienste!$A$26,Dienste!$C$26,IF(AB29=Dienste!$A$27,Dienste!$C$27,IF(AB29=Dienste!$A$28,Dienste!$C$28,IF(AB29=Dienste!#REF!,Dienste!#REF!,IF(AB29=Dienste!#REF!,Dienste!#REF!,IF(AB29=Dienste!#REF!,Dienste!#REF!,IF(AB29=Dienste!#REF!,Dienste!#REF!,IF(AB29=Dienste!$A$33,Dienste!$C$33,IF(AB29=Dienste!$A$34,Dienste!$C$34,IF(AB29=Dienste!$A$35,Dienste!$C$35,IF(AB29=Dienste!$A$36,Dienste!$C$36,)))))))))))))))))))))))))))))))))))</f>
        <v>8</v>
      </c>
      <c r="BW29" s="27">
        <f>IF(AC29=Dienste!$A$2,Dienste!$C$2,IF(AC29=Dienste!$A$3,Dienste!$C$3,IF(AC29=Dienste!$A$4,Dienste!$C$4,IF(AC29=Dienste!$A$5,Dienste!$C$5,IF(AC29=Dienste!$A$6,Dienste!$C$6,IF(AC29=Dienste!$A$7,Dienste!$C$7,IF(AC29=Dienste!$A$8,Dienste!$C$8,IF(AC29=Dienste!$A$9,Dienste!$C$9,IF(AC29=Dienste!$A$10,Dienste!$C$10,IF(AC29=Dienste!$A$11,Dienste!$C$11,IF(AC29=Dienste!$A$12,Dienste!$C$12,IF(AC29=Dienste!$A$13,Dienste!$C$13,IF(AC29=Dienste!$A$14,Dienste!$C$14,IF(AC29=Dienste!$A$15,Dienste!$C$15,IF(AC29=Dienste!$A$16,Dienste!$C$16,IF(AC29=Dienste!$A$17,Dienste!$C$17,IF(AC29=Dienste!$A$18,Dienste!$C$18,IF(AC29=Dienste!$A$19,Dienste!$C$19,IF(AC29=Dienste!$A$20,Dienste!$C$20,IF(AC29=Dienste!$A$21,Dienste!$C$21,IF(AC29=Dienste!$A$22,Dienste!$C$22,IF(AC29=Dienste!$A$23,Dienste!$C$23,IF(AC29=Dienste!$A$24,Dienste!$C$24,IF(AC29=Dienste!$A$25,Dienste!$C$25,IF(AC29=Dienste!$A$26,Dienste!$C$26,IF(AC29=Dienste!$A$27,Dienste!$C$27,IF(AC29=Dienste!$A$28,Dienste!$C$28,IF(AC29=Dienste!#REF!,Dienste!#REF!,IF(AC29=Dienste!#REF!,Dienste!#REF!,IF(AC29=Dienste!#REF!,Dienste!#REF!,IF(AC29=Dienste!#REF!,Dienste!#REF!,IF(AC29=Dienste!$A$33,Dienste!$C$33,IF(AC29=Dienste!$A$34,Dienste!$C$34,IF(AC29=Dienste!$A$35,Dienste!$C$35,IF(AC29=Dienste!$A$36,Dienste!$C$36,)))))))))))))))))))))))))))))))))))</f>
        <v>8</v>
      </c>
      <c r="BX29" s="27">
        <f>IF(AD29=Dienste!$A$2,Dienste!$C$2,IF(AD29=Dienste!$A$3,Dienste!$C$3,IF(AD29=Dienste!$A$4,Dienste!$C$4,IF(AD29=Dienste!$A$5,Dienste!$C$5,IF(AD29=Dienste!$A$6,Dienste!$C$6,IF(AD29=Dienste!$A$7,Dienste!$C$7,IF(AD29=Dienste!$A$8,Dienste!$C$8,IF(AD29=Dienste!$A$9,Dienste!$C$9,IF(AD29=Dienste!$A$10,Dienste!$C$10,IF(AD29=Dienste!$A$11,Dienste!$C$11,IF(AD29=Dienste!$A$12,Dienste!$C$12,IF(AD29=Dienste!$A$13,Dienste!$C$13,IF(AD29=Dienste!$A$14,Dienste!$C$14,IF(AD29=Dienste!$A$15,Dienste!$C$15,IF(AD29=Dienste!$A$16,Dienste!$C$16,IF(AD29=Dienste!$A$17,Dienste!$C$17,IF(AD29=Dienste!$A$18,Dienste!$C$18,IF(AD29=Dienste!$A$19,Dienste!$C$19,IF(AD29=Dienste!$A$20,Dienste!$C$20,IF(AD29=Dienste!$A$21,Dienste!$C$21,IF(AD29=Dienste!$A$22,Dienste!$C$22,IF(AD29=Dienste!$A$23,Dienste!$C$23,IF(AD29=Dienste!$A$24,Dienste!$C$24,IF(AD29=Dienste!$A$25,Dienste!$C$25,IF(AD29=Dienste!$A$26,Dienste!$C$26,IF(AD29=Dienste!$A$27,Dienste!$C$27,IF(AD29=Dienste!$A$28,Dienste!$C$28,IF(AD29=Dienste!#REF!,Dienste!#REF!,IF(AD29=Dienste!#REF!,Dienste!#REF!,IF(AD29=Dienste!#REF!,Dienste!#REF!,IF(AD29=Dienste!#REF!,Dienste!#REF!,IF(AD29=Dienste!$A$33,Dienste!$C$33,IF(AD29=Dienste!$A$34,Dienste!$C$34,IF(AD29=Dienste!$A$35,Dienste!$C$35,IF(AD29=Dienste!$A$36,Dienste!$C$36,)))))))))))))))))))))))))))))))))))</f>
        <v>9</v>
      </c>
      <c r="BY29" s="27">
        <f>IF(AE29=Dienste!$A$2,Dienste!$C$2,IF(AE29=Dienste!$A$3,Dienste!$C$3,IF(AE29=Dienste!$A$4,Dienste!$C$4,IF(AE29=Dienste!$A$5,Dienste!$C$5,IF(AE29=Dienste!$A$6,Dienste!$C$6,IF(AE29=Dienste!$A$7,Dienste!$C$7,IF(AE29=Dienste!$A$8,Dienste!$C$8,IF(AE29=Dienste!$A$9,Dienste!$C$9,IF(AE29=Dienste!$A$10,Dienste!$C$10,IF(AE29=Dienste!$A$11,Dienste!$C$11,IF(AE29=Dienste!$A$12,Dienste!$C$12,IF(AE29=Dienste!$A$13,Dienste!$C$13,IF(AE29=Dienste!$A$14,Dienste!$C$14,IF(AE29=Dienste!$A$15,Dienste!$C$15,IF(AE29=Dienste!$A$16,Dienste!$C$16,IF(AE29=Dienste!$A$17,Dienste!$C$17,IF(AE29=Dienste!$A$18,Dienste!$C$18,IF(AE29=Dienste!$A$19,Dienste!$C$19,IF(AE29=Dienste!$A$20,Dienste!$C$20,IF(AE29=Dienste!$A$21,Dienste!$C$21,IF(AE29=Dienste!$A$22,Dienste!$C$22,IF(AE29=Dienste!$A$23,Dienste!$C$23,IF(AE29=Dienste!$A$24,Dienste!$C$24,IF(AE29=Dienste!$A$25,Dienste!$C$25,IF(AE29=Dienste!$A$26,Dienste!$C$26,IF(AE29=Dienste!$A$27,Dienste!$C$27,IF(AE29=Dienste!$A$28,Dienste!$C$28,IF(AE29=Dienste!#REF!,Dienste!#REF!,IF(AE29=Dienste!#REF!,Dienste!#REF!,IF(AE29=Dienste!#REF!,Dienste!#REF!,IF(AE29=Dienste!#REF!,Dienste!#REF!,IF(AE29=Dienste!$A$33,Dienste!$C$33,IF(AE29=Dienste!$A$34,Dienste!$C$34,IF(AE29=Dienste!$A$35,Dienste!$C$35,IF(AE29=Dienste!$A$36,Dienste!$C$36,)))))))))))))))))))))))))))))))))))</f>
        <v>8</v>
      </c>
      <c r="BZ29" s="27">
        <f>IF(AF29=Dienste!$A$2,Dienste!$C$2,IF(AF29=Dienste!$A$3,Dienste!$C$3,IF(AF29=Dienste!$A$4,Dienste!$C$4,IF(AF29=Dienste!$A$5,Dienste!$C$5,IF(AF29=Dienste!$A$6,Dienste!$C$6,IF(AF29=Dienste!$A$7,Dienste!$C$7,IF(AF29=Dienste!$A$8,Dienste!$C$8,IF(AF29=Dienste!$A$9,Dienste!$C$9,IF(AF29=Dienste!$A$10,Dienste!$C$10,IF(AF29=Dienste!$A$11,Dienste!$C$11,IF(AF29=Dienste!$A$12,Dienste!$C$12,IF(AF29=Dienste!$A$13,Dienste!$C$13,IF(AF29=Dienste!$A$14,Dienste!$C$14,IF(AF29=Dienste!$A$15,Dienste!$C$15,IF(AF29=Dienste!$A$16,Dienste!$C$16,IF(AF29=Dienste!$A$17,Dienste!$C$17,IF(AF29=Dienste!$A$18,Dienste!$C$18,IF(AF29=Dienste!$A$19,Dienste!$C$19,IF(AF29=Dienste!$A$20,Dienste!$C$20,IF(AF29=Dienste!$A$21,Dienste!$C$21,IF(AF29=Dienste!$A$22,Dienste!$C$22,IF(AF29=Dienste!$A$23,Dienste!$C$23,IF(AF29=Dienste!$A$24,Dienste!$C$24,IF(AF29=Dienste!$A$25,Dienste!$C$25,IF(AF29=Dienste!$A$26,Dienste!$C$26,IF(AF29=Dienste!$A$27,Dienste!$C$27,IF(AF29=Dienste!$A$28,Dienste!$C$28,IF(AF29=Dienste!#REF!,Dienste!#REF!,IF(AF29=Dienste!#REF!,Dienste!#REF!,IF(AF29=Dienste!#REF!,Dienste!#REF!,IF(AF29=Dienste!#REF!,Dienste!#REF!,IF(AF29=Dienste!$A$33,Dienste!$C$33,IF(AF29=Dienste!$A$34,Dienste!$C$34,IF(AF29=Dienste!$A$35,Dienste!$C$35,IF(AF29=Dienste!$A$36,Dienste!$C$36,)))))))))))))))))))))))))))))))))))</f>
        <v>0</v>
      </c>
      <c r="CA29" s="27">
        <f>IF(AG29=Dienste!$A$2,Dienste!$C$2,IF(AG29=Dienste!$A$3,Dienste!$C$3,IF(AG29=Dienste!$A$4,Dienste!$C$4,IF(AG29=Dienste!$A$5,Dienste!$C$5,IF(AG29=Dienste!$A$6,Dienste!$C$6,IF(AG29=Dienste!$A$7,Dienste!$C$7,IF(AG29=Dienste!$A$8,Dienste!$C$8,IF(AG29=Dienste!$A$9,Dienste!$C$9,IF(AG29=Dienste!$A$10,Dienste!$C$10,IF(AG29=Dienste!$A$11,Dienste!$C$11,IF(AG29=Dienste!$A$12,Dienste!$C$12,IF(AG29=Dienste!$A$13,Dienste!$C$13,IF(AG29=Dienste!$A$14,Dienste!$C$14,IF(AG29=Dienste!$A$15,Dienste!$C$15,IF(AG29=Dienste!$A$16,Dienste!$C$16,IF(AG29=Dienste!$A$17,Dienste!$C$17,IF(AG29=Dienste!$A$18,Dienste!$C$18,IF(AG29=Dienste!$A$19,Dienste!$C$19,IF(AG29=Dienste!$A$20,Dienste!$C$20,IF(AG29=Dienste!$A$21,Dienste!$C$21,IF(AG29=Dienste!$A$22,Dienste!$C$22,IF(AG29=Dienste!$A$23,Dienste!$C$23,IF(AG29=Dienste!$A$24,Dienste!$C$24,IF(AG29=Dienste!$A$25,Dienste!$C$25,IF(AG29=Dienste!$A$26,Dienste!$C$26,IF(AG29=Dienste!$A$27,Dienste!$C$27,IF(AG29=Dienste!$A$28,Dienste!$C$28,IF(AG29=Dienste!#REF!,Dienste!#REF!,IF(AG29=Dienste!#REF!,Dienste!#REF!,IF(AG29=Dienste!#REF!,Dienste!#REF!,IF(AG29=Dienste!#REF!,Dienste!#REF!,IF(AG29=Dienste!$A$33,Dienste!$C$33,IF(AG29=Dienste!$A$34,Dienste!$C$34,IF(AG29=Dienste!$A$35,Dienste!$C$35,IF(AG29=Dienste!$A$36,Dienste!$C$36,)))))))))))))))))))))))))))))))))))</f>
        <v>0</v>
      </c>
      <c r="CB29" s="27">
        <f>IF(AH29=Dienste!$A$2,Dienste!$C$2,IF(AH29=Dienste!$A$3,Dienste!$C$3,IF(AH29=Dienste!$A$4,Dienste!$C$4,IF(AH29=Dienste!$A$5,Dienste!$C$5,IF(AH29=Dienste!$A$6,Dienste!$C$6,IF(AH29=Dienste!$A$7,Dienste!$C$7,IF(AH29=Dienste!$A$8,Dienste!$C$8,IF(AH29=Dienste!$A$9,Dienste!$C$9,IF(AH29=Dienste!$A$10,Dienste!$C$10,IF(AH29=Dienste!$A$11,Dienste!$C$11,IF(AH29=Dienste!$A$12,Dienste!$C$12,IF(AH29=Dienste!$A$13,Dienste!$C$13,IF(AH29=Dienste!$A$14,Dienste!$C$14,IF(AH29=Dienste!$A$15,Dienste!$C$15,IF(AH29=Dienste!$A$16,Dienste!$C$16,IF(AH29=Dienste!$A$17,Dienste!$C$17,IF(AH29=Dienste!$A$18,Dienste!$C$18,IF(AH29=Dienste!$A$19,Dienste!$C$19,IF(AH29=Dienste!$A$20,Dienste!$C$20,IF(AH29=Dienste!$A$21,Dienste!$C$21,IF(AH29=Dienste!$A$22,Dienste!$C$22,IF(AH29=Dienste!$A$23,Dienste!$C$23,IF(AH29=Dienste!$A$24,Dienste!$C$24,IF(AH29=Dienste!$A$25,Dienste!$C$25,IF(AH29=Dienste!$A$26,Dienste!$C$26,IF(AH29=Dienste!$A$27,Dienste!$C$27,IF(AH29=Dienste!$A$28,Dienste!$C$28,IF(AH29=Dienste!#REF!,Dienste!#REF!,IF(AH29=Dienste!#REF!,Dienste!#REF!,IF(AH29=Dienste!#REF!,Dienste!#REF!,IF(AH29=Dienste!#REF!,Dienste!#REF!,IF(AH29=Dienste!$A$33,Dienste!$C$33,IF(AH29=Dienste!$A$34,Dienste!$C$34,IF(AH29=Dienste!$A$35,Dienste!$C$35,IF(AH29=Dienste!$A$36,Dienste!$C$36,)))))))))))))))))))))))))))))))))))</f>
        <v>8</v>
      </c>
      <c r="CC29" s="27" t="e">
        <f>IF(AI29=Dienste!$A$2,Dienste!$C$2,IF(AI29=Dienste!$A$3,Dienste!$C$3,IF(AI29=Dienste!$A$4,Dienste!$C$4,IF(AI29=Dienste!$A$5,Dienste!$C$5,IF(AI29=Dienste!$A$6,Dienste!$C$6,IF(AI29=Dienste!$A$7,Dienste!$C$7,IF(AI29=Dienste!$A$8,Dienste!$C$8,IF(AI29=Dienste!$A$9,Dienste!$C$9,IF(AI29=Dienste!$A$10,Dienste!$C$10,IF(AI29=Dienste!$A$11,Dienste!$C$11,IF(AI29=Dienste!$A$12,Dienste!$C$12,IF(AI29=Dienste!$A$13,Dienste!$C$13,IF(AI29=Dienste!$A$14,Dienste!$C$14,IF(AI29=Dienste!$A$15,Dienste!$C$15,IF(AI29=Dienste!$A$16,Dienste!$C$16,IF(AI29=Dienste!$A$17,Dienste!$C$17,IF(AI29=Dienste!$A$18,Dienste!$C$18,IF(AI29=Dienste!$A$19,Dienste!$C$19,IF(AI29=Dienste!$A$20,Dienste!$C$20,IF(AI29=Dienste!$A$21,Dienste!$C$21,IF(AI29=Dienste!$A$22,Dienste!$C$22,IF(AI29=Dienste!$A$23,Dienste!$C$23,IF(AI29=Dienste!$A$24,Dienste!$C$24,IF(AI29=Dienste!$A$25,Dienste!$C$25,IF(AI29=Dienste!$A$26,Dienste!$C$26,IF(AI29=Dienste!$A$27,Dienste!$C$27,IF(AI29=Dienste!$A$28,Dienste!$C$28,IF(AI29=Dienste!#REF!,Dienste!#REF!,IF(AI29=Dienste!#REF!,Dienste!#REF!,IF(AI29=Dienste!#REF!,Dienste!#REF!,IF(AI29=Dienste!#REF!,Dienste!#REF!,IF(AI29=Dienste!$A$33,Dienste!$C$33,IF(AI29=Dienste!$A$34,Dienste!$C$34,IF(AI29=Dienste!$A$35,Dienste!$C$35,IF(AI29=Dienste!$A$36,Dienste!$C$36,)))))))))))))))))))))))))))))))))))</f>
        <v>#REF!</v>
      </c>
    </row>
    <row r="30" spans="1:81" x14ac:dyDescent="0.25">
      <c r="A30" s="109" t="s">
        <v>336</v>
      </c>
      <c r="B30" s="15" t="s">
        <v>230</v>
      </c>
      <c r="C30" s="15">
        <v>40</v>
      </c>
      <c r="D30" s="98">
        <v>1</v>
      </c>
      <c r="E30" s="104" t="s">
        <v>83</v>
      </c>
      <c r="F30" s="9" t="s">
        <v>31</v>
      </c>
      <c r="G30" s="9" t="s">
        <v>31</v>
      </c>
      <c r="H30" s="9" t="s">
        <v>31</v>
      </c>
      <c r="I30" s="9" t="s">
        <v>31</v>
      </c>
      <c r="J30" s="9" t="s">
        <v>31</v>
      </c>
      <c r="K30" s="9" t="s">
        <v>83</v>
      </c>
      <c r="L30" s="9" t="s">
        <v>83</v>
      </c>
      <c r="M30" s="9" t="s">
        <v>31</v>
      </c>
      <c r="N30" s="9" t="s">
        <v>31</v>
      </c>
      <c r="O30" s="9" t="s">
        <v>31</v>
      </c>
      <c r="P30" s="9" t="s">
        <v>31</v>
      </c>
      <c r="Q30" s="9" t="s">
        <v>31</v>
      </c>
      <c r="R30" s="9" t="s">
        <v>19</v>
      </c>
      <c r="S30" s="9" t="s">
        <v>83</v>
      </c>
      <c r="T30" s="9" t="s">
        <v>31</v>
      </c>
      <c r="U30" s="9" t="s">
        <v>31</v>
      </c>
      <c r="V30" s="9" t="s">
        <v>17</v>
      </c>
      <c r="W30" s="9" t="s">
        <v>65</v>
      </c>
      <c r="X30" s="9" t="s">
        <v>6</v>
      </c>
      <c r="Y30" s="9" t="s">
        <v>83</v>
      </c>
      <c r="Z30" s="9" t="s">
        <v>83</v>
      </c>
      <c r="AA30" s="9" t="s">
        <v>31</v>
      </c>
      <c r="AB30" s="9" t="s">
        <v>31</v>
      </c>
      <c r="AC30" s="9" t="s">
        <v>32</v>
      </c>
      <c r="AD30" s="9" t="s">
        <v>31</v>
      </c>
      <c r="AE30" s="9" t="s">
        <v>80</v>
      </c>
      <c r="AF30" s="9" t="s">
        <v>83</v>
      </c>
      <c r="AG30" s="9" t="s">
        <v>372</v>
      </c>
      <c r="AH30" s="9" t="s">
        <v>65</v>
      </c>
      <c r="AI30" s="15"/>
      <c r="AJ30" s="109">
        <v>2.25</v>
      </c>
      <c r="AK30" s="15">
        <v>168</v>
      </c>
      <c r="AL30" s="109">
        <v>168</v>
      </c>
      <c r="AM30" s="15">
        <v>2.25</v>
      </c>
      <c r="AN30" s="170">
        <v>0</v>
      </c>
      <c r="AO30" s="109">
        <v>43.75</v>
      </c>
      <c r="AP30" s="15">
        <v>3</v>
      </c>
      <c r="AQ30" s="98">
        <v>2</v>
      </c>
      <c r="AR30" s="109">
        <v>60</v>
      </c>
      <c r="AS30" s="15">
        <v>44.528846153846153</v>
      </c>
      <c r="AT30" s="98">
        <v>26</v>
      </c>
      <c r="AU30" s="96" t="e">
        <f t="shared" si="2"/>
        <v>#REF!</v>
      </c>
      <c r="AV30" s="27" t="e">
        <f t="shared" si="0"/>
        <v>#REF!</v>
      </c>
      <c r="AW30" s="58" t="e">
        <f t="shared" si="1"/>
        <v>#REF!</v>
      </c>
      <c r="AY30" s="27">
        <f>IF(E30=Dienste!$A$2,Dienste!$C$2,IF(E30=Dienste!$A$3,Dienste!$C$3,IF(E30=Dienste!$A$4,Dienste!$C$4,IF(E30=Dienste!$A$5,Dienste!$C$5,IF(E30=Dienste!$A$6,Dienste!$C$6,IF(E30=Dienste!$A$7,Dienste!$C$7,IF(E30=Dienste!$A$8,Dienste!$C$8,IF(E30=Dienste!$A$9,Dienste!$C$9,IF(E30=Dienste!$A$10,Dienste!$C$10,IF(E30=Dienste!$A$11,Dienste!$C$11,IF(E30=Dienste!$A$12,Dienste!$C$12,IF(E30=Dienste!$A$13,Dienste!$C$13,IF(E30=Dienste!$A$14,Dienste!$C$14,IF(E30=Dienste!$A$15,Dienste!$C$15,IF(E30=Dienste!$A$16,Dienste!$C$16,IF(E30=Dienste!$A$17,Dienste!$C$17,IF(E30=Dienste!$A$18,Dienste!$C$18,IF(E30=Dienste!$A$19,Dienste!$C$19,IF(E30=Dienste!$A$20,Dienste!$C$20,IF(E30=Dienste!$A$21,Dienste!$C$21,IF(E30=Dienste!$A$22,Dienste!$C$22,IF(E30=Dienste!$A$23,Dienste!$C$23,IF(E30=Dienste!$A$24,Dienste!$C$24,IF(E30=Dienste!$A$25,Dienste!$C$25,IF(E30=Dienste!$A$26,Dienste!$C$26,IF(E30=Dienste!$A$27,Dienste!$C$27,IF(E30=Dienste!$A$28,Dienste!$C$28,IF(E30=Dienste!#REF!,Dienste!#REF!,IF(E30=Dienste!#REF!,Dienste!#REF!,IF(E30=Dienste!#REF!,Dienste!#REF!,IF(E30=Dienste!#REF!,Dienste!#REF!,IF(E30=Dienste!$A$33,Dienste!$C$33,IF(E30=Dienste!$A$34,Dienste!$C$34,IF(E30=Dienste!$A$35,Dienste!$C$35,IF(E30=Dienste!$A$36,Dienste!$C$36,)))))))))))))))))))))))))))))))))))</f>
        <v>0</v>
      </c>
      <c r="AZ30" s="27">
        <f>IF(F30=Dienste!$A$2,Dienste!$C$2,IF(F30=Dienste!$A$3,Dienste!$C$3,IF(F30=Dienste!$A$4,Dienste!$C$4,IF(F30=Dienste!$A$5,Dienste!$C$5,IF(F30=Dienste!$A$6,Dienste!$C$6,IF(F30=Dienste!$A$7,Dienste!$C$7,IF(F30=Dienste!$A$8,Dienste!$C$8,IF(F30=Dienste!$A$9,Dienste!$C$9,IF(F30=Dienste!$A$10,Dienste!$C$10,IF(F30=Dienste!$A$11,Dienste!$C$11,IF(F30=Dienste!$A$12,Dienste!$C$12,IF(F30=Dienste!$A$13,Dienste!$C$13,IF(F30=Dienste!$A$14,Dienste!$C$14,IF(F30=Dienste!$A$15,Dienste!$C$15,IF(F30=Dienste!$A$16,Dienste!$C$16,IF(F30=Dienste!$A$17,Dienste!$C$17,IF(F30=Dienste!$A$18,Dienste!$C$18,IF(F30=Dienste!$A$19,Dienste!$C$19,IF(F30=Dienste!$A$20,Dienste!$C$20,IF(F30=Dienste!$A$21,Dienste!$C$21,IF(F30=Dienste!$A$22,Dienste!$C$22,IF(F30=Dienste!$A$23,Dienste!$C$23,IF(F30=Dienste!$A$24,Dienste!$C$24,IF(F30=Dienste!$A$25,Dienste!$C$25,IF(F30=Dienste!$A$26,Dienste!$C$26,IF(F30=Dienste!$A$27,Dienste!$C$27,IF(F30=Dienste!$A$28,Dienste!$C$28,IF(F30=Dienste!#REF!,Dienste!#REF!,IF(F30=Dienste!#REF!,Dienste!#REF!,IF(F30=Dienste!#REF!,Dienste!#REF!,IF(F30=Dienste!#REF!,Dienste!#REF!,IF(F30=Dienste!$A$33,Dienste!$C$33,IF(F30=Dienste!$A$34,Dienste!$C$34,IF(F30=Dienste!$A$35,Dienste!$C$35,IF(F30=Dienste!$A$36,Dienste!$C$36,)))))))))))))))))))))))))))))))))))</f>
        <v>8</v>
      </c>
      <c r="BA30" s="27">
        <f>IF(G30=Dienste!$A$2,Dienste!$C$2,IF(G30=Dienste!$A$3,Dienste!$C$3,IF(G30=Dienste!$A$4,Dienste!$C$4,IF(G30=Dienste!$A$5,Dienste!$C$5,IF(G30=Dienste!$A$6,Dienste!$C$6,IF(G30=Dienste!$A$7,Dienste!$C$7,IF(G30=Dienste!$A$8,Dienste!$C$8,IF(G30=Dienste!$A$9,Dienste!$C$9,IF(G30=Dienste!$A$10,Dienste!$C$10,IF(G30=Dienste!$A$11,Dienste!$C$11,IF(G30=Dienste!$A$12,Dienste!$C$12,IF(G30=Dienste!$A$13,Dienste!$C$13,IF(G30=Dienste!$A$14,Dienste!$C$14,IF(G30=Dienste!$A$15,Dienste!$C$15,IF(G30=Dienste!$A$16,Dienste!$C$16,IF(G30=Dienste!$A$17,Dienste!$C$17,IF(G30=Dienste!$A$18,Dienste!$C$18,IF(G30=Dienste!$A$19,Dienste!$C$19,IF(G30=Dienste!$A$20,Dienste!$C$20,IF(G30=Dienste!$A$21,Dienste!$C$21,IF(G30=Dienste!$A$22,Dienste!$C$22,IF(G30=Dienste!$A$23,Dienste!$C$23,IF(G30=Dienste!$A$24,Dienste!$C$24,IF(G30=Dienste!$A$25,Dienste!$C$25,IF(G30=Dienste!$A$26,Dienste!$C$26,IF(G30=Dienste!$A$27,Dienste!$C$27,IF(G30=Dienste!$A$28,Dienste!$C$28,IF(G30=Dienste!#REF!,Dienste!#REF!,IF(G30=Dienste!#REF!,Dienste!#REF!,IF(G30=Dienste!#REF!,Dienste!#REF!,IF(G30=Dienste!#REF!,Dienste!#REF!,IF(G30=Dienste!$A$33,Dienste!$C$33,IF(G30=Dienste!$A$34,Dienste!$C$34,IF(G30=Dienste!$A$35,Dienste!$C$35,IF(G30=Dienste!$A$36,Dienste!$C$36,)))))))))))))))))))))))))))))))))))</f>
        <v>8</v>
      </c>
      <c r="BB30" s="27">
        <f>IF(H30=Dienste!$A$2,Dienste!$C$2,IF(H30=Dienste!$A$3,Dienste!$C$3,IF(H30=Dienste!$A$4,Dienste!$C$4,IF(H30=Dienste!$A$5,Dienste!$C$5,IF(H30=Dienste!$A$6,Dienste!$C$6,IF(H30=Dienste!$A$7,Dienste!$C$7,IF(H30=Dienste!$A$8,Dienste!$C$8,IF(H30=Dienste!$A$9,Dienste!$C$9,IF(H30=Dienste!$A$10,Dienste!$C$10,IF(H30=Dienste!$A$11,Dienste!$C$11,IF(H30=Dienste!$A$12,Dienste!$C$12,IF(H30=Dienste!$A$13,Dienste!$C$13,IF(H30=Dienste!$A$14,Dienste!$C$14,IF(H30=Dienste!$A$15,Dienste!$C$15,IF(H30=Dienste!$A$16,Dienste!$C$16,IF(H30=Dienste!$A$17,Dienste!$C$17,IF(H30=Dienste!$A$18,Dienste!$C$18,IF(H30=Dienste!$A$19,Dienste!$C$19,IF(H30=Dienste!$A$20,Dienste!$C$20,IF(H30=Dienste!$A$21,Dienste!$C$21,IF(H30=Dienste!$A$22,Dienste!$C$22,IF(H30=Dienste!$A$23,Dienste!$C$23,IF(H30=Dienste!$A$24,Dienste!$C$24,IF(H30=Dienste!$A$25,Dienste!$C$25,IF(H30=Dienste!$A$26,Dienste!$C$26,IF(H30=Dienste!$A$27,Dienste!$C$27,IF(H30=Dienste!$A$28,Dienste!$C$28,IF(H30=Dienste!#REF!,Dienste!#REF!,IF(H30=Dienste!#REF!,Dienste!#REF!,IF(H30=Dienste!#REF!,Dienste!#REF!,IF(H30=Dienste!#REF!,Dienste!#REF!,IF(H30=Dienste!$A$33,Dienste!$C$33,IF(H30=Dienste!$A$34,Dienste!$C$34,IF(H30=Dienste!$A$35,Dienste!$C$35,IF(H30=Dienste!$A$36,Dienste!$C$36,)))))))))))))))))))))))))))))))))))</f>
        <v>8</v>
      </c>
      <c r="BC30" s="27">
        <f>IF(I30=Dienste!$A$2,Dienste!$C$2,IF(I30=Dienste!$A$3,Dienste!$C$3,IF(I30=Dienste!$A$4,Dienste!$C$4,IF(I30=Dienste!$A$5,Dienste!$C$5,IF(I30=Dienste!$A$6,Dienste!$C$6,IF(I30=Dienste!$A$7,Dienste!$C$7,IF(I30=Dienste!$A$8,Dienste!$C$8,IF(I30=Dienste!$A$9,Dienste!$C$9,IF(I30=Dienste!$A$10,Dienste!$C$10,IF(I30=Dienste!$A$11,Dienste!$C$11,IF(I30=Dienste!$A$12,Dienste!$C$12,IF(I30=Dienste!$A$13,Dienste!$C$13,IF(I30=Dienste!$A$14,Dienste!$C$14,IF(I30=Dienste!$A$15,Dienste!$C$15,IF(I30=Dienste!$A$16,Dienste!$C$16,IF(I30=Dienste!$A$17,Dienste!$C$17,IF(I30=Dienste!$A$18,Dienste!$C$18,IF(I30=Dienste!$A$19,Dienste!$C$19,IF(I30=Dienste!$A$20,Dienste!$C$20,IF(I30=Dienste!$A$21,Dienste!$C$21,IF(I30=Dienste!$A$22,Dienste!$C$22,IF(I30=Dienste!$A$23,Dienste!$C$23,IF(I30=Dienste!$A$24,Dienste!$C$24,IF(I30=Dienste!$A$25,Dienste!$C$25,IF(I30=Dienste!$A$26,Dienste!$C$26,IF(I30=Dienste!$A$27,Dienste!$C$27,IF(I30=Dienste!$A$28,Dienste!$C$28,IF(I30=Dienste!#REF!,Dienste!#REF!,IF(I30=Dienste!#REF!,Dienste!#REF!,IF(I30=Dienste!#REF!,Dienste!#REF!,IF(I30=Dienste!#REF!,Dienste!#REF!,IF(I30=Dienste!$A$33,Dienste!$C$33,IF(I30=Dienste!$A$34,Dienste!$C$34,IF(I30=Dienste!$A$35,Dienste!$C$35,IF(I30=Dienste!$A$36,Dienste!$C$36,)))))))))))))))))))))))))))))))))))</f>
        <v>8</v>
      </c>
      <c r="BD30" s="27">
        <f>IF(J30=Dienste!$A$2,Dienste!$C$2,IF(J30=Dienste!$A$3,Dienste!$C$3,IF(J30=Dienste!$A$4,Dienste!$C$4,IF(J30=Dienste!$A$5,Dienste!$C$5,IF(J30=Dienste!$A$6,Dienste!$C$6,IF(J30=Dienste!$A$7,Dienste!$C$7,IF(J30=Dienste!$A$8,Dienste!$C$8,IF(J30=Dienste!$A$9,Dienste!$C$9,IF(J30=Dienste!$A$10,Dienste!$C$10,IF(J30=Dienste!$A$11,Dienste!$C$11,IF(J30=Dienste!$A$12,Dienste!$C$12,IF(J30=Dienste!$A$13,Dienste!$C$13,IF(J30=Dienste!$A$14,Dienste!$C$14,IF(J30=Dienste!$A$15,Dienste!$C$15,IF(J30=Dienste!$A$16,Dienste!$C$16,IF(J30=Dienste!$A$17,Dienste!$C$17,IF(J30=Dienste!$A$18,Dienste!$C$18,IF(J30=Dienste!$A$19,Dienste!$C$19,IF(J30=Dienste!$A$20,Dienste!$C$20,IF(J30=Dienste!$A$21,Dienste!$C$21,IF(J30=Dienste!$A$22,Dienste!$C$22,IF(J30=Dienste!$A$23,Dienste!$C$23,IF(J30=Dienste!$A$24,Dienste!$C$24,IF(J30=Dienste!$A$25,Dienste!$C$25,IF(J30=Dienste!$A$26,Dienste!$C$26,IF(J30=Dienste!$A$27,Dienste!$C$27,IF(J30=Dienste!$A$28,Dienste!$C$28,IF(J30=Dienste!#REF!,Dienste!#REF!,IF(J30=Dienste!#REF!,Dienste!#REF!,IF(J30=Dienste!#REF!,Dienste!#REF!,IF(J30=Dienste!#REF!,Dienste!#REF!,IF(J30=Dienste!$A$33,Dienste!$C$33,IF(J30=Dienste!$A$34,Dienste!$C$34,IF(J30=Dienste!$A$35,Dienste!$C$35,IF(J30=Dienste!$A$36,Dienste!$C$36,)))))))))))))))))))))))))))))))))))</f>
        <v>8</v>
      </c>
      <c r="BE30" s="27">
        <f>IF(K30=Dienste!$A$2,Dienste!$C$2,IF(K30=Dienste!$A$3,Dienste!$C$3,IF(K30=Dienste!$A$4,Dienste!$C$4,IF(K30=Dienste!$A$5,Dienste!$C$5,IF(K30=Dienste!$A$6,Dienste!$C$6,IF(K30=Dienste!$A$7,Dienste!$C$7,IF(K30=Dienste!$A$8,Dienste!$C$8,IF(K30=Dienste!$A$9,Dienste!$C$9,IF(K30=Dienste!$A$10,Dienste!$C$10,IF(K30=Dienste!$A$11,Dienste!$C$11,IF(K30=Dienste!$A$12,Dienste!$C$12,IF(K30=Dienste!$A$13,Dienste!$C$13,IF(K30=Dienste!$A$14,Dienste!$C$14,IF(K30=Dienste!$A$15,Dienste!$C$15,IF(K30=Dienste!$A$16,Dienste!$C$16,IF(K30=Dienste!$A$17,Dienste!$C$17,IF(K30=Dienste!$A$18,Dienste!$C$18,IF(K30=Dienste!$A$19,Dienste!$C$19,IF(K30=Dienste!$A$20,Dienste!$C$20,IF(K30=Dienste!$A$21,Dienste!$C$21,IF(K30=Dienste!$A$22,Dienste!$C$22,IF(K30=Dienste!$A$23,Dienste!$C$23,IF(K30=Dienste!$A$24,Dienste!$C$24,IF(K30=Dienste!$A$25,Dienste!$C$25,IF(K30=Dienste!$A$26,Dienste!$C$26,IF(K30=Dienste!$A$27,Dienste!$C$27,IF(K30=Dienste!$A$28,Dienste!$C$28,IF(K30=Dienste!#REF!,Dienste!#REF!,IF(K30=Dienste!#REF!,Dienste!#REF!,IF(K30=Dienste!#REF!,Dienste!#REF!,IF(K30=Dienste!#REF!,Dienste!#REF!,IF(K30=Dienste!$A$33,Dienste!$C$33,IF(K30=Dienste!$A$34,Dienste!$C$34,IF(K30=Dienste!$A$35,Dienste!$C$35,IF(K30=Dienste!$A$36,Dienste!$C$36,)))))))))))))))))))))))))))))))))))</f>
        <v>0</v>
      </c>
      <c r="BF30" s="27">
        <f>IF(L30=Dienste!$A$2,Dienste!$C$2,IF(L30=Dienste!$A$3,Dienste!$C$3,IF(L30=Dienste!$A$4,Dienste!$C$4,IF(L30=Dienste!$A$5,Dienste!$C$5,IF(L30=Dienste!$A$6,Dienste!$C$6,IF(L30=Dienste!$A$7,Dienste!$C$7,IF(L30=Dienste!$A$8,Dienste!$C$8,IF(L30=Dienste!$A$9,Dienste!$C$9,IF(L30=Dienste!$A$10,Dienste!$C$10,IF(L30=Dienste!$A$11,Dienste!$C$11,IF(L30=Dienste!$A$12,Dienste!$C$12,IF(L30=Dienste!$A$13,Dienste!$C$13,IF(L30=Dienste!$A$14,Dienste!$C$14,IF(L30=Dienste!$A$15,Dienste!$C$15,IF(L30=Dienste!$A$16,Dienste!$C$16,IF(L30=Dienste!$A$17,Dienste!$C$17,IF(L30=Dienste!$A$18,Dienste!$C$18,IF(L30=Dienste!$A$19,Dienste!$C$19,IF(L30=Dienste!$A$20,Dienste!$C$20,IF(L30=Dienste!$A$21,Dienste!$C$21,IF(L30=Dienste!$A$22,Dienste!$C$22,IF(L30=Dienste!$A$23,Dienste!$C$23,IF(L30=Dienste!$A$24,Dienste!$C$24,IF(L30=Dienste!$A$25,Dienste!$C$25,IF(L30=Dienste!$A$26,Dienste!$C$26,IF(L30=Dienste!$A$27,Dienste!$C$27,IF(L30=Dienste!$A$28,Dienste!$C$28,IF(L30=Dienste!#REF!,Dienste!#REF!,IF(L30=Dienste!#REF!,Dienste!#REF!,IF(L30=Dienste!#REF!,Dienste!#REF!,IF(L30=Dienste!#REF!,Dienste!#REF!,IF(L30=Dienste!$A$33,Dienste!$C$33,IF(L30=Dienste!$A$34,Dienste!$C$34,IF(L30=Dienste!$A$35,Dienste!$C$35,IF(L30=Dienste!$A$36,Dienste!$C$36,)))))))))))))))))))))))))))))))))))</f>
        <v>0</v>
      </c>
      <c r="BG30" s="27">
        <f>IF(M30=Dienste!$A$2,Dienste!$C$2,IF(M30=Dienste!$A$3,Dienste!$C$3,IF(M30=Dienste!$A$4,Dienste!$C$4,IF(M30=Dienste!$A$5,Dienste!$C$5,IF(M30=Dienste!$A$6,Dienste!$C$6,IF(M30=Dienste!$A$7,Dienste!$C$7,IF(M30=Dienste!$A$8,Dienste!$C$8,IF(M30=Dienste!$A$9,Dienste!$C$9,IF(M30=Dienste!$A$10,Dienste!$C$10,IF(M30=Dienste!$A$11,Dienste!$C$11,IF(M30=Dienste!$A$12,Dienste!$C$12,IF(M30=Dienste!$A$13,Dienste!$C$13,IF(M30=Dienste!$A$14,Dienste!$C$14,IF(M30=Dienste!$A$15,Dienste!$C$15,IF(M30=Dienste!$A$16,Dienste!$C$16,IF(M30=Dienste!$A$17,Dienste!$C$17,IF(M30=Dienste!$A$18,Dienste!$C$18,IF(M30=Dienste!$A$19,Dienste!$C$19,IF(M30=Dienste!$A$20,Dienste!$C$20,IF(M30=Dienste!$A$21,Dienste!$C$21,IF(M30=Dienste!$A$22,Dienste!$C$22,IF(M30=Dienste!$A$23,Dienste!$C$23,IF(M30=Dienste!$A$24,Dienste!$C$24,IF(M30=Dienste!$A$25,Dienste!$C$25,IF(M30=Dienste!$A$26,Dienste!$C$26,IF(M30=Dienste!$A$27,Dienste!$C$27,IF(M30=Dienste!$A$28,Dienste!$C$28,IF(M30=Dienste!#REF!,Dienste!#REF!,IF(M30=Dienste!#REF!,Dienste!#REF!,IF(M30=Dienste!#REF!,Dienste!#REF!,IF(M30=Dienste!#REF!,Dienste!#REF!,IF(M30=Dienste!$A$33,Dienste!$C$33,IF(M30=Dienste!$A$34,Dienste!$C$34,IF(M30=Dienste!$A$35,Dienste!$C$35,IF(M30=Dienste!$A$36,Dienste!$C$36,)))))))))))))))))))))))))))))))))))</f>
        <v>8</v>
      </c>
      <c r="BH30" s="27">
        <f>IF(N30=Dienste!$A$2,Dienste!$C$2,IF(N30=Dienste!$A$3,Dienste!$C$3,IF(N30=Dienste!$A$4,Dienste!$C$4,IF(N30=Dienste!$A$5,Dienste!$C$5,IF(N30=Dienste!$A$6,Dienste!$C$6,IF(N30=Dienste!$A$7,Dienste!$C$7,IF(N30=Dienste!$A$8,Dienste!$C$8,IF(N30=Dienste!$A$9,Dienste!$C$9,IF(N30=Dienste!$A$10,Dienste!$C$10,IF(N30=Dienste!$A$11,Dienste!$C$11,IF(N30=Dienste!$A$12,Dienste!$C$12,IF(N30=Dienste!$A$13,Dienste!$C$13,IF(N30=Dienste!$A$14,Dienste!$C$14,IF(N30=Dienste!$A$15,Dienste!$C$15,IF(N30=Dienste!$A$16,Dienste!$C$16,IF(N30=Dienste!$A$17,Dienste!$C$17,IF(N30=Dienste!$A$18,Dienste!$C$18,IF(N30=Dienste!$A$19,Dienste!$C$19,IF(N30=Dienste!$A$20,Dienste!$C$20,IF(N30=Dienste!$A$21,Dienste!$C$21,IF(N30=Dienste!$A$22,Dienste!$C$22,IF(N30=Dienste!$A$23,Dienste!$C$23,IF(N30=Dienste!$A$24,Dienste!$C$24,IF(N30=Dienste!$A$25,Dienste!$C$25,IF(N30=Dienste!$A$26,Dienste!$C$26,IF(N30=Dienste!$A$27,Dienste!$C$27,IF(N30=Dienste!$A$28,Dienste!$C$28,IF(N30=Dienste!#REF!,Dienste!#REF!,IF(N30=Dienste!#REF!,Dienste!#REF!,IF(N30=Dienste!#REF!,Dienste!#REF!,IF(N30=Dienste!#REF!,Dienste!#REF!,IF(N30=Dienste!$A$33,Dienste!$C$33,IF(N30=Dienste!$A$34,Dienste!$C$34,IF(N30=Dienste!$A$35,Dienste!$C$35,IF(N30=Dienste!$A$36,Dienste!$C$36,)))))))))))))))))))))))))))))))))))</f>
        <v>8</v>
      </c>
      <c r="BI30" s="27">
        <f>IF(O30=Dienste!$A$2,Dienste!$C$2,IF(O30=Dienste!$A$3,Dienste!$C$3,IF(O30=Dienste!$A$4,Dienste!$C$4,IF(O30=Dienste!$A$5,Dienste!$C$5,IF(O30=Dienste!$A$6,Dienste!$C$6,IF(O30=Dienste!$A$7,Dienste!$C$7,IF(O30=Dienste!$A$8,Dienste!$C$8,IF(O30=Dienste!$A$9,Dienste!$C$9,IF(O30=Dienste!$A$10,Dienste!$C$10,IF(O30=Dienste!$A$11,Dienste!$C$11,IF(O30=Dienste!$A$12,Dienste!$C$12,IF(O30=Dienste!$A$13,Dienste!$C$13,IF(O30=Dienste!$A$14,Dienste!$C$14,IF(O30=Dienste!$A$15,Dienste!$C$15,IF(O30=Dienste!$A$16,Dienste!$C$16,IF(O30=Dienste!$A$17,Dienste!$C$17,IF(O30=Dienste!$A$18,Dienste!$C$18,IF(O30=Dienste!$A$19,Dienste!$C$19,IF(O30=Dienste!$A$20,Dienste!$C$20,IF(O30=Dienste!$A$21,Dienste!$C$21,IF(O30=Dienste!$A$22,Dienste!$C$22,IF(O30=Dienste!$A$23,Dienste!$C$23,IF(O30=Dienste!$A$24,Dienste!$C$24,IF(O30=Dienste!$A$25,Dienste!$C$25,IF(O30=Dienste!$A$26,Dienste!$C$26,IF(O30=Dienste!$A$27,Dienste!$C$27,IF(O30=Dienste!$A$28,Dienste!$C$28,IF(O30=Dienste!#REF!,Dienste!#REF!,IF(O30=Dienste!#REF!,Dienste!#REF!,IF(O30=Dienste!#REF!,Dienste!#REF!,IF(O30=Dienste!#REF!,Dienste!#REF!,IF(O30=Dienste!$A$33,Dienste!$C$33,IF(O30=Dienste!$A$34,Dienste!$C$34,IF(O30=Dienste!$A$35,Dienste!$C$35,IF(O30=Dienste!$A$36,Dienste!$C$36,)))))))))))))))))))))))))))))))))))</f>
        <v>8</v>
      </c>
      <c r="BJ30" s="27">
        <f>IF(P30=Dienste!$A$2,Dienste!$C$2,IF(P30=Dienste!$A$3,Dienste!$C$3,IF(P30=Dienste!$A$4,Dienste!$C$4,IF(P30=Dienste!$A$5,Dienste!$C$5,IF(P30=Dienste!$A$6,Dienste!$C$6,IF(P30=Dienste!$A$7,Dienste!$C$7,IF(P30=Dienste!$A$8,Dienste!$C$8,IF(P30=Dienste!$A$9,Dienste!$C$9,IF(P30=Dienste!$A$10,Dienste!$C$10,IF(P30=Dienste!$A$11,Dienste!$C$11,IF(P30=Dienste!$A$12,Dienste!$C$12,IF(P30=Dienste!$A$13,Dienste!$C$13,IF(P30=Dienste!$A$14,Dienste!$C$14,IF(P30=Dienste!$A$15,Dienste!$C$15,IF(P30=Dienste!$A$16,Dienste!$C$16,IF(P30=Dienste!$A$17,Dienste!$C$17,IF(P30=Dienste!$A$18,Dienste!$C$18,IF(P30=Dienste!$A$19,Dienste!$C$19,IF(P30=Dienste!$A$20,Dienste!$C$20,IF(P30=Dienste!$A$21,Dienste!$C$21,IF(P30=Dienste!$A$22,Dienste!$C$22,IF(P30=Dienste!$A$23,Dienste!$C$23,IF(P30=Dienste!$A$24,Dienste!$C$24,IF(P30=Dienste!$A$25,Dienste!$C$25,IF(P30=Dienste!$A$26,Dienste!$C$26,IF(P30=Dienste!$A$27,Dienste!$C$27,IF(P30=Dienste!$A$28,Dienste!$C$28,IF(P30=Dienste!#REF!,Dienste!#REF!,IF(P30=Dienste!#REF!,Dienste!#REF!,IF(P30=Dienste!#REF!,Dienste!#REF!,IF(P30=Dienste!#REF!,Dienste!#REF!,IF(P30=Dienste!$A$33,Dienste!$C$33,IF(P30=Dienste!$A$34,Dienste!$C$34,IF(P30=Dienste!$A$35,Dienste!$C$35,IF(P30=Dienste!$A$36,Dienste!$C$36,)))))))))))))))))))))))))))))))))))</f>
        <v>8</v>
      </c>
      <c r="BK30" s="27">
        <f>IF(Q30=Dienste!$A$2,Dienste!$C$2,IF(Q30=Dienste!$A$3,Dienste!$C$3,IF(Q30=Dienste!$A$4,Dienste!$C$4,IF(Q30=Dienste!$A$5,Dienste!$C$5,IF(Q30=Dienste!$A$6,Dienste!$C$6,IF(Q30=Dienste!$A$7,Dienste!$C$7,IF(Q30=Dienste!$A$8,Dienste!$C$8,IF(Q30=Dienste!$A$9,Dienste!$C$9,IF(Q30=Dienste!$A$10,Dienste!$C$10,IF(Q30=Dienste!$A$11,Dienste!$C$11,IF(Q30=Dienste!$A$12,Dienste!$C$12,IF(Q30=Dienste!$A$13,Dienste!$C$13,IF(Q30=Dienste!$A$14,Dienste!$C$14,IF(Q30=Dienste!$A$15,Dienste!$C$15,IF(Q30=Dienste!$A$16,Dienste!$C$16,IF(Q30=Dienste!$A$17,Dienste!$C$17,IF(Q30=Dienste!$A$18,Dienste!$C$18,IF(Q30=Dienste!$A$19,Dienste!$C$19,IF(Q30=Dienste!$A$20,Dienste!$C$20,IF(Q30=Dienste!$A$21,Dienste!$C$21,IF(Q30=Dienste!$A$22,Dienste!$C$22,IF(Q30=Dienste!$A$23,Dienste!$C$23,IF(Q30=Dienste!$A$24,Dienste!$C$24,IF(Q30=Dienste!$A$25,Dienste!$C$25,IF(Q30=Dienste!$A$26,Dienste!$C$26,IF(Q30=Dienste!$A$27,Dienste!$C$27,IF(Q30=Dienste!$A$28,Dienste!$C$28,IF(Q30=Dienste!#REF!,Dienste!#REF!,IF(Q30=Dienste!#REF!,Dienste!#REF!,IF(Q30=Dienste!#REF!,Dienste!#REF!,IF(Q30=Dienste!#REF!,Dienste!#REF!,IF(Q30=Dienste!$A$33,Dienste!$C$33,IF(Q30=Dienste!$A$34,Dienste!$C$34,IF(Q30=Dienste!$A$35,Dienste!$C$35,IF(Q30=Dienste!$A$36,Dienste!$C$36,)))))))))))))))))))))))))))))))))))</f>
        <v>8</v>
      </c>
      <c r="BL30" s="27">
        <f>IF(R30=Dienste!$A$2,Dienste!$C$2,IF(R30=Dienste!$A$3,Dienste!$C$3,IF(R30=Dienste!$A$4,Dienste!$C$4,IF(R30=Dienste!$A$5,Dienste!$C$5,IF(R30=Dienste!$A$6,Dienste!$C$6,IF(R30=Dienste!$A$7,Dienste!$C$7,IF(R30=Dienste!$A$8,Dienste!$C$8,IF(R30=Dienste!$A$9,Dienste!$C$9,IF(R30=Dienste!$A$10,Dienste!$C$10,IF(R30=Dienste!$A$11,Dienste!$C$11,IF(R30=Dienste!$A$12,Dienste!$C$12,IF(R30=Dienste!$A$13,Dienste!$C$13,IF(R30=Dienste!$A$14,Dienste!$C$14,IF(R30=Dienste!$A$15,Dienste!$C$15,IF(R30=Dienste!$A$16,Dienste!$C$16,IF(R30=Dienste!$A$17,Dienste!$C$17,IF(R30=Dienste!$A$18,Dienste!$C$18,IF(R30=Dienste!$A$19,Dienste!$C$19,IF(R30=Dienste!$A$20,Dienste!$C$20,IF(R30=Dienste!$A$21,Dienste!$C$21,IF(R30=Dienste!$A$22,Dienste!$C$22,IF(R30=Dienste!$A$23,Dienste!$C$23,IF(R30=Dienste!$A$24,Dienste!$C$24,IF(R30=Dienste!$A$25,Dienste!$C$25,IF(R30=Dienste!$A$26,Dienste!$C$26,IF(R30=Dienste!$A$27,Dienste!$C$27,IF(R30=Dienste!$A$28,Dienste!$C$28,IF(R30=Dienste!#REF!,Dienste!#REF!,IF(R30=Dienste!#REF!,Dienste!#REF!,IF(R30=Dienste!#REF!,Dienste!#REF!,IF(R30=Dienste!#REF!,Dienste!#REF!,IF(R30=Dienste!$A$33,Dienste!$C$33,IF(R30=Dienste!$A$34,Dienste!$C$34,IF(R30=Dienste!$A$35,Dienste!$C$35,IF(R30=Dienste!$A$36,Dienste!$C$36,)))))))))))))))))))))))))))))))))))</f>
        <v>0</v>
      </c>
      <c r="BM30" s="27">
        <f>IF(S30=Dienste!$A$2,Dienste!$C$2,IF(S30=Dienste!$A$3,Dienste!$C$3,IF(S30=Dienste!$A$4,Dienste!$C$4,IF(S30=Dienste!$A$5,Dienste!$C$5,IF(S30=Dienste!$A$6,Dienste!$C$6,IF(S30=Dienste!$A$7,Dienste!$C$7,IF(S30=Dienste!$A$8,Dienste!$C$8,IF(S30=Dienste!$A$9,Dienste!$C$9,IF(S30=Dienste!$A$10,Dienste!$C$10,IF(S30=Dienste!$A$11,Dienste!$C$11,IF(S30=Dienste!$A$12,Dienste!$C$12,IF(S30=Dienste!$A$13,Dienste!$C$13,IF(S30=Dienste!$A$14,Dienste!$C$14,IF(S30=Dienste!$A$15,Dienste!$C$15,IF(S30=Dienste!$A$16,Dienste!$C$16,IF(S30=Dienste!$A$17,Dienste!$C$17,IF(S30=Dienste!$A$18,Dienste!$C$18,IF(S30=Dienste!$A$19,Dienste!$C$19,IF(S30=Dienste!$A$20,Dienste!$C$20,IF(S30=Dienste!$A$21,Dienste!$C$21,IF(S30=Dienste!$A$22,Dienste!$C$22,IF(S30=Dienste!$A$23,Dienste!$C$23,IF(S30=Dienste!$A$24,Dienste!$C$24,IF(S30=Dienste!$A$25,Dienste!$C$25,IF(S30=Dienste!$A$26,Dienste!$C$26,IF(S30=Dienste!$A$27,Dienste!$C$27,IF(S30=Dienste!$A$28,Dienste!$C$28,IF(S30=Dienste!#REF!,Dienste!#REF!,IF(S30=Dienste!#REF!,Dienste!#REF!,IF(S30=Dienste!#REF!,Dienste!#REF!,IF(S30=Dienste!#REF!,Dienste!#REF!,IF(S30=Dienste!$A$33,Dienste!$C$33,IF(S30=Dienste!$A$34,Dienste!$C$34,IF(S30=Dienste!$A$35,Dienste!$C$35,IF(S30=Dienste!$A$36,Dienste!$C$36,)))))))))))))))))))))))))))))))))))</f>
        <v>0</v>
      </c>
      <c r="BN30" s="27">
        <f>IF(T30=Dienste!$A$2,Dienste!$C$2,IF(T30=Dienste!$A$3,Dienste!$C$3,IF(T30=Dienste!$A$4,Dienste!$C$4,IF(T30=Dienste!$A$5,Dienste!$C$5,IF(T30=Dienste!$A$6,Dienste!$C$6,IF(T30=Dienste!$A$7,Dienste!$C$7,IF(T30=Dienste!$A$8,Dienste!$C$8,IF(T30=Dienste!$A$9,Dienste!$C$9,IF(T30=Dienste!$A$10,Dienste!$C$10,IF(T30=Dienste!$A$11,Dienste!$C$11,IF(T30=Dienste!$A$12,Dienste!$C$12,IF(T30=Dienste!$A$13,Dienste!$C$13,IF(T30=Dienste!$A$14,Dienste!$C$14,IF(T30=Dienste!$A$15,Dienste!$C$15,IF(T30=Dienste!$A$16,Dienste!$C$16,IF(T30=Dienste!$A$17,Dienste!$C$17,IF(T30=Dienste!$A$18,Dienste!$C$18,IF(T30=Dienste!$A$19,Dienste!$C$19,IF(T30=Dienste!$A$20,Dienste!$C$20,IF(T30=Dienste!$A$21,Dienste!$C$21,IF(T30=Dienste!$A$22,Dienste!$C$22,IF(T30=Dienste!$A$23,Dienste!$C$23,IF(T30=Dienste!$A$24,Dienste!$C$24,IF(T30=Dienste!$A$25,Dienste!$C$25,IF(T30=Dienste!$A$26,Dienste!$C$26,IF(T30=Dienste!$A$27,Dienste!$C$27,IF(T30=Dienste!$A$28,Dienste!$C$28,IF(T30=Dienste!#REF!,Dienste!#REF!,IF(T30=Dienste!#REF!,Dienste!#REF!,IF(T30=Dienste!#REF!,Dienste!#REF!,IF(T30=Dienste!#REF!,Dienste!#REF!,IF(T30=Dienste!$A$33,Dienste!$C$33,IF(T30=Dienste!$A$34,Dienste!$C$34,IF(T30=Dienste!$A$35,Dienste!$C$35,IF(T30=Dienste!$A$36,Dienste!$C$36,)))))))))))))))))))))))))))))))))))</f>
        <v>8</v>
      </c>
      <c r="BO30" s="27">
        <f>IF(U30=Dienste!$A$2,Dienste!$C$2,IF(U30=Dienste!$A$3,Dienste!$C$3,IF(U30=Dienste!$A$4,Dienste!$C$4,IF(U30=Dienste!$A$5,Dienste!$C$5,IF(U30=Dienste!$A$6,Dienste!$C$6,IF(U30=Dienste!$A$7,Dienste!$C$7,IF(U30=Dienste!$A$8,Dienste!$C$8,IF(U30=Dienste!$A$9,Dienste!$C$9,IF(U30=Dienste!$A$10,Dienste!$C$10,IF(U30=Dienste!$A$11,Dienste!$C$11,IF(U30=Dienste!$A$12,Dienste!$C$12,IF(U30=Dienste!$A$13,Dienste!$C$13,IF(U30=Dienste!$A$14,Dienste!$C$14,IF(U30=Dienste!$A$15,Dienste!$C$15,IF(U30=Dienste!$A$16,Dienste!$C$16,IF(U30=Dienste!$A$17,Dienste!$C$17,IF(U30=Dienste!$A$18,Dienste!$C$18,IF(U30=Dienste!$A$19,Dienste!$C$19,IF(U30=Dienste!$A$20,Dienste!$C$20,IF(U30=Dienste!$A$21,Dienste!$C$21,IF(U30=Dienste!$A$22,Dienste!$C$22,IF(U30=Dienste!$A$23,Dienste!$C$23,IF(U30=Dienste!$A$24,Dienste!$C$24,IF(U30=Dienste!$A$25,Dienste!$C$25,IF(U30=Dienste!$A$26,Dienste!$C$26,IF(U30=Dienste!$A$27,Dienste!$C$27,IF(U30=Dienste!$A$28,Dienste!$C$28,IF(U30=Dienste!#REF!,Dienste!#REF!,IF(U30=Dienste!#REF!,Dienste!#REF!,IF(U30=Dienste!#REF!,Dienste!#REF!,IF(U30=Dienste!#REF!,Dienste!#REF!,IF(U30=Dienste!$A$33,Dienste!$C$33,IF(U30=Dienste!$A$34,Dienste!$C$34,IF(U30=Dienste!$A$35,Dienste!$C$35,IF(U30=Dienste!$A$36,Dienste!$C$36,)))))))))))))))))))))))))))))))))))</f>
        <v>8</v>
      </c>
      <c r="BP30" s="27">
        <f>IF(V30=Dienste!$A$2,Dienste!$C$2,IF(V30=Dienste!$A$3,Dienste!$C$3,IF(V30=Dienste!$A$4,Dienste!$C$4,IF(V30=Dienste!$A$5,Dienste!$C$5,IF(V30=Dienste!$A$6,Dienste!$C$6,IF(V30=Dienste!$A$7,Dienste!$C$7,IF(V30=Dienste!$A$8,Dienste!$C$8,IF(V30=Dienste!$A$9,Dienste!$C$9,IF(V30=Dienste!$A$10,Dienste!$C$10,IF(V30=Dienste!$A$11,Dienste!$C$11,IF(V30=Dienste!$A$12,Dienste!$C$12,IF(V30=Dienste!$A$13,Dienste!$C$13,IF(V30=Dienste!$A$14,Dienste!$C$14,IF(V30=Dienste!$A$15,Dienste!$C$15,IF(V30=Dienste!$A$16,Dienste!$C$16,IF(V30=Dienste!$A$17,Dienste!$C$17,IF(V30=Dienste!$A$18,Dienste!$C$18,IF(V30=Dienste!$A$19,Dienste!$C$19,IF(V30=Dienste!$A$20,Dienste!$C$20,IF(V30=Dienste!$A$21,Dienste!$C$21,IF(V30=Dienste!$A$22,Dienste!$C$22,IF(V30=Dienste!$A$23,Dienste!$C$23,IF(V30=Dienste!$A$24,Dienste!$C$24,IF(V30=Dienste!$A$25,Dienste!$C$25,IF(V30=Dienste!$A$26,Dienste!$C$26,IF(V30=Dienste!$A$27,Dienste!$C$27,IF(V30=Dienste!$A$28,Dienste!$C$28,IF(V30=Dienste!#REF!,Dienste!#REF!,IF(V30=Dienste!#REF!,Dienste!#REF!,IF(V30=Dienste!#REF!,Dienste!#REF!,IF(V30=Dienste!#REF!,Dienste!#REF!,IF(V30=Dienste!$A$33,Dienste!$C$33,IF(V30=Dienste!$A$34,Dienste!$C$34,IF(V30=Dienste!$A$35,Dienste!$C$35,IF(V30=Dienste!$A$36,Dienste!$C$36,)))))))))))))))))))))))))))))))))))</f>
        <v>8</v>
      </c>
      <c r="BQ30" s="27">
        <f>IF(W30=Dienste!$A$2,Dienste!$C$2,IF(W30=Dienste!$A$3,Dienste!$C$3,IF(W30=Dienste!$A$4,Dienste!$C$4,IF(W30=Dienste!$A$5,Dienste!$C$5,IF(W30=Dienste!$A$6,Dienste!$C$6,IF(W30=Dienste!$A$7,Dienste!$C$7,IF(W30=Dienste!$A$8,Dienste!$C$8,IF(W30=Dienste!$A$9,Dienste!$C$9,IF(W30=Dienste!$A$10,Dienste!$C$10,IF(W30=Dienste!$A$11,Dienste!$C$11,IF(W30=Dienste!$A$12,Dienste!$C$12,IF(W30=Dienste!$A$13,Dienste!$C$13,IF(W30=Dienste!$A$14,Dienste!$C$14,IF(W30=Dienste!$A$15,Dienste!$C$15,IF(W30=Dienste!$A$16,Dienste!$C$16,IF(W30=Dienste!$A$17,Dienste!$C$17,IF(W30=Dienste!$A$18,Dienste!$C$18,IF(W30=Dienste!$A$19,Dienste!$C$19,IF(W30=Dienste!$A$20,Dienste!$C$20,IF(W30=Dienste!$A$21,Dienste!$C$21,IF(W30=Dienste!$A$22,Dienste!$C$22,IF(W30=Dienste!$A$23,Dienste!$C$23,IF(W30=Dienste!$A$24,Dienste!$C$24,IF(W30=Dienste!$A$25,Dienste!$C$25,IF(W30=Dienste!$A$26,Dienste!$C$26,IF(W30=Dienste!$A$27,Dienste!$C$27,IF(W30=Dienste!$A$28,Dienste!$C$28,IF(W30=Dienste!#REF!,Dienste!#REF!,IF(W30=Dienste!#REF!,Dienste!#REF!,IF(W30=Dienste!#REF!,Dienste!#REF!,IF(W30=Dienste!#REF!,Dienste!#REF!,IF(W30=Dienste!$A$33,Dienste!$C$33,IF(W30=Dienste!$A$34,Dienste!$C$34,IF(W30=Dienste!$A$35,Dienste!$C$35,IF(W30=Dienste!$A$36,Dienste!$C$36,)))))))))))))))))))))))))))))))))))</f>
        <v>8</v>
      </c>
      <c r="BR30" s="27">
        <f>IF(X30=Dienste!$A$2,Dienste!$C$2,IF(X30=Dienste!$A$3,Dienste!$C$3,IF(X30=Dienste!$A$4,Dienste!$C$4,IF(X30=Dienste!$A$5,Dienste!$C$5,IF(X30=Dienste!$A$6,Dienste!$C$6,IF(X30=Dienste!$A$7,Dienste!$C$7,IF(X30=Dienste!$A$8,Dienste!$C$8,IF(X30=Dienste!$A$9,Dienste!$C$9,IF(X30=Dienste!$A$10,Dienste!$C$10,IF(X30=Dienste!$A$11,Dienste!$C$11,IF(X30=Dienste!$A$12,Dienste!$C$12,IF(X30=Dienste!$A$13,Dienste!$C$13,IF(X30=Dienste!$A$14,Dienste!$C$14,IF(X30=Dienste!$A$15,Dienste!$C$15,IF(X30=Dienste!$A$16,Dienste!$C$16,IF(X30=Dienste!$A$17,Dienste!$C$17,IF(X30=Dienste!$A$18,Dienste!$C$18,IF(X30=Dienste!$A$19,Dienste!$C$19,IF(X30=Dienste!$A$20,Dienste!$C$20,IF(X30=Dienste!$A$21,Dienste!$C$21,IF(X30=Dienste!$A$22,Dienste!$C$22,IF(X30=Dienste!$A$23,Dienste!$C$23,IF(X30=Dienste!$A$24,Dienste!$C$24,IF(X30=Dienste!$A$25,Dienste!$C$25,IF(X30=Dienste!$A$26,Dienste!$C$26,IF(X30=Dienste!$A$27,Dienste!$C$27,IF(X30=Dienste!$A$28,Dienste!$C$28,IF(X30=Dienste!#REF!,Dienste!#REF!,IF(X30=Dienste!#REF!,Dienste!#REF!,IF(X30=Dienste!#REF!,Dienste!#REF!,IF(X30=Dienste!#REF!,Dienste!#REF!,IF(X30=Dienste!$A$33,Dienste!$C$33,IF(X30=Dienste!$A$34,Dienste!$C$34,IF(X30=Dienste!$A$35,Dienste!$C$35,IF(X30=Dienste!$A$36,Dienste!$C$36,)))))))))))))))))))))))))))))))))))</f>
        <v>8</v>
      </c>
      <c r="BS30" s="27">
        <f>IF(Y30=Dienste!$A$2,Dienste!$C$2,IF(Y30=Dienste!$A$3,Dienste!$C$3,IF(Y30=Dienste!$A$4,Dienste!$C$4,IF(Y30=Dienste!$A$5,Dienste!$C$5,IF(Y30=Dienste!$A$6,Dienste!$C$6,IF(Y30=Dienste!$A$7,Dienste!$C$7,IF(Y30=Dienste!$A$8,Dienste!$C$8,IF(Y30=Dienste!$A$9,Dienste!$C$9,IF(Y30=Dienste!$A$10,Dienste!$C$10,IF(Y30=Dienste!$A$11,Dienste!$C$11,IF(Y30=Dienste!$A$12,Dienste!$C$12,IF(Y30=Dienste!$A$13,Dienste!$C$13,IF(Y30=Dienste!$A$14,Dienste!$C$14,IF(Y30=Dienste!$A$15,Dienste!$C$15,IF(Y30=Dienste!$A$16,Dienste!$C$16,IF(Y30=Dienste!$A$17,Dienste!$C$17,IF(Y30=Dienste!$A$18,Dienste!$C$18,IF(Y30=Dienste!$A$19,Dienste!$C$19,IF(Y30=Dienste!$A$20,Dienste!$C$20,IF(Y30=Dienste!$A$21,Dienste!$C$21,IF(Y30=Dienste!$A$22,Dienste!$C$22,IF(Y30=Dienste!$A$23,Dienste!$C$23,IF(Y30=Dienste!$A$24,Dienste!$C$24,IF(Y30=Dienste!$A$25,Dienste!$C$25,IF(Y30=Dienste!$A$26,Dienste!$C$26,IF(Y30=Dienste!$A$27,Dienste!$C$27,IF(Y30=Dienste!$A$28,Dienste!$C$28,IF(Y30=Dienste!#REF!,Dienste!#REF!,IF(Y30=Dienste!#REF!,Dienste!#REF!,IF(Y30=Dienste!#REF!,Dienste!#REF!,IF(Y30=Dienste!#REF!,Dienste!#REF!,IF(Y30=Dienste!$A$33,Dienste!$C$33,IF(Y30=Dienste!$A$34,Dienste!$C$34,IF(Y30=Dienste!$A$35,Dienste!$C$35,IF(Y30=Dienste!$A$36,Dienste!$C$36,)))))))))))))))))))))))))))))))))))</f>
        <v>0</v>
      </c>
      <c r="BT30" s="27">
        <f>IF(Z30=Dienste!$A$2,Dienste!$C$2,IF(Z30=Dienste!$A$3,Dienste!$C$3,IF(Z30=Dienste!$A$4,Dienste!$C$4,IF(Z30=Dienste!$A$5,Dienste!$C$5,IF(Z30=Dienste!$A$6,Dienste!$C$6,IF(Z30=Dienste!$A$7,Dienste!$C$7,IF(Z30=Dienste!$A$8,Dienste!$C$8,IF(Z30=Dienste!$A$9,Dienste!$C$9,IF(Z30=Dienste!$A$10,Dienste!$C$10,IF(Z30=Dienste!$A$11,Dienste!$C$11,IF(Z30=Dienste!$A$12,Dienste!$C$12,IF(Z30=Dienste!$A$13,Dienste!$C$13,IF(Z30=Dienste!$A$14,Dienste!$C$14,IF(Z30=Dienste!$A$15,Dienste!$C$15,IF(Z30=Dienste!$A$16,Dienste!$C$16,IF(Z30=Dienste!$A$17,Dienste!$C$17,IF(Z30=Dienste!$A$18,Dienste!$C$18,IF(Z30=Dienste!$A$19,Dienste!$C$19,IF(Z30=Dienste!$A$20,Dienste!$C$20,IF(Z30=Dienste!$A$21,Dienste!$C$21,IF(Z30=Dienste!$A$22,Dienste!$C$22,IF(Z30=Dienste!$A$23,Dienste!$C$23,IF(Z30=Dienste!$A$24,Dienste!$C$24,IF(Z30=Dienste!$A$25,Dienste!$C$25,IF(Z30=Dienste!$A$26,Dienste!$C$26,IF(Z30=Dienste!$A$27,Dienste!$C$27,IF(Z30=Dienste!$A$28,Dienste!$C$28,IF(Z30=Dienste!#REF!,Dienste!#REF!,IF(Z30=Dienste!#REF!,Dienste!#REF!,IF(Z30=Dienste!#REF!,Dienste!#REF!,IF(Z30=Dienste!#REF!,Dienste!#REF!,IF(Z30=Dienste!$A$33,Dienste!$C$33,IF(Z30=Dienste!$A$34,Dienste!$C$34,IF(Z30=Dienste!$A$35,Dienste!$C$35,IF(Z30=Dienste!$A$36,Dienste!$C$36,)))))))))))))))))))))))))))))))))))</f>
        <v>0</v>
      </c>
      <c r="BU30" s="27">
        <f>IF(AA30=Dienste!$A$2,Dienste!$C$2,IF(AA30=Dienste!$A$3,Dienste!$C$3,IF(AA30=Dienste!$A$4,Dienste!$C$4,IF(AA30=Dienste!$A$5,Dienste!$C$5,IF(AA30=Dienste!$A$6,Dienste!$C$6,IF(AA30=Dienste!$A$7,Dienste!$C$7,IF(AA30=Dienste!$A$8,Dienste!$C$8,IF(AA30=Dienste!$A$9,Dienste!$C$9,IF(AA30=Dienste!$A$10,Dienste!$C$10,IF(AA30=Dienste!$A$11,Dienste!$C$11,IF(AA30=Dienste!$A$12,Dienste!$C$12,IF(AA30=Dienste!$A$13,Dienste!$C$13,IF(AA30=Dienste!$A$14,Dienste!$C$14,IF(AA30=Dienste!$A$15,Dienste!$C$15,IF(AA30=Dienste!$A$16,Dienste!$C$16,IF(AA30=Dienste!$A$17,Dienste!$C$17,IF(AA30=Dienste!$A$18,Dienste!$C$18,IF(AA30=Dienste!$A$19,Dienste!$C$19,IF(AA30=Dienste!$A$20,Dienste!$C$20,IF(AA30=Dienste!$A$21,Dienste!$C$21,IF(AA30=Dienste!$A$22,Dienste!$C$22,IF(AA30=Dienste!$A$23,Dienste!$C$23,IF(AA30=Dienste!$A$24,Dienste!$C$24,IF(AA30=Dienste!$A$25,Dienste!$C$25,IF(AA30=Dienste!$A$26,Dienste!$C$26,IF(AA30=Dienste!$A$27,Dienste!$C$27,IF(AA30=Dienste!$A$28,Dienste!$C$28,IF(AA30=Dienste!#REF!,Dienste!#REF!,IF(AA30=Dienste!#REF!,Dienste!#REF!,IF(AA30=Dienste!#REF!,Dienste!#REF!,IF(AA30=Dienste!#REF!,Dienste!#REF!,IF(AA30=Dienste!$A$33,Dienste!$C$33,IF(AA30=Dienste!$A$34,Dienste!$C$34,IF(AA30=Dienste!$A$35,Dienste!$C$35,IF(AA30=Dienste!$A$36,Dienste!$C$36,)))))))))))))))))))))))))))))))))))</f>
        <v>8</v>
      </c>
      <c r="BV30" s="27">
        <f>IF(AB30=Dienste!$A$2,Dienste!$C$2,IF(AB30=Dienste!$A$3,Dienste!$C$3,IF(AB30=Dienste!$A$4,Dienste!$C$4,IF(AB30=Dienste!$A$5,Dienste!$C$5,IF(AB30=Dienste!$A$6,Dienste!$C$6,IF(AB30=Dienste!$A$7,Dienste!$C$7,IF(AB30=Dienste!$A$8,Dienste!$C$8,IF(AB30=Dienste!$A$9,Dienste!$C$9,IF(AB30=Dienste!$A$10,Dienste!$C$10,IF(AB30=Dienste!$A$11,Dienste!$C$11,IF(AB30=Dienste!$A$12,Dienste!$C$12,IF(AB30=Dienste!$A$13,Dienste!$C$13,IF(AB30=Dienste!$A$14,Dienste!$C$14,IF(AB30=Dienste!$A$15,Dienste!$C$15,IF(AB30=Dienste!$A$16,Dienste!$C$16,IF(AB30=Dienste!$A$17,Dienste!$C$17,IF(AB30=Dienste!$A$18,Dienste!$C$18,IF(AB30=Dienste!$A$19,Dienste!$C$19,IF(AB30=Dienste!$A$20,Dienste!$C$20,IF(AB30=Dienste!$A$21,Dienste!$C$21,IF(AB30=Dienste!$A$22,Dienste!$C$22,IF(AB30=Dienste!$A$23,Dienste!$C$23,IF(AB30=Dienste!$A$24,Dienste!$C$24,IF(AB30=Dienste!$A$25,Dienste!$C$25,IF(AB30=Dienste!$A$26,Dienste!$C$26,IF(AB30=Dienste!$A$27,Dienste!$C$27,IF(AB30=Dienste!$A$28,Dienste!$C$28,IF(AB30=Dienste!#REF!,Dienste!#REF!,IF(AB30=Dienste!#REF!,Dienste!#REF!,IF(AB30=Dienste!#REF!,Dienste!#REF!,IF(AB30=Dienste!#REF!,Dienste!#REF!,IF(AB30=Dienste!$A$33,Dienste!$C$33,IF(AB30=Dienste!$A$34,Dienste!$C$34,IF(AB30=Dienste!$A$35,Dienste!$C$35,IF(AB30=Dienste!$A$36,Dienste!$C$36,)))))))))))))))))))))))))))))))))))</f>
        <v>8</v>
      </c>
      <c r="BW30" s="27">
        <f>IF(AC30=Dienste!$A$2,Dienste!$C$2,IF(AC30=Dienste!$A$3,Dienste!$C$3,IF(AC30=Dienste!$A$4,Dienste!$C$4,IF(AC30=Dienste!$A$5,Dienste!$C$5,IF(AC30=Dienste!$A$6,Dienste!$C$6,IF(AC30=Dienste!$A$7,Dienste!$C$7,IF(AC30=Dienste!$A$8,Dienste!$C$8,IF(AC30=Dienste!$A$9,Dienste!$C$9,IF(AC30=Dienste!$A$10,Dienste!$C$10,IF(AC30=Dienste!$A$11,Dienste!$C$11,IF(AC30=Dienste!$A$12,Dienste!$C$12,IF(AC30=Dienste!$A$13,Dienste!$C$13,IF(AC30=Dienste!$A$14,Dienste!$C$14,IF(AC30=Dienste!$A$15,Dienste!$C$15,IF(AC30=Dienste!$A$16,Dienste!$C$16,IF(AC30=Dienste!$A$17,Dienste!$C$17,IF(AC30=Dienste!$A$18,Dienste!$C$18,IF(AC30=Dienste!$A$19,Dienste!$C$19,IF(AC30=Dienste!$A$20,Dienste!$C$20,IF(AC30=Dienste!$A$21,Dienste!$C$21,IF(AC30=Dienste!$A$22,Dienste!$C$22,IF(AC30=Dienste!$A$23,Dienste!$C$23,IF(AC30=Dienste!$A$24,Dienste!$C$24,IF(AC30=Dienste!$A$25,Dienste!$C$25,IF(AC30=Dienste!$A$26,Dienste!$C$26,IF(AC30=Dienste!$A$27,Dienste!$C$27,IF(AC30=Dienste!$A$28,Dienste!$C$28,IF(AC30=Dienste!#REF!,Dienste!#REF!,IF(AC30=Dienste!#REF!,Dienste!#REF!,IF(AC30=Dienste!#REF!,Dienste!#REF!,IF(AC30=Dienste!#REF!,Dienste!#REF!,IF(AC30=Dienste!$A$33,Dienste!$C$33,IF(AC30=Dienste!$A$34,Dienste!$C$34,IF(AC30=Dienste!$A$35,Dienste!$C$35,IF(AC30=Dienste!$A$36,Dienste!$C$36,)))))))))))))))))))))))))))))))))))</f>
        <v>8</v>
      </c>
      <c r="BX30" s="27">
        <f>IF(AD30=Dienste!$A$2,Dienste!$C$2,IF(AD30=Dienste!$A$3,Dienste!$C$3,IF(AD30=Dienste!$A$4,Dienste!$C$4,IF(AD30=Dienste!$A$5,Dienste!$C$5,IF(AD30=Dienste!$A$6,Dienste!$C$6,IF(AD30=Dienste!$A$7,Dienste!$C$7,IF(AD30=Dienste!$A$8,Dienste!$C$8,IF(AD30=Dienste!$A$9,Dienste!$C$9,IF(AD30=Dienste!$A$10,Dienste!$C$10,IF(AD30=Dienste!$A$11,Dienste!$C$11,IF(AD30=Dienste!$A$12,Dienste!$C$12,IF(AD30=Dienste!$A$13,Dienste!$C$13,IF(AD30=Dienste!$A$14,Dienste!$C$14,IF(AD30=Dienste!$A$15,Dienste!$C$15,IF(AD30=Dienste!$A$16,Dienste!$C$16,IF(AD30=Dienste!$A$17,Dienste!$C$17,IF(AD30=Dienste!$A$18,Dienste!$C$18,IF(AD30=Dienste!$A$19,Dienste!$C$19,IF(AD30=Dienste!$A$20,Dienste!$C$20,IF(AD30=Dienste!$A$21,Dienste!$C$21,IF(AD30=Dienste!$A$22,Dienste!$C$22,IF(AD30=Dienste!$A$23,Dienste!$C$23,IF(AD30=Dienste!$A$24,Dienste!$C$24,IF(AD30=Dienste!$A$25,Dienste!$C$25,IF(AD30=Dienste!$A$26,Dienste!$C$26,IF(AD30=Dienste!$A$27,Dienste!$C$27,IF(AD30=Dienste!$A$28,Dienste!$C$28,IF(AD30=Dienste!#REF!,Dienste!#REF!,IF(AD30=Dienste!#REF!,Dienste!#REF!,IF(AD30=Dienste!#REF!,Dienste!#REF!,IF(AD30=Dienste!#REF!,Dienste!#REF!,IF(AD30=Dienste!$A$33,Dienste!$C$33,IF(AD30=Dienste!$A$34,Dienste!$C$34,IF(AD30=Dienste!$A$35,Dienste!$C$35,IF(AD30=Dienste!$A$36,Dienste!$C$36,)))))))))))))))))))))))))))))))))))</f>
        <v>8</v>
      </c>
      <c r="BY30" s="27">
        <f>IF(AE30=Dienste!$A$2,Dienste!$C$2,IF(AE30=Dienste!$A$3,Dienste!$C$3,IF(AE30=Dienste!$A$4,Dienste!$C$4,IF(AE30=Dienste!$A$5,Dienste!$C$5,IF(AE30=Dienste!$A$6,Dienste!$C$6,IF(AE30=Dienste!$A$7,Dienste!$C$7,IF(AE30=Dienste!$A$8,Dienste!$C$8,IF(AE30=Dienste!$A$9,Dienste!$C$9,IF(AE30=Dienste!$A$10,Dienste!$C$10,IF(AE30=Dienste!$A$11,Dienste!$C$11,IF(AE30=Dienste!$A$12,Dienste!$C$12,IF(AE30=Dienste!$A$13,Dienste!$C$13,IF(AE30=Dienste!$A$14,Dienste!$C$14,IF(AE30=Dienste!$A$15,Dienste!$C$15,IF(AE30=Dienste!$A$16,Dienste!$C$16,IF(AE30=Dienste!$A$17,Dienste!$C$17,IF(AE30=Dienste!$A$18,Dienste!$C$18,IF(AE30=Dienste!$A$19,Dienste!$C$19,IF(AE30=Dienste!$A$20,Dienste!$C$20,IF(AE30=Dienste!$A$21,Dienste!$C$21,IF(AE30=Dienste!$A$22,Dienste!$C$22,IF(AE30=Dienste!$A$23,Dienste!$C$23,IF(AE30=Dienste!$A$24,Dienste!$C$24,IF(AE30=Dienste!$A$25,Dienste!$C$25,IF(AE30=Dienste!$A$26,Dienste!$C$26,IF(AE30=Dienste!$A$27,Dienste!$C$27,IF(AE30=Dienste!$A$28,Dienste!$C$28,IF(AE30=Dienste!#REF!,Dienste!#REF!,IF(AE30=Dienste!#REF!,Dienste!#REF!,IF(AE30=Dienste!#REF!,Dienste!#REF!,IF(AE30=Dienste!#REF!,Dienste!#REF!,IF(AE30=Dienste!$A$33,Dienste!$C$33,IF(AE30=Dienste!$A$34,Dienste!$C$34,IF(AE30=Dienste!$A$35,Dienste!$C$35,IF(AE30=Dienste!$A$36,Dienste!$C$36,)))))))))))))))))))))))))))))))))))</f>
        <v>8</v>
      </c>
      <c r="BZ30" s="27">
        <f>IF(AF30=Dienste!$A$2,Dienste!$C$2,IF(AF30=Dienste!$A$3,Dienste!$C$3,IF(AF30=Dienste!$A$4,Dienste!$C$4,IF(AF30=Dienste!$A$5,Dienste!$C$5,IF(AF30=Dienste!$A$6,Dienste!$C$6,IF(AF30=Dienste!$A$7,Dienste!$C$7,IF(AF30=Dienste!$A$8,Dienste!$C$8,IF(AF30=Dienste!$A$9,Dienste!$C$9,IF(AF30=Dienste!$A$10,Dienste!$C$10,IF(AF30=Dienste!$A$11,Dienste!$C$11,IF(AF30=Dienste!$A$12,Dienste!$C$12,IF(AF30=Dienste!$A$13,Dienste!$C$13,IF(AF30=Dienste!$A$14,Dienste!$C$14,IF(AF30=Dienste!$A$15,Dienste!$C$15,IF(AF30=Dienste!$A$16,Dienste!$C$16,IF(AF30=Dienste!$A$17,Dienste!$C$17,IF(AF30=Dienste!$A$18,Dienste!$C$18,IF(AF30=Dienste!$A$19,Dienste!$C$19,IF(AF30=Dienste!$A$20,Dienste!$C$20,IF(AF30=Dienste!$A$21,Dienste!$C$21,IF(AF30=Dienste!$A$22,Dienste!$C$22,IF(AF30=Dienste!$A$23,Dienste!$C$23,IF(AF30=Dienste!$A$24,Dienste!$C$24,IF(AF30=Dienste!$A$25,Dienste!$C$25,IF(AF30=Dienste!$A$26,Dienste!$C$26,IF(AF30=Dienste!$A$27,Dienste!$C$27,IF(AF30=Dienste!$A$28,Dienste!$C$28,IF(AF30=Dienste!#REF!,Dienste!#REF!,IF(AF30=Dienste!#REF!,Dienste!#REF!,IF(AF30=Dienste!#REF!,Dienste!#REF!,IF(AF30=Dienste!#REF!,Dienste!#REF!,IF(AF30=Dienste!$A$33,Dienste!$C$33,IF(AF30=Dienste!$A$34,Dienste!$C$34,IF(AF30=Dienste!$A$35,Dienste!$C$35,IF(AF30=Dienste!$A$36,Dienste!$C$36,)))))))))))))))))))))))))))))))))))</f>
        <v>0</v>
      </c>
      <c r="CA30" s="27">
        <f>IF(AG30=Dienste!$A$2,Dienste!$C$2,IF(AG30=Dienste!$A$3,Dienste!$C$3,IF(AG30=Dienste!$A$4,Dienste!$C$4,IF(AG30=Dienste!$A$5,Dienste!$C$5,IF(AG30=Dienste!$A$6,Dienste!$C$6,IF(AG30=Dienste!$A$7,Dienste!$C$7,IF(AG30=Dienste!$A$8,Dienste!$C$8,IF(AG30=Dienste!$A$9,Dienste!$C$9,IF(AG30=Dienste!$A$10,Dienste!$C$10,IF(AG30=Dienste!$A$11,Dienste!$C$11,IF(AG30=Dienste!$A$12,Dienste!$C$12,IF(AG30=Dienste!$A$13,Dienste!$C$13,IF(AG30=Dienste!$A$14,Dienste!$C$14,IF(AG30=Dienste!$A$15,Dienste!$C$15,IF(AG30=Dienste!$A$16,Dienste!$C$16,IF(AG30=Dienste!$A$17,Dienste!$C$17,IF(AG30=Dienste!$A$18,Dienste!$C$18,IF(AG30=Dienste!$A$19,Dienste!$C$19,IF(AG30=Dienste!$A$20,Dienste!$C$20,IF(AG30=Dienste!$A$21,Dienste!$C$21,IF(AG30=Dienste!$A$22,Dienste!$C$22,IF(AG30=Dienste!$A$23,Dienste!$C$23,IF(AG30=Dienste!$A$24,Dienste!$C$24,IF(AG30=Dienste!$A$25,Dienste!$C$25,IF(AG30=Dienste!$A$26,Dienste!$C$26,IF(AG30=Dienste!$A$27,Dienste!$C$27,IF(AG30=Dienste!$A$28,Dienste!$C$28,IF(AG30=Dienste!#REF!,Dienste!#REF!,IF(AG30=Dienste!#REF!,Dienste!#REF!,IF(AG30=Dienste!#REF!,Dienste!#REF!,IF(AG30=Dienste!#REF!,Dienste!#REF!,IF(AG30=Dienste!$A$33,Dienste!$C$33,IF(AG30=Dienste!$A$34,Dienste!$C$34,IF(AG30=Dienste!$A$35,Dienste!$C$35,IF(AG30=Dienste!$A$36,Dienste!$C$36,)))))))))))))))))))))))))))))))))))</f>
        <v>0</v>
      </c>
      <c r="CB30" s="27">
        <f>IF(AH30=Dienste!$A$2,Dienste!$C$2,IF(AH30=Dienste!$A$3,Dienste!$C$3,IF(AH30=Dienste!$A$4,Dienste!$C$4,IF(AH30=Dienste!$A$5,Dienste!$C$5,IF(AH30=Dienste!$A$6,Dienste!$C$6,IF(AH30=Dienste!$A$7,Dienste!$C$7,IF(AH30=Dienste!$A$8,Dienste!$C$8,IF(AH30=Dienste!$A$9,Dienste!$C$9,IF(AH30=Dienste!$A$10,Dienste!$C$10,IF(AH30=Dienste!$A$11,Dienste!$C$11,IF(AH30=Dienste!$A$12,Dienste!$C$12,IF(AH30=Dienste!$A$13,Dienste!$C$13,IF(AH30=Dienste!$A$14,Dienste!$C$14,IF(AH30=Dienste!$A$15,Dienste!$C$15,IF(AH30=Dienste!$A$16,Dienste!$C$16,IF(AH30=Dienste!$A$17,Dienste!$C$17,IF(AH30=Dienste!$A$18,Dienste!$C$18,IF(AH30=Dienste!$A$19,Dienste!$C$19,IF(AH30=Dienste!$A$20,Dienste!$C$20,IF(AH30=Dienste!$A$21,Dienste!$C$21,IF(AH30=Dienste!$A$22,Dienste!$C$22,IF(AH30=Dienste!$A$23,Dienste!$C$23,IF(AH30=Dienste!$A$24,Dienste!$C$24,IF(AH30=Dienste!$A$25,Dienste!$C$25,IF(AH30=Dienste!$A$26,Dienste!$C$26,IF(AH30=Dienste!$A$27,Dienste!$C$27,IF(AH30=Dienste!$A$28,Dienste!$C$28,IF(AH30=Dienste!#REF!,Dienste!#REF!,IF(AH30=Dienste!#REF!,Dienste!#REF!,IF(AH30=Dienste!#REF!,Dienste!#REF!,IF(AH30=Dienste!#REF!,Dienste!#REF!,IF(AH30=Dienste!$A$33,Dienste!$C$33,IF(AH30=Dienste!$A$34,Dienste!$C$34,IF(AH30=Dienste!$A$35,Dienste!$C$35,IF(AH30=Dienste!$A$36,Dienste!$C$36,)))))))))))))))))))))))))))))))))))</f>
        <v>8</v>
      </c>
      <c r="CC30" s="27" t="e">
        <f>IF(AI30=Dienste!$A$2,Dienste!$C$2,IF(AI30=Dienste!$A$3,Dienste!$C$3,IF(AI30=Dienste!$A$4,Dienste!$C$4,IF(AI30=Dienste!$A$5,Dienste!$C$5,IF(AI30=Dienste!$A$6,Dienste!$C$6,IF(AI30=Dienste!$A$7,Dienste!$C$7,IF(AI30=Dienste!$A$8,Dienste!$C$8,IF(AI30=Dienste!$A$9,Dienste!$C$9,IF(AI30=Dienste!$A$10,Dienste!$C$10,IF(AI30=Dienste!$A$11,Dienste!$C$11,IF(AI30=Dienste!$A$12,Dienste!$C$12,IF(AI30=Dienste!$A$13,Dienste!$C$13,IF(AI30=Dienste!$A$14,Dienste!$C$14,IF(AI30=Dienste!$A$15,Dienste!$C$15,IF(AI30=Dienste!$A$16,Dienste!$C$16,IF(AI30=Dienste!$A$17,Dienste!$C$17,IF(AI30=Dienste!$A$18,Dienste!$C$18,IF(AI30=Dienste!$A$19,Dienste!$C$19,IF(AI30=Dienste!$A$20,Dienste!$C$20,IF(AI30=Dienste!$A$21,Dienste!$C$21,IF(AI30=Dienste!$A$22,Dienste!$C$22,IF(AI30=Dienste!$A$23,Dienste!$C$23,IF(AI30=Dienste!$A$24,Dienste!$C$24,IF(AI30=Dienste!$A$25,Dienste!$C$25,IF(AI30=Dienste!$A$26,Dienste!$C$26,IF(AI30=Dienste!$A$27,Dienste!$C$27,IF(AI30=Dienste!$A$28,Dienste!$C$28,IF(AI30=Dienste!#REF!,Dienste!#REF!,IF(AI30=Dienste!#REF!,Dienste!#REF!,IF(AI30=Dienste!#REF!,Dienste!#REF!,IF(AI30=Dienste!#REF!,Dienste!#REF!,IF(AI30=Dienste!$A$33,Dienste!$C$33,IF(AI30=Dienste!$A$34,Dienste!$C$34,IF(AI30=Dienste!$A$35,Dienste!$C$35,IF(AI30=Dienste!$A$36,Dienste!$C$36,)))))))))))))))))))))))))))))))))))</f>
        <v>#REF!</v>
      </c>
    </row>
    <row r="31" spans="1:81" x14ac:dyDescent="0.25">
      <c r="A31" s="109" t="s">
        <v>143</v>
      </c>
      <c r="B31" s="15" t="s">
        <v>230</v>
      </c>
      <c r="C31" s="15">
        <v>40</v>
      </c>
      <c r="D31" s="98">
        <v>1</v>
      </c>
      <c r="E31" s="104" t="s">
        <v>83</v>
      </c>
      <c r="F31" s="9" t="s">
        <v>31</v>
      </c>
      <c r="G31" s="9" t="s">
        <v>364</v>
      </c>
      <c r="H31" s="9" t="s">
        <v>65</v>
      </c>
      <c r="I31" s="9" t="s">
        <v>31</v>
      </c>
      <c r="J31" s="9" t="s">
        <v>80</v>
      </c>
      <c r="K31" s="9" t="s">
        <v>83</v>
      </c>
      <c r="L31" s="9" t="s">
        <v>83</v>
      </c>
      <c r="M31" s="9" t="s">
        <v>31</v>
      </c>
      <c r="N31" s="9" t="s">
        <v>17</v>
      </c>
      <c r="O31" s="9" t="s">
        <v>65</v>
      </c>
      <c r="P31" s="9" t="s">
        <v>31</v>
      </c>
      <c r="Q31" s="9" t="s">
        <v>31</v>
      </c>
      <c r="R31" s="9" t="s">
        <v>83</v>
      </c>
      <c r="S31" s="9" t="s">
        <v>83</v>
      </c>
      <c r="T31" s="9" t="s">
        <v>365</v>
      </c>
      <c r="U31" s="9" t="s">
        <v>31</v>
      </c>
      <c r="V31" s="9" t="s">
        <v>31</v>
      </c>
      <c r="W31" s="9" t="s">
        <v>31</v>
      </c>
      <c r="X31" s="9" t="s">
        <v>31</v>
      </c>
      <c r="Y31" s="9" t="s">
        <v>83</v>
      </c>
      <c r="Z31" s="9" t="s">
        <v>370</v>
      </c>
      <c r="AA31" s="9" t="s">
        <v>65</v>
      </c>
      <c r="AB31" s="9" t="s">
        <v>31</v>
      </c>
      <c r="AC31" s="9" t="s">
        <v>31</v>
      </c>
      <c r="AD31" s="9" t="s">
        <v>364</v>
      </c>
      <c r="AE31" s="9" t="s">
        <v>65</v>
      </c>
      <c r="AF31" s="9" t="s">
        <v>84</v>
      </c>
      <c r="AG31" s="9" t="s">
        <v>84</v>
      </c>
      <c r="AH31" s="9" t="s">
        <v>63</v>
      </c>
      <c r="AI31" s="15"/>
      <c r="AJ31" s="109">
        <v>20.399999999999999</v>
      </c>
      <c r="AK31" s="15">
        <v>168</v>
      </c>
      <c r="AL31" s="109">
        <v>168</v>
      </c>
      <c r="AM31" s="15">
        <v>20.399999999999999</v>
      </c>
      <c r="AN31" s="170">
        <v>0</v>
      </c>
      <c r="AO31" s="109">
        <v>19.25</v>
      </c>
      <c r="AP31" s="15">
        <v>5</v>
      </c>
      <c r="AQ31" s="98">
        <v>3</v>
      </c>
      <c r="AR31" s="109">
        <v>60</v>
      </c>
      <c r="AS31" s="15">
        <v>42.424999999999997</v>
      </c>
      <c r="AT31" s="98">
        <v>26</v>
      </c>
      <c r="AU31" s="96" t="e">
        <f t="shared" si="2"/>
        <v>#REF!</v>
      </c>
      <c r="AV31" s="27" t="e">
        <f t="shared" si="0"/>
        <v>#REF!</v>
      </c>
      <c r="AW31" s="58" t="e">
        <f t="shared" si="1"/>
        <v>#REF!</v>
      </c>
      <c r="AY31" s="27">
        <f>IF(E31=Dienste!$A$2,Dienste!$C$2,IF(E31=Dienste!$A$3,Dienste!$C$3,IF(E31=Dienste!$A$4,Dienste!$C$4,IF(E31=Dienste!$A$5,Dienste!$C$5,IF(E31=Dienste!$A$6,Dienste!$C$6,IF(E31=Dienste!$A$7,Dienste!$C$7,IF(E31=Dienste!$A$8,Dienste!$C$8,IF(E31=Dienste!$A$9,Dienste!$C$9,IF(E31=Dienste!$A$10,Dienste!$C$10,IF(E31=Dienste!$A$11,Dienste!$C$11,IF(E31=Dienste!$A$12,Dienste!$C$12,IF(E31=Dienste!$A$13,Dienste!$C$13,IF(E31=Dienste!$A$14,Dienste!$C$14,IF(E31=Dienste!$A$15,Dienste!$C$15,IF(E31=Dienste!$A$16,Dienste!$C$16,IF(E31=Dienste!$A$17,Dienste!$C$17,IF(E31=Dienste!$A$18,Dienste!$C$18,IF(E31=Dienste!$A$19,Dienste!$C$19,IF(E31=Dienste!$A$20,Dienste!$C$20,IF(E31=Dienste!$A$21,Dienste!$C$21,IF(E31=Dienste!$A$22,Dienste!$C$22,IF(E31=Dienste!$A$23,Dienste!$C$23,IF(E31=Dienste!$A$24,Dienste!$C$24,IF(E31=Dienste!$A$25,Dienste!$C$25,IF(E31=Dienste!$A$26,Dienste!$C$26,IF(E31=Dienste!$A$27,Dienste!$C$27,IF(E31=Dienste!$A$28,Dienste!$C$28,IF(E31=Dienste!#REF!,Dienste!#REF!,IF(E31=Dienste!#REF!,Dienste!#REF!,IF(E31=Dienste!#REF!,Dienste!#REF!,IF(E31=Dienste!#REF!,Dienste!#REF!,IF(E31=Dienste!$A$33,Dienste!$C$33,IF(E31=Dienste!$A$34,Dienste!$C$34,IF(E31=Dienste!$A$35,Dienste!$C$35,IF(E31=Dienste!$A$36,Dienste!$C$36,)))))))))))))))))))))))))))))))))))</f>
        <v>0</v>
      </c>
      <c r="AZ31" s="27">
        <f>IF(F31=Dienste!$A$2,Dienste!$C$2,IF(F31=Dienste!$A$3,Dienste!$C$3,IF(F31=Dienste!$A$4,Dienste!$C$4,IF(F31=Dienste!$A$5,Dienste!$C$5,IF(F31=Dienste!$A$6,Dienste!$C$6,IF(F31=Dienste!$A$7,Dienste!$C$7,IF(F31=Dienste!$A$8,Dienste!$C$8,IF(F31=Dienste!$A$9,Dienste!$C$9,IF(F31=Dienste!$A$10,Dienste!$C$10,IF(F31=Dienste!$A$11,Dienste!$C$11,IF(F31=Dienste!$A$12,Dienste!$C$12,IF(F31=Dienste!$A$13,Dienste!$C$13,IF(F31=Dienste!$A$14,Dienste!$C$14,IF(F31=Dienste!$A$15,Dienste!$C$15,IF(F31=Dienste!$A$16,Dienste!$C$16,IF(F31=Dienste!$A$17,Dienste!$C$17,IF(F31=Dienste!$A$18,Dienste!$C$18,IF(F31=Dienste!$A$19,Dienste!$C$19,IF(F31=Dienste!$A$20,Dienste!$C$20,IF(F31=Dienste!$A$21,Dienste!$C$21,IF(F31=Dienste!$A$22,Dienste!$C$22,IF(F31=Dienste!$A$23,Dienste!$C$23,IF(F31=Dienste!$A$24,Dienste!$C$24,IF(F31=Dienste!$A$25,Dienste!$C$25,IF(F31=Dienste!$A$26,Dienste!$C$26,IF(F31=Dienste!$A$27,Dienste!$C$27,IF(F31=Dienste!$A$28,Dienste!$C$28,IF(F31=Dienste!#REF!,Dienste!#REF!,IF(F31=Dienste!#REF!,Dienste!#REF!,IF(F31=Dienste!#REF!,Dienste!#REF!,IF(F31=Dienste!#REF!,Dienste!#REF!,IF(F31=Dienste!$A$33,Dienste!$C$33,IF(F31=Dienste!$A$34,Dienste!$C$34,IF(F31=Dienste!$A$35,Dienste!$C$35,IF(F31=Dienste!$A$36,Dienste!$C$36,)))))))))))))))))))))))))))))))))))</f>
        <v>8</v>
      </c>
      <c r="BA31" s="27" t="e">
        <f>IF(G31=Dienste!$A$2,Dienste!$C$2,IF(G31=Dienste!$A$3,Dienste!$C$3,IF(G31=Dienste!$A$4,Dienste!$C$4,IF(G31=Dienste!$A$5,Dienste!$C$5,IF(G31=Dienste!$A$6,Dienste!$C$6,IF(G31=Dienste!$A$7,Dienste!$C$7,IF(G31=Dienste!$A$8,Dienste!$C$8,IF(G31=Dienste!$A$9,Dienste!$C$9,IF(G31=Dienste!$A$10,Dienste!$C$10,IF(G31=Dienste!$A$11,Dienste!$C$11,IF(G31=Dienste!$A$12,Dienste!$C$12,IF(G31=Dienste!$A$13,Dienste!$C$13,IF(G31=Dienste!$A$14,Dienste!$C$14,IF(G31=Dienste!$A$15,Dienste!$C$15,IF(G31=Dienste!$A$16,Dienste!$C$16,IF(G31=Dienste!$A$17,Dienste!$C$17,IF(G31=Dienste!$A$18,Dienste!$C$18,IF(G31=Dienste!$A$19,Dienste!$C$19,IF(G31=Dienste!$A$20,Dienste!$C$20,IF(G31=Dienste!$A$21,Dienste!$C$21,IF(G31=Dienste!$A$22,Dienste!$C$22,IF(G31=Dienste!$A$23,Dienste!$C$23,IF(G31=Dienste!$A$24,Dienste!$C$24,IF(G31=Dienste!$A$25,Dienste!$C$25,IF(G31=Dienste!$A$26,Dienste!$C$26,IF(G31=Dienste!$A$27,Dienste!$C$27,IF(G31=Dienste!$A$28,Dienste!$C$28,IF(G31=Dienste!#REF!,Dienste!#REF!,IF(G31=Dienste!#REF!,Dienste!#REF!,IF(G31=Dienste!#REF!,Dienste!#REF!,IF(G31=Dienste!#REF!,Dienste!#REF!,IF(G31=Dienste!$A$33,Dienste!$C$33,IF(G31=Dienste!$A$34,Dienste!$C$34,IF(G31=Dienste!$A$35,Dienste!$C$35,IF(G31=Dienste!$A$36,Dienste!$C$36,)))))))))))))))))))))))))))))))))))</f>
        <v>#REF!</v>
      </c>
      <c r="BB31" s="27">
        <f>IF(H31=Dienste!$A$2,Dienste!$C$2,IF(H31=Dienste!$A$3,Dienste!$C$3,IF(H31=Dienste!$A$4,Dienste!$C$4,IF(H31=Dienste!$A$5,Dienste!$C$5,IF(H31=Dienste!$A$6,Dienste!$C$6,IF(H31=Dienste!$A$7,Dienste!$C$7,IF(H31=Dienste!$A$8,Dienste!$C$8,IF(H31=Dienste!$A$9,Dienste!$C$9,IF(H31=Dienste!$A$10,Dienste!$C$10,IF(H31=Dienste!$A$11,Dienste!$C$11,IF(H31=Dienste!$A$12,Dienste!$C$12,IF(H31=Dienste!$A$13,Dienste!$C$13,IF(H31=Dienste!$A$14,Dienste!$C$14,IF(H31=Dienste!$A$15,Dienste!$C$15,IF(H31=Dienste!$A$16,Dienste!$C$16,IF(H31=Dienste!$A$17,Dienste!$C$17,IF(H31=Dienste!$A$18,Dienste!$C$18,IF(H31=Dienste!$A$19,Dienste!$C$19,IF(H31=Dienste!$A$20,Dienste!$C$20,IF(H31=Dienste!$A$21,Dienste!$C$21,IF(H31=Dienste!$A$22,Dienste!$C$22,IF(H31=Dienste!$A$23,Dienste!$C$23,IF(H31=Dienste!$A$24,Dienste!$C$24,IF(H31=Dienste!$A$25,Dienste!$C$25,IF(H31=Dienste!$A$26,Dienste!$C$26,IF(H31=Dienste!$A$27,Dienste!$C$27,IF(H31=Dienste!$A$28,Dienste!$C$28,IF(H31=Dienste!#REF!,Dienste!#REF!,IF(H31=Dienste!#REF!,Dienste!#REF!,IF(H31=Dienste!#REF!,Dienste!#REF!,IF(H31=Dienste!#REF!,Dienste!#REF!,IF(H31=Dienste!$A$33,Dienste!$C$33,IF(H31=Dienste!$A$34,Dienste!$C$34,IF(H31=Dienste!$A$35,Dienste!$C$35,IF(H31=Dienste!$A$36,Dienste!$C$36,)))))))))))))))))))))))))))))))))))</f>
        <v>8</v>
      </c>
      <c r="BC31" s="27">
        <f>IF(I31=Dienste!$A$2,Dienste!$C$2,IF(I31=Dienste!$A$3,Dienste!$C$3,IF(I31=Dienste!$A$4,Dienste!$C$4,IF(I31=Dienste!$A$5,Dienste!$C$5,IF(I31=Dienste!$A$6,Dienste!$C$6,IF(I31=Dienste!$A$7,Dienste!$C$7,IF(I31=Dienste!$A$8,Dienste!$C$8,IF(I31=Dienste!$A$9,Dienste!$C$9,IF(I31=Dienste!$A$10,Dienste!$C$10,IF(I31=Dienste!$A$11,Dienste!$C$11,IF(I31=Dienste!$A$12,Dienste!$C$12,IF(I31=Dienste!$A$13,Dienste!$C$13,IF(I31=Dienste!$A$14,Dienste!$C$14,IF(I31=Dienste!$A$15,Dienste!$C$15,IF(I31=Dienste!$A$16,Dienste!$C$16,IF(I31=Dienste!$A$17,Dienste!$C$17,IF(I31=Dienste!$A$18,Dienste!$C$18,IF(I31=Dienste!$A$19,Dienste!$C$19,IF(I31=Dienste!$A$20,Dienste!$C$20,IF(I31=Dienste!$A$21,Dienste!$C$21,IF(I31=Dienste!$A$22,Dienste!$C$22,IF(I31=Dienste!$A$23,Dienste!$C$23,IF(I31=Dienste!$A$24,Dienste!$C$24,IF(I31=Dienste!$A$25,Dienste!$C$25,IF(I31=Dienste!$A$26,Dienste!$C$26,IF(I31=Dienste!$A$27,Dienste!$C$27,IF(I31=Dienste!$A$28,Dienste!$C$28,IF(I31=Dienste!#REF!,Dienste!#REF!,IF(I31=Dienste!#REF!,Dienste!#REF!,IF(I31=Dienste!#REF!,Dienste!#REF!,IF(I31=Dienste!#REF!,Dienste!#REF!,IF(I31=Dienste!$A$33,Dienste!$C$33,IF(I31=Dienste!$A$34,Dienste!$C$34,IF(I31=Dienste!$A$35,Dienste!$C$35,IF(I31=Dienste!$A$36,Dienste!$C$36,)))))))))))))))))))))))))))))))))))</f>
        <v>8</v>
      </c>
      <c r="BD31" s="27">
        <f>IF(J31=Dienste!$A$2,Dienste!$C$2,IF(J31=Dienste!$A$3,Dienste!$C$3,IF(J31=Dienste!$A$4,Dienste!$C$4,IF(J31=Dienste!$A$5,Dienste!$C$5,IF(J31=Dienste!$A$6,Dienste!$C$6,IF(J31=Dienste!$A$7,Dienste!$C$7,IF(J31=Dienste!$A$8,Dienste!$C$8,IF(J31=Dienste!$A$9,Dienste!$C$9,IF(J31=Dienste!$A$10,Dienste!$C$10,IF(J31=Dienste!$A$11,Dienste!$C$11,IF(J31=Dienste!$A$12,Dienste!$C$12,IF(J31=Dienste!$A$13,Dienste!$C$13,IF(J31=Dienste!$A$14,Dienste!$C$14,IF(J31=Dienste!$A$15,Dienste!$C$15,IF(J31=Dienste!$A$16,Dienste!$C$16,IF(J31=Dienste!$A$17,Dienste!$C$17,IF(J31=Dienste!$A$18,Dienste!$C$18,IF(J31=Dienste!$A$19,Dienste!$C$19,IF(J31=Dienste!$A$20,Dienste!$C$20,IF(J31=Dienste!$A$21,Dienste!$C$21,IF(J31=Dienste!$A$22,Dienste!$C$22,IF(J31=Dienste!$A$23,Dienste!$C$23,IF(J31=Dienste!$A$24,Dienste!$C$24,IF(J31=Dienste!$A$25,Dienste!$C$25,IF(J31=Dienste!$A$26,Dienste!$C$26,IF(J31=Dienste!$A$27,Dienste!$C$27,IF(J31=Dienste!$A$28,Dienste!$C$28,IF(J31=Dienste!#REF!,Dienste!#REF!,IF(J31=Dienste!#REF!,Dienste!#REF!,IF(J31=Dienste!#REF!,Dienste!#REF!,IF(J31=Dienste!#REF!,Dienste!#REF!,IF(J31=Dienste!$A$33,Dienste!$C$33,IF(J31=Dienste!$A$34,Dienste!$C$34,IF(J31=Dienste!$A$35,Dienste!$C$35,IF(J31=Dienste!$A$36,Dienste!$C$36,)))))))))))))))))))))))))))))))))))</f>
        <v>8</v>
      </c>
      <c r="BE31" s="27">
        <f>IF(K31=Dienste!$A$2,Dienste!$C$2,IF(K31=Dienste!$A$3,Dienste!$C$3,IF(K31=Dienste!$A$4,Dienste!$C$4,IF(K31=Dienste!$A$5,Dienste!$C$5,IF(K31=Dienste!$A$6,Dienste!$C$6,IF(K31=Dienste!$A$7,Dienste!$C$7,IF(K31=Dienste!$A$8,Dienste!$C$8,IF(K31=Dienste!$A$9,Dienste!$C$9,IF(K31=Dienste!$A$10,Dienste!$C$10,IF(K31=Dienste!$A$11,Dienste!$C$11,IF(K31=Dienste!$A$12,Dienste!$C$12,IF(K31=Dienste!$A$13,Dienste!$C$13,IF(K31=Dienste!$A$14,Dienste!$C$14,IF(K31=Dienste!$A$15,Dienste!$C$15,IF(K31=Dienste!$A$16,Dienste!$C$16,IF(K31=Dienste!$A$17,Dienste!$C$17,IF(K31=Dienste!$A$18,Dienste!$C$18,IF(K31=Dienste!$A$19,Dienste!$C$19,IF(K31=Dienste!$A$20,Dienste!$C$20,IF(K31=Dienste!$A$21,Dienste!$C$21,IF(K31=Dienste!$A$22,Dienste!$C$22,IF(K31=Dienste!$A$23,Dienste!$C$23,IF(K31=Dienste!$A$24,Dienste!$C$24,IF(K31=Dienste!$A$25,Dienste!$C$25,IF(K31=Dienste!$A$26,Dienste!$C$26,IF(K31=Dienste!$A$27,Dienste!$C$27,IF(K31=Dienste!$A$28,Dienste!$C$28,IF(K31=Dienste!#REF!,Dienste!#REF!,IF(K31=Dienste!#REF!,Dienste!#REF!,IF(K31=Dienste!#REF!,Dienste!#REF!,IF(K31=Dienste!#REF!,Dienste!#REF!,IF(K31=Dienste!$A$33,Dienste!$C$33,IF(K31=Dienste!$A$34,Dienste!$C$34,IF(K31=Dienste!$A$35,Dienste!$C$35,IF(K31=Dienste!$A$36,Dienste!$C$36,)))))))))))))))))))))))))))))))))))</f>
        <v>0</v>
      </c>
      <c r="BF31" s="27">
        <f>IF(L31=Dienste!$A$2,Dienste!$C$2,IF(L31=Dienste!$A$3,Dienste!$C$3,IF(L31=Dienste!$A$4,Dienste!$C$4,IF(L31=Dienste!$A$5,Dienste!$C$5,IF(L31=Dienste!$A$6,Dienste!$C$6,IF(L31=Dienste!$A$7,Dienste!$C$7,IF(L31=Dienste!$A$8,Dienste!$C$8,IF(L31=Dienste!$A$9,Dienste!$C$9,IF(L31=Dienste!$A$10,Dienste!$C$10,IF(L31=Dienste!$A$11,Dienste!$C$11,IF(L31=Dienste!$A$12,Dienste!$C$12,IF(L31=Dienste!$A$13,Dienste!$C$13,IF(L31=Dienste!$A$14,Dienste!$C$14,IF(L31=Dienste!$A$15,Dienste!$C$15,IF(L31=Dienste!$A$16,Dienste!$C$16,IF(L31=Dienste!$A$17,Dienste!$C$17,IF(L31=Dienste!$A$18,Dienste!$C$18,IF(L31=Dienste!$A$19,Dienste!$C$19,IF(L31=Dienste!$A$20,Dienste!$C$20,IF(L31=Dienste!$A$21,Dienste!$C$21,IF(L31=Dienste!$A$22,Dienste!$C$22,IF(L31=Dienste!$A$23,Dienste!$C$23,IF(L31=Dienste!$A$24,Dienste!$C$24,IF(L31=Dienste!$A$25,Dienste!$C$25,IF(L31=Dienste!$A$26,Dienste!$C$26,IF(L31=Dienste!$A$27,Dienste!$C$27,IF(L31=Dienste!$A$28,Dienste!$C$28,IF(L31=Dienste!#REF!,Dienste!#REF!,IF(L31=Dienste!#REF!,Dienste!#REF!,IF(L31=Dienste!#REF!,Dienste!#REF!,IF(L31=Dienste!#REF!,Dienste!#REF!,IF(L31=Dienste!$A$33,Dienste!$C$33,IF(L31=Dienste!$A$34,Dienste!$C$34,IF(L31=Dienste!$A$35,Dienste!$C$35,IF(L31=Dienste!$A$36,Dienste!$C$36,)))))))))))))))))))))))))))))))))))</f>
        <v>0</v>
      </c>
      <c r="BG31" s="27">
        <f>IF(M31=Dienste!$A$2,Dienste!$C$2,IF(M31=Dienste!$A$3,Dienste!$C$3,IF(M31=Dienste!$A$4,Dienste!$C$4,IF(M31=Dienste!$A$5,Dienste!$C$5,IF(M31=Dienste!$A$6,Dienste!$C$6,IF(M31=Dienste!$A$7,Dienste!$C$7,IF(M31=Dienste!$A$8,Dienste!$C$8,IF(M31=Dienste!$A$9,Dienste!$C$9,IF(M31=Dienste!$A$10,Dienste!$C$10,IF(M31=Dienste!$A$11,Dienste!$C$11,IF(M31=Dienste!$A$12,Dienste!$C$12,IF(M31=Dienste!$A$13,Dienste!$C$13,IF(M31=Dienste!$A$14,Dienste!$C$14,IF(M31=Dienste!$A$15,Dienste!$C$15,IF(M31=Dienste!$A$16,Dienste!$C$16,IF(M31=Dienste!$A$17,Dienste!$C$17,IF(M31=Dienste!$A$18,Dienste!$C$18,IF(M31=Dienste!$A$19,Dienste!$C$19,IF(M31=Dienste!$A$20,Dienste!$C$20,IF(M31=Dienste!$A$21,Dienste!$C$21,IF(M31=Dienste!$A$22,Dienste!$C$22,IF(M31=Dienste!$A$23,Dienste!$C$23,IF(M31=Dienste!$A$24,Dienste!$C$24,IF(M31=Dienste!$A$25,Dienste!$C$25,IF(M31=Dienste!$A$26,Dienste!$C$26,IF(M31=Dienste!$A$27,Dienste!$C$27,IF(M31=Dienste!$A$28,Dienste!$C$28,IF(M31=Dienste!#REF!,Dienste!#REF!,IF(M31=Dienste!#REF!,Dienste!#REF!,IF(M31=Dienste!#REF!,Dienste!#REF!,IF(M31=Dienste!#REF!,Dienste!#REF!,IF(M31=Dienste!$A$33,Dienste!$C$33,IF(M31=Dienste!$A$34,Dienste!$C$34,IF(M31=Dienste!$A$35,Dienste!$C$35,IF(M31=Dienste!$A$36,Dienste!$C$36,)))))))))))))))))))))))))))))))))))</f>
        <v>8</v>
      </c>
      <c r="BH31" s="27">
        <f>IF(N31=Dienste!$A$2,Dienste!$C$2,IF(N31=Dienste!$A$3,Dienste!$C$3,IF(N31=Dienste!$A$4,Dienste!$C$4,IF(N31=Dienste!$A$5,Dienste!$C$5,IF(N31=Dienste!$A$6,Dienste!$C$6,IF(N31=Dienste!$A$7,Dienste!$C$7,IF(N31=Dienste!$A$8,Dienste!$C$8,IF(N31=Dienste!$A$9,Dienste!$C$9,IF(N31=Dienste!$A$10,Dienste!$C$10,IF(N31=Dienste!$A$11,Dienste!$C$11,IF(N31=Dienste!$A$12,Dienste!$C$12,IF(N31=Dienste!$A$13,Dienste!$C$13,IF(N31=Dienste!$A$14,Dienste!$C$14,IF(N31=Dienste!$A$15,Dienste!$C$15,IF(N31=Dienste!$A$16,Dienste!$C$16,IF(N31=Dienste!$A$17,Dienste!$C$17,IF(N31=Dienste!$A$18,Dienste!$C$18,IF(N31=Dienste!$A$19,Dienste!$C$19,IF(N31=Dienste!$A$20,Dienste!$C$20,IF(N31=Dienste!$A$21,Dienste!$C$21,IF(N31=Dienste!$A$22,Dienste!$C$22,IF(N31=Dienste!$A$23,Dienste!$C$23,IF(N31=Dienste!$A$24,Dienste!$C$24,IF(N31=Dienste!$A$25,Dienste!$C$25,IF(N31=Dienste!$A$26,Dienste!$C$26,IF(N31=Dienste!$A$27,Dienste!$C$27,IF(N31=Dienste!$A$28,Dienste!$C$28,IF(N31=Dienste!#REF!,Dienste!#REF!,IF(N31=Dienste!#REF!,Dienste!#REF!,IF(N31=Dienste!#REF!,Dienste!#REF!,IF(N31=Dienste!#REF!,Dienste!#REF!,IF(N31=Dienste!$A$33,Dienste!$C$33,IF(N31=Dienste!$A$34,Dienste!$C$34,IF(N31=Dienste!$A$35,Dienste!$C$35,IF(N31=Dienste!$A$36,Dienste!$C$36,)))))))))))))))))))))))))))))))))))</f>
        <v>8</v>
      </c>
      <c r="BI31" s="27">
        <f>IF(O31=Dienste!$A$2,Dienste!$C$2,IF(O31=Dienste!$A$3,Dienste!$C$3,IF(O31=Dienste!$A$4,Dienste!$C$4,IF(O31=Dienste!$A$5,Dienste!$C$5,IF(O31=Dienste!$A$6,Dienste!$C$6,IF(O31=Dienste!$A$7,Dienste!$C$7,IF(O31=Dienste!$A$8,Dienste!$C$8,IF(O31=Dienste!$A$9,Dienste!$C$9,IF(O31=Dienste!$A$10,Dienste!$C$10,IF(O31=Dienste!$A$11,Dienste!$C$11,IF(O31=Dienste!$A$12,Dienste!$C$12,IF(O31=Dienste!$A$13,Dienste!$C$13,IF(O31=Dienste!$A$14,Dienste!$C$14,IF(O31=Dienste!$A$15,Dienste!$C$15,IF(O31=Dienste!$A$16,Dienste!$C$16,IF(O31=Dienste!$A$17,Dienste!$C$17,IF(O31=Dienste!$A$18,Dienste!$C$18,IF(O31=Dienste!$A$19,Dienste!$C$19,IF(O31=Dienste!$A$20,Dienste!$C$20,IF(O31=Dienste!$A$21,Dienste!$C$21,IF(O31=Dienste!$A$22,Dienste!$C$22,IF(O31=Dienste!$A$23,Dienste!$C$23,IF(O31=Dienste!$A$24,Dienste!$C$24,IF(O31=Dienste!$A$25,Dienste!$C$25,IF(O31=Dienste!$A$26,Dienste!$C$26,IF(O31=Dienste!$A$27,Dienste!$C$27,IF(O31=Dienste!$A$28,Dienste!$C$28,IF(O31=Dienste!#REF!,Dienste!#REF!,IF(O31=Dienste!#REF!,Dienste!#REF!,IF(O31=Dienste!#REF!,Dienste!#REF!,IF(O31=Dienste!#REF!,Dienste!#REF!,IF(O31=Dienste!$A$33,Dienste!$C$33,IF(O31=Dienste!$A$34,Dienste!$C$34,IF(O31=Dienste!$A$35,Dienste!$C$35,IF(O31=Dienste!$A$36,Dienste!$C$36,)))))))))))))))))))))))))))))))))))</f>
        <v>8</v>
      </c>
      <c r="BJ31" s="27">
        <f>IF(P31=Dienste!$A$2,Dienste!$C$2,IF(P31=Dienste!$A$3,Dienste!$C$3,IF(P31=Dienste!$A$4,Dienste!$C$4,IF(P31=Dienste!$A$5,Dienste!$C$5,IF(P31=Dienste!$A$6,Dienste!$C$6,IF(P31=Dienste!$A$7,Dienste!$C$7,IF(P31=Dienste!$A$8,Dienste!$C$8,IF(P31=Dienste!$A$9,Dienste!$C$9,IF(P31=Dienste!$A$10,Dienste!$C$10,IF(P31=Dienste!$A$11,Dienste!$C$11,IF(P31=Dienste!$A$12,Dienste!$C$12,IF(P31=Dienste!$A$13,Dienste!$C$13,IF(P31=Dienste!$A$14,Dienste!$C$14,IF(P31=Dienste!$A$15,Dienste!$C$15,IF(P31=Dienste!$A$16,Dienste!$C$16,IF(P31=Dienste!$A$17,Dienste!$C$17,IF(P31=Dienste!$A$18,Dienste!$C$18,IF(P31=Dienste!$A$19,Dienste!$C$19,IF(P31=Dienste!$A$20,Dienste!$C$20,IF(P31=Dienste!$A$21,Dienste!$C$21,IF(P31=Dienste!$A$22,Dienste!$C$22,IF(P31=Dienste!$A$23,Dienste!$C$23,IF(P31=Dienste!$A$24,Dienste!$C$24,IF(P31=Dienste!$A$25,Dienste!$C$25,IF(P31=Dienste!$A$26,Dienste!$C$26,IF(P31=Dienste!$A$27,Dienste!$C$27,IF(P31=Dienste!$A$28,Dienste!$C$28,IF(P31=Dienste!#REF!,Dienste!#REF!,IF(P31=Dienste!#REF!,Dienste!#REF!,IF(P31=Dienste!#REF!,Dienste!#REF!,IF(P31=Dienste!#REF!,Dienste!#REF!,IF(P31=Dienste!$A$33,Dienste!$C$33,IF(P31=Dienste!$A$34,Dienste!$C$34,IF(P31=Dienste!$A$35,Dienste!$C$35,IF(P31=Dienste!$A$36,Dienste!$C$36,)))))))))))))))))))))))))))))))))))</f>
        <v>8</v>
      </c>
      <c r="BK31" s="27">
        <f>IF(Q31=Dienste!$A$2,Dienste!$C$2,IF(Q31=Dienste!$A$3,Dienste!$C$3,IF(Q31=Dienste!$A$4,Dienste!$C$4,IF(Q31=Dienste!$A$5,Dienste!$C$5,IF(Q31=Dienste!$A$6,Dienste!$C$6,IF(Q31=Dienste!$A$7,Dienste!$C$7,IF(Q31=Dienste!$A$8,Dienste!$C$8,IF(Q31=Dienste!$A$9,Dienste!$C$9,IF(Q31=Dienste!$A$10,Dienste!$C$10,IF(Q31=Dienste!$A$11,Dienste!$C$11,IF(Q31=Dienste!$A$12,Dienste!$C$12,IF(Q31=Dienste!$A$13,Dienste!$C$13,IF(Q31=Dienste!$A$14,Dienste!$C$14,IF(Q31=Dienste!$A$15,Dienste!$C$15,IF(Q31=Dienste!$A$16,Dienste!$C$16,IF(Q31=Dienste!$A$17,Dienste!$C$17,IF(Q31=Dienste!$A$18,Dienste!$C$18,IF(Q31=Dienste!$A$19,Dienste!$C$19,IF(Q31=Dienste!$A$20,Dienste!$C$20,IF(Q31=Dienste!$A$21,Dienste!$C$21,IF(Q31=Dienste!$A$22,Dienste!$C$22,IF(Q31=Dienste!$A$23,Dienste!$C$23,IF(Q31=Dienste!$A$24,Dienste!$C$24,IF(Q31=Dienste!$A$25,Dienste!$C$25,IF(Q31=Dienste!$A$26,Dienste!$C$26,IF(Q31=Dienste!$A$27,Dienste!$C$27,IF(Q31=Dienste!$A$28,Dienste!$C$28,IF(Q31=Dienste!#REF!,Dienste!#REF!,IF(Q31=Dienste!#REF!,Dienste!#REF!,IF(Q31=Dienste!#REF!,Dienste!#REF!,IF(Q31=Dienste!#REF!,Dienste!#REF!,IF(Q31=Dienste!$A$33,Dienste!$C$33,IF(Q31=Dienste!$A$34,Dienste!$C$34,IF(Q31=Dienste!$A$35,Dienste!$C$35,IF(Q31=Dienste!$A$36,Dienste!$C$36,)))))))))))))))))))))))))))))))))))</f>
        <v>8</v>
      </c>
      <c r="BL31" s="27">
        <f>IF(R31=Dienste!$A$2,Dienste!$C$2,IF(R31=Dienste!$A$3,Dienste!$C$3,IF(R31=Dienste!$A$4,Dienste!$C$4,IF(R31=Dienste!$A$5,Dienste!$C$5,IF(R31=Dienste!$A$6,Dienste!$C$6,IF(R31=Dienste!$A$7,Dienste!$C$7,IF(R31=Dienste!$A$8,Dienste!$C$8,IF(R31=Dienste!$A$9,Dienste!$C$9,IF(R31=Dienste!$A$10,Dienste!$C$10,IF(R31=Dienste!$A$11,Dienste!$C$11,IF(R31=Dienste!$A$12,Dienste!$C$12,IF(R31=Dienste!$A$13,Dienste!$C$13,IF(R31=Dienste!$A$14,Dienste!$C$14,IF(R31=Dienste!$A$15,Dienste!$C$15,IF(R31=Dienste!$A$16,Dienste!$C$16,IF(R31=Dienste!$A$17,Dienste!$C$17,IF(R31=Dienste!$A$18,Dienste!$C$18,IF(R31=Dienste!$A$19,Dienste!$C$19,IF(R31=Dienste!$A$20,Dienste!$C$20,IF(R31=Dienste!$A$21,Dienste!$C$21,IF(R31=Dienste!$A$22,Dienste!$C$22,IF(R31=Dienste!$A$23,Dienste!$C$23,IF(R31=Dienste!$A$24,Dienste!$C$24,IF(R31=Dienste!$A$25,Dienste!$C$25,IF(R31=Dienste!$A$26,Dienste!$C$26,IF(R31=Dienste!$A$27,Dienste!$C$27,IF(R31=Dienste!$A$28,Dienste!$C$28,IF(R31=Dienste!#REF!,Dienste!#REF!,IF(R31=Dienste!#REF!,Dienste!#REF!,IF(R31=Dienste!#REF!,Dienste!#REF!,IF(R31=Dienste!#REF!,Dienste!#REF!,IF(R31=Dienste!$A$33,Dienste!$C$33,IF(R31=Dienste!$A$34,Dienste!$C$34,IF(R31=Dienste!$A$35,Dienste!$C$35,IF(R31=Dienste!$A$36,Dienste!$C$36,)))))))))))))))))))))))))))))))))))</f>
        <v>0</v>
      </c>
      <c r="BM31" s="27">
        <f>IF(S31=Dienste!$A$2,Dienste!$C$2,IF(S31=Dienste!$A$3,Dienste!$C$3,IF(S31=Dienste!$A$4,Dienste!$C$4,IF(S31=Dienste!$A$5,Dienste!$C$5,IF(S31=Dienste!$A$6,Dienste!$C$6,IF(S31=Dienste!$A$7,Dienste!$C$7,IF(S31=Dienste!$A$8,Dienste!$C$8,IF(S31=Dienste!$A$9,Dienste!$C$9,IF(S31=Dienste!$A$10,Dienste!$C$10,IF(S31=Dienste!$A$11,Dienste!$C$11,IF(S31=Dienste!$A$12,Dienste!$C$12,IF(S31=Dienste!$A$13,Dienste!$C$13,IF(S31=Dienste!$A$14,Dienste!$C$14,IF(S31=Dienste!$A$15,Dienste!$C$15,IF(S31=Dienste!$A$16,Dienste!$C$16,IF(S31=Dienste!$A$17,Dienste!$C$17,IF(S31=Dienste!$A$18,Dienste!$C$18,IF(S31=Dienste!$A$19,Dienste!$C$19,IF(S31=Dienste!$A$20,Dienste!$C$20,IF(S31=Dienste!$A$21,Dienste!$C$21,IF(S31=Dienste!$A$22,Dienste!$C$22,IF(S31=Dienste!$A$23,Dienste!$C$23,IF(S31=Dienste!$A$24,Dienste!$C$24,IF(S31=Dienste!$A$25,Dienste!$C$25,IF(S31=Dienste!$A$26,Dienste!$C$26,IF(S31=Dienste!$A$27,Dienste!$C$27,IF(S31=Dienste!$A$28,Dienste!$C$28,IF(S31=Dienste!#REF!,Dienste!#REF!,IF(S31=Dienste!#REF!,Dienste!#REF!,IF(S31=Dienste!#REF!,Dienste!#REF!,IF(S31=Dienste!#REF!,Dienste!#REF!,IF(S31=Dienste!$A$33,Dienste!$C$33,IF(S31=Dienste!$A$34,Dienste!$C$34,IF(S31=Dienste!$A$35,Dienste!$C$35,IF(S31=Dienste!$A$36,Dienste!$C$36,)))))))))))))))))))))))))))))))))))</f>
        <v>0</v>
      </c>
      <c r="BN31" s="27" t="e">
        <f>IF(T31=Dienste!$A$2,Dienste!$C$2,IF(T31=Dienste!$A$3,Dienste!$C$3,IF(T31=Dienste!$A$4,Dienste!$C$4,IF(T31=Dienste!$A$5,Dienste!$C$5,IF(T31=Dienste!$A$6,Dienste!$C$6,IF(T31=Dienste!$A$7,Dienste!$C$7,IF(T31=Dienste!$A$8,Dienste!$C$8,IF(T31=Dienste!$A$9,Dienste!$C$9,IF(T31=Dienste!$A$10,Dienste!$C$10,IF(T31=Dienste!$A$11,Dienste!$C$11,IF(T31=Dienste!$A$12,Dienste!$C$12,IF(T31=Dienste!$A$13,Dienste!$C$13,IF(T31=Dienste!$A$14,Dienste!$C$14,IF(T31=Dienste!$A$15,Dienste!$C$15,IF(T31=Dienste!$A$16,Dienste!$C$16,IF(T31=Dienste!$A$17,Dienste!$C$17,IF(T31=Dienste!$A$18,Dienste!$C$18,IF(T31=Dienste!$A$19,Dienste!$C$19,IF(T31=Dienste!$A$20,Dienste!$C$20,IF(T31=Dienste!$A$21,Dienste!$C$21,IF(T31=Dienste!$A$22,Dienste!$C$22,IF(T31=Dienste!$A$23,Dienste!$C$23,IF(T31=Dienste!$A$24,Dienste!$C$24,IF(T31=Dienste!$A$25,Dienste!$C$25,IF(T31=Dienste!$A$26,Dienste!$C$26,IF(T31=Dienste!$A$27,Dienste!$C$27,IF(T31=Dienste!$A$28,Dienste!$C$28,IF(T31=Dienste!#REF!,Dienste!#REF!,IF(T31=Dienste!#REF!,Dienste!#REF!,IF(T31=Dienste!#REF!,Dienste!#REF!,IF(T31=Dienste!#REF!,Dienste!#REF!,IF(T31=Dienste!$A$33,Dienste!$C$33,IF(T31=Dienste!$A$34,Dienste!$C$34,IF(T31=Dienste!$A$35,Dienste!$C$35,IF(T31=Dienste!$A$36,Dienste!$C$36,)))))))))))))))))))))))))))))))))))</f>
        <v>#REF!</v>
      </c>
      <c r="BO31" s="27">
        <f>IF(U31=Dienste!$A$2,Dienste!$C$2,IF(U31=Dienste!$A$3,Dienste!$C$3,IF(U31=Dienste!$A$4,Dienste!$C$4,IF(U31=Dienste!$A$5,Dienste!$C$5,IF(U31=Dienste!$A$6,Dienste!$C$6,IF(U31=Dienste!$A$7,Dienste!$C$7,IF(U31=Dienste!$A$8,Dienste!$C$8,IF(U31=Dienste!$A$9,Dienste!$C$9,IF(U31=Dienste!$A$10,Dienste!$C$10,IF(U31=Dienste!$A$11,Dienste!$C$11,IF(U31=Dienste!$A$12,Dienste!$C$12,IF(U31=Dienste!$A$13,Dienste!$C$13,IF(U31=Dienste!$A$14,Dienste!$C$14,IF(U31=Dienste!$A$15,Dienste!$C$15,IF(U31=Dienste!$A$16,Dienste!$C$16,IF(U31=Dienste!$A$17,Dienste!$C$17,IF(U31=Dienste!$A$18,Dienste!$C$18,IF(U31=Dienste!$A$19,Dienste!$C$19,IF(U31=Dienste!$A$20,Dienste!$C$20,IF(U31=Dienste!$A$21,Dienste!$C$21,IF(U31=Dienste!$A$22,Dienste!$C$22,IF(U31=Dienste!$A$23,Dienste!$C$23,IF(U31=Dienste!$A$24,Dienste!$C$24,IF(U31=Dienste!$A$25,Dienste!$C$25,IF(U31=Dienste!$A$26,Dienste!$C$26,IF(U31=Dienste!$A$27,Dienste!$C$27,IF(U31=Dienste!$A$28,Dienste!$C$28,IF(U31=Dienste!#REF!,Dienste!#REF!,IF(U31=Dienste!#REF!,Dienste!#REF!,IF(U31=Dienste!#REF!,Dienste!#REF!,IF(U31=Dienste!#REF!,Dienste!#REF!,IF(U31=Dienste!$A$33,Dienste!$C$33,IF(U31=Dienste!$A$34,Dienste!$C$34,IF(U31=Dienste!$A$35,Dienste!$C$35,IF(U31=Dienste!$A$36,Dienste!$C$36,)))))))))))))))))))))))))))))))))))</f>
        <v>8</v>
      </c>
      <c r="BP31" s="27">
        <f>IF(V31=Dienste!$A$2,Dienste!$C$2,IF(V31=Dienste!$A$3,Dienste!$C$3,IF(V31=Dienste!$A$4,Dienste!$C$4,IF(V31=Dienste!$A$5,Dienste!$C$5,IF(V31=Dienste!$A$6,Dienste!$C$6,IF(V31=Dienste!$A$7,Dienste!$C$7,IF(V31=Dienste!$A$8,Dienste!$C$8,IF(V31=Dienste!$A$9,Dienste!$C$9,IF(V31=Dienste!$A$10,Dienste!$C$10,IF(V31=Dienste!$A$11,Dienste!$C$11,IF(V31=Dienste!$A$12,Dienste!$C$12,IF(V31=Dienste!$A$13,Dienste!$C$13,IF(V31=Dienste!$A$14,Dienste!$C$14,IF(V31=Dienste!$A$15,Dienste!$C$15,IF(V31=Dienste!$A$16,Dienste!$C$16,IF(V31=Dienste!$A$17,Dienste!$C$17,IF(V31=Dienste!$A$18,Dienste!$C$18,IF(V31=Dienste!$A$19,Dienste!$C$19,IF(V31=Dienste!$A$20,Dienste!$C$20,IF(V31=Dienste!$A$21,Dienste!$C$21,IF(V31=Dienste!$A$22,Dienste!$C$22,IF(V31=Dienste!$A$23,Dienste!$C$23,IF(V31=Dienste!$A$24,Dienste!$C$24,IF(V31=Dienste!$A$25,Dienste!$C$25,IF(V31=Dienste!$A$26,Dienste!$C$26,IF(V31=Dienste!$A$27,Dienste!$C$27,IF(V31=Dienste!$A$28,Dienste!$C$28,IF(V31=Dienste!#REF!,Dienste!#REF!,IF(V31=Dienste!#REF!,Dienste!#REF!,IF(V31=Dienste!#REF!,Dienste!#REF!,IF(V31=Dienste!#REF!,Dienste!#REF!,IF(V31=Dienste!$A$33,Dienste!$C$33,IF(V31=Dienste!$A$34,Dienste!$C$34,IF(V31=Dienste!$A$35,Dienste!$C$35,IF(V31=Dienste!$A$36,Dienste!$C$36,)))))))))))))))))))))))))))))))))))</f>
        <v>8</v>
      </c>
      <c r="BQ31" s="27">
        <f>IF(W31=Dienste!$A$2,Dienste!$C$2,IF(W31=Dienste!$A$3,Dienste!$C$3,IF(W31=Dienste!$A$4,Dienste!$C$4,IF(W31=Dienste!$A$5,Dienste!$C$5,IF(W31=Dienste!$A$6,Dienste!$C$6,IF(W31=Dienste!$A$7,Dienste!$C$7,IF(W31=Dienste!$A$8,Dienste!$C$8,IF(W31=Dienste!$A$9,Dienste!$C$9,IF(W31=Dienste!$A$10,Dienste!$C$10,IF(W31=Dienste!$A$11,Dienste!$C$11,IF(W31=Dienste!$A$12,Dienste!$C$12,IF(W31=Dienste!$A$13,Dienste!$C$13,IF(W31=Dienste!$A$14,Dienste!$C$14,IF(W31=Dienste!$A$15,Dienste!$C$15,IF(W31=Dienste!$A$16,Dienste!$C$16,IF(W31=Dienste!$A$17,Dienste!$C$17,IF(W31=Dienste!$A$18,Dienste!$C$18,IF(W31=Dienste!$A$19,Dienste!$C$19,IF(W31=Dienste!$A$20,Dienste!$C$20,IF(W31=Dienste!$A$21,Dienste!$C$21,IF(W31=Dienste!$A$22,Dienste!$C$22,IF(W31=Dienste!$A$23,Dienste!$C$23,IF(W31=Dienste!$A$24,Dienste!$C$24,IF(W31=Dienste!$A$25,Dienste!$C$25,IF(W31=Dienste!$A$26,Dienste!$C$26,IF(W31=Dienste!$A$27,Dienste!$C$27,IF(W31=Dienste!$A$28,Dienste!$C$28,IF(W31=Dienste!#REF!,Dienste!#REF!,IF(W31=Dienste!#REF!,Dienste!#REF!,IF(W31=Dienste!#REF!,Dienste!#REF!,IF(W31=Dienste!#REF!,Dienste!#REF!,IF(W31=Dienste!$A$33,Dienste!$C$33,IF(W31=Dienste!$A$34,Dienste!$C$34,IF(W31=Dienste!$A$35,Dienste!$C$35,IF(W31=Dienste!$A$36,Dienste!$C$36,)))))))))))))))))))))))))))))))))))</f>
        <v>8</v>
      </c>
      <c r="BR31" s="27">
        <f>IF(X31=Dienste!$A$2,Dienste!$C$2,IF(X31=Dienste!$A$3,Dienste!$C$3,IF(X31=Dienste!$A$4,Dienste!$C$4,IF(X31=Dienste!$A$5,Dienste!$C$5,IF(X31=Dienste!$A$6,Dienste!$C$6,IF(X31=Dienste!$A$7,Dienste!$C$7,IF(X31=Dienste!$A$8,Dienste!$C$8,IF(X31=Dienste!$A$9,Dienste!$C$9,IF(X31=Dienste!$A$10,Dienste!$C$10,IF(X31=Dienste!$A$11,Dienste!$C$11,IF(X31=Dienste!$A$12,Dienste!$C$12,IF(X31=Dienste!$A$13,Dienste!$C$13,IF(X31=Dienste!$A$14,Dienste!$C$14,IF(X31=Dienste!$A$15,Dienste!$C$15,IF(X31=Dienste!$A$16,Dienste!$C$16,IF(X31=Dienste!$A$17,Dienste!$C$17,IF(X31=Dienste!$A$18,Dienste!$C$18,IF(X31=Dienste!$A$19,Dienste!$C$19,IF(X31=Dienste!$A$20,Dienste!$C$20,IF(X31=Dienste!$A$21,Dienste!$C$21,IF(X31=Dienste!$A$22,Dienste!$C$22,IF(X31=Dienste!$A$23,Dienste!$C$23,IF(X31=Dienste!$A$24,Dienste!$C$24,IF(X31=Dienste!$A$25,Dienste!$C$25,IF(X31=Dienste!$A$26,Dienste!$C$26,IF(X31=Dienste!$A$27,Dienste!$C$27,IF(X31=Dienste!$A$28,Dienste!$C$28,IF(X31=Dienste!#REF!,Dienste!#REF!,IF(X31=Dienste!#REF!,Dienste!#REF!,IF(X31=Dienste!#REF!,Dienste!#REF!,IF(X31=Dienste!#REF!,Dienste!#REF!,IF(X31=Dienste!$A$33,Dienste!$C$33,IF(X31=Dienste!$A$34,Dienste!$C$34,IF(X31=Dienste!$A$35,Dienste!$C$35,IF(X31=Dienste!$A$36,Dienste!$C$36,)))))))))))))))))))))))))))))))))))</f>
        <v>8</v>
      </c>
      <c r="BS31" s="27">
        <f>IF(Y31=Dienste!$A$2,Dienste!$C$2,IF(Y31=Dienste!$A$3,Dienste!$C$3,IF(Y31=Dienste!$A$4,Dienste!$C$4,IF(Y31=Dienste!$A$5,Dienste!$C$5,IF(Y31=Dienste!$A$6,Dienste!$C$6,IF(Y31=Dienste!$A$7,Dienste!$C$7,IF(Y31=Dienste!$A$8,Dienste!$C$8,IF(Y31=Dienste!$A$9,Dienste!$C$9,IF(Y31=Dienste!$A$10,Dienste!$C$10,IF(Y31=Dienste!$A$11,Dienste!$C$11,IF(Y31=Dienste!$A$12,Dienste!$C$12,IF(Y31=Dienste!$A$13,Dienste!$C$13,IF(Y31=Dienste!$A$14,Dienste!$C$14,IF(Y31=Dienste!$A$15,Dienste!$C$15,IF(Y31=Dienste!$A$16,Dienste!$C$16,IF(Y31=Dienste!$A$17,Dienste!$C$17,IF(Y31=Dienste!$A$18,Dienste!$C$18,IF(Y31=Dienste!$A$19,Dienste!$C$19,IF(Y31=Dienste!$A$20,Dienste!$C$20,IF(Y31=Dienste!$A$21,Dienste!$C$21,IF(Y31=Dienste!$A$22,Dienste!$C$22,IF(Y31=Dienste!$A$23,Dienste!$C$23,IF(Y31=Dienste!$A$24,Dienste!$C$24,IF(Y31=Dienste!$A$25,Dienste!$C$25,IF(Y31=Dienste!$A$26,Dienste!$C$26,IF(Y31=Dienste!$A$27,Dienste!$C$27,IF(Y31=Dienste!$A$28,Dienste!$C$28,IF(Y31=Dienste!#REF!,Dienste!#REF!,IF(Y31=Dienste!#REF!,Dienste!#REF!,IF(Y31=Dienste!#REF!,Dienste!#REF!,IF(Y31=Dienste!#REF!,Dienste!#REF!,IF(Y31=Dienste!$A$33,Dienste!$C$33,IF(Y31=Dienste!$A$34,Dienste!$C$34,IF(Y31=Dienste!$A$35,Dienste!$C$35,IF(Y31=Dienste!$A$36,Dienste!$C$36,)))))))))))))))))))))))))))))))))))</f>
        <v>0</v>
      </c>
      <c r="BT31" s="27" t="e">
        <f>IF(Z31=Dienste!$A$2,Dienste!$C$2,IF(Z31=Dienste!$A$3,Dienste!$C$3,IF(Z31=Dienste!$A$4,Dienste!$C$4,IF(Z31=Dienste!$A$5,Dienste!$C$5,IF(Z31=Dienste!$A$6,Dienste!$C$6,IF(Z31=Dienste!$A$7,Dienste!$C$7,IF(Z31=Dienste!$A$8,Dienste!$C$8,IF(Z31=Dienste!$A$9,Dienste!$C$9,IF(Z31=Dienste!$A$10,Dienste!$C$10,IF(Z31=Dienste!$A$11,Dienste!$C$11,IF(Z31=Dienste!$A$12,Dienste!$C$12,IF(Z31=Dienste!$A$13,Dienste!$C$13,IF(Z31=Dienste!$A$14,Dienste!$C$14,IF(Z31=Dienste!$A$15,Dienste!$C$15,IF(Z31=Dienste!$A$16,Dienste!$C$16,IF(Z31=Dienste!$A$17,Dienste!$C$17,IF(Z31=Dienste!$A$18,Dienste!$C$18,IF(Z31=Dienste!$A$19,Dienste!$C$19,IF(Z31=Dienste!$A$20,Dienste!$C$20,IF(Z31=Dienste!$A$21,Dienste!$C$21,IF(Z31=Dienste!$A$22,Dienste!$C$22,IF(Z31=Dienste!$A$23,Dienste!$C$23,IF(Z31=Dienste!$A$24,Dienste!$C$24,IF(Z31=Dienste!$A$25,Dienste!$C$25,IF(Z31=Dienste!$A$26,Dienste!$C$26,IF(Z31=Dienste!$A$27,Dienste!$C$27,IF(Z31=Dienste!$A$28,Dienste!$C$28,IF(Z31=Dienste!#REF!,Dienste!#REF!,IF(Z31=Dienste!#REF!,Dienste!#REF!,IF(Z31=Dienste!#REF!,Dienste!#REF!,IF(Z31=Dienste!#REF!,Dienste!#REF!,IF(Z31=Dienste!$A$33,Dienste!$C$33,IF(Z31=Dienste!$A$34,Dienste!$C$34,IF(Z31=Dienste!$A$35,Dienste!$C$35,IF(Z31=Dienste!$A$36,Dienste!$C$36,)))))))))))))))))))))))))))))))))))</f>
        <v>#REF!</v>
      </c>
      <c r="BU31" s="27">
        <f>IF(AA31=Dienste!$A$2,Dienste!$C$2,IF(AA31=Dienste!$A$3,Dienste!$C$3,IF(AA31=Dienste!$A$4,Dienste!$C$4,IF(AA31=Dienste!$A$5,Dienste!$C$5,IF(AA31=Dienste!$A$6,Dienste!$C$6,IF(AA31=Dienste!$A$7,Dienste!$C$7,IF(AA31=Dienste!$A$8,Dienste!$C$8,IF(AA31=Dienste!$A$9,Dienste!$C$9,IF(AA31=Dienste!$A$10,Dienste!$C$10,IF(AA31=Dienste!$A$11,Dienste!$C$11,IF(AA31=Dienste!$A$12,Dienste!$C$12,IF(AA31=Dienste!$A$13,Dienste!$C$13,IF(AA31=Dienste!$A$14,Dienste!$C$14,IF(AA31=Dienste!$A$15,Dienste!$C$15,IF(AA31=Dienste!$A$16,Dienste!$C$16,IF(AA31=Dienste!$A$17,Dienste!$C$17,IF(AA31=Dienste!$A$18,Dienste!$C$18,IF(AA31=Dienste!$A$19,Dienste!$C$19,IF(AA31=Dienste!$A$20,Dienste!$C$20,IF(AA31=Dienste!$A$21,Dienste!$C$21,IF(AA31=Dienste!$A$22,Dienste!$C$22,IF(AA31=Dienste!$A$23,Dienste!$C$23,IF(AA31=Dienste!$A$24,Dienste!$C$24,IF(AA31=Dienste!$A$25,Dienste!$C$25,IF(AA31=Dienste!$A$26,Dienste!$C$26,IF(AA31=Dienste!$A$27,Dienste!$C$27,IF(AA31=Dienste!$A$28,Dienste!$C$28,IF(AA31=Dienste!#REF!,Dienste!#REF!,IF(AA31=Dienste!#REF!,Dienste!#REF!,IF(AA31=Dienste!#REF!,Dienste!#REF!,IF(AA31=Dienste!#REF!,Dienste!#REF!,IF(AA31=Dienste!$A$33,Dienste!$C$33,IF(AA31=Dienste!$A$34,Dienste!$C$34,IF(AA31=Dienste!$A$35,Dienste!$C$35,IF(AA31=Dienste!$A$36,Dienste!$C$36,)))))))))))))))))))))))))))))))))))</f>
        <v>8</v>
      </c>
      <c r="BV31" s="27">
        <f>IF(AB31=Dienste!$A$2,Dienste!$C$2,IF(AB31=Dienste!$A$3,Dienste!$C$3,IF(AB31=Dienste!$A$4,Dienste!$C$4,IF(AB31=Dienste!$A$5,Dienste!$C$5,IF(AB31=Dienste!$A$6,Dienste!$C$6,IF(AB31=Dienste!$A$7,Dienste!$C$7,IF(AB31=Dienste!$A$8,Dienste!$C$8,IF(AB31=Dienste!$A$9,Dienste!$C$9,IF(AB31=Dienste!$A$10,Dienste!$C$10,IF(AB31=Dienste!$A$11,Dienste!$C$11,IF(AB31=Dienste!$A$12,Dienste!$C$12,IF(AB31=Dienste!$A$13,Dienste!$C$13,IF(AB31=Dienste!$A$14,Dienste!$C$14,IF(AB31=Dienste!$A$15,Dienste!$C$15,IF(AB31=Dienste!$A$16,Dienste!$C$16,IF(AB31=Dienste!$A$17,Dienste!$C$17,IF(AB31=Dienste!$A$18,Dienste!$C$18,IF(AB31=Dienste!$A$19,Dienste!$C$19,IF(AB31=Dienste!$A$20,Dienste!$C$20,IF(AB31=Dienste!$A$21,Dienste!$C$21,IF(AB31=Dienste!$A$22,Dienste!$C$22,IF(AB31=Dienste!$A$23,Dienste!$C$23,IF(AB31=Dienste!$A$24,Dienste!$C$24,IF(AB31=Dienste!$A$25,Dienste!$C$25,IF(AB31=Dienste!$A$26,Dienste!$C$26,IF(AB31=Dienste!$A$27,Dienste!$C$27,IF(AB31=Dienste!$A$28,Dienste!$C$28,IF(AB31=Dienste!#REF!,Dienste!#REF!,IF(AB31=Dienste!#REF!,Dienste!#REF!,IF(AB31=Dienste!#REF!,Dienste!#REF!,IF(AB31=Dienste!#REF!,Dienste!#REF!,IF(AB31=Dienste!$A$33,Dienste!$C$33,IF(AB31=Dienste!$A$34,Dienste!$C$34,IF(AB31=Dienste!$A$35,Dienste!$C$35,IF(AB31=Dienste!$A$36,Dienste!$C$36,)))))))))))))))))))))))))))))))))))</f>
        <v>8</v>
      </c>
      <c r="BW31" s="27">
        <f>IF(AC31=Dienste!$A$2,Dienste!$C$2,IF(AC31=Dienste!$A$3,Dienste!$C$3,IF(AC31=Dienste!$A$4,Dienste!$C$4,IF(AC31=Dienste!$A$5,Dienste!$C$5,IF(AC31=Dienste!$A$6,Dienste!$C$6,IF(AC31=Dienste!$A$7,Dienste!$C$7,IF(AC31=Dienste!$A$8,Dienste!$C$8,IF(AC31=Dienste!$A$9,Dienste!$C$9,IF(AC31=Dienste!$A$10,Dienste!$C$10,IF(AC31=Dienste!$A$11,Dienste!$C$11,IF(AC31=Dienste!$A$12,Dienste!$C$12,IF(AC31=Dienste!$A$13,Dienste!$C$13,IF(AC31=Dienste!$A$14,Dienste!$C$14,IF(AC31=Dienste!$A$15,Dienste!$C$15,IF(AC31=Dienste!$A$16,Dienste!$C$16,IF(AC31=Dienste!$A$17,Dienste!$C$17,IF(AC31=Dienste!$A$18,Dienste!$C$18,IF(AC31=Dienste!$A$19,Dienste!$C$19,IF(AC31=Dienste!$A$20,Dienste!$C$20,IF(AC31=Dienste!$A$21,Dienste!$C$21,IF(AC31=Dienste!$A$22,Dienste!$C$22,IF(AC31=Dienste!$A$23,Dienste!$C$23,IF(AC31=Dienste!$A$24,Dienste!$C$24,IF(AC31=Dienste!$A$25,Dienste!$C$25,IF(AC31=Dienste!$A$26,Dienste!$C$26,IF(AC31=Dienste!$A$27,Dienste!$C$27,IF(AC31=Dienste!$A$28,Dienste!$C$28,IF(AC31=Dienste!#REF!,Dienste!#REF!,IF(AC31=Dienste!#REF!,Dienste!#REF!,IF(AC31=Dienste!#REF!,Dienste!#REF!,IF(AC31=Dienste!#REF!,Dienste!#REF!,IF(AC31=Dienste!$A$33,Dienste!$C$33,IF(AC31=Dienste!$A$34,Dienste!$C$34,IF(AC31=Dienste!$A$35,Dienste!$C$35,IF(AC31=Dienste!$A$36,Dienste!$C$36,)))))))))))))))))))))))))))))))))))</f>
        <v>8</v>
      </c>
      <c r="BX31" s="27" t="e">
        <f>IF(AD31=Dienste!$A$2,Dienste!$C$2,IF(AD31=Dienste!$A$3,Dienste!$C$3,IF(AD31=Dienste!$A$4,Dienste!$C$4,IF(AD31=Dienste!$A$5,Dienste!$C$5,IF(AD31=Dienste!$A$6,Dienste!$C$6,IF(AD31=Dienste!$A$7,Dienste!$C$7,IF(AD31=Dienste!$A$8,Dienste!$C$8,IF(AD31=Dienste!$A$9,Dienste!$C$9,IF(AD31=Dienste!$A$10,Dienste!$C$10,IF(AD31=Dienste!$A$11,Dienste!$C$11,IF(AD31=Dienste!$A$12,Dienste!$C$12,IF(AD31=Dienste!$A$13,Dienste!$C$13,IF(AD31=Dienste!$A$14,Dienste!$C$14,IF(AD31=Dienste!$A$15,Dienste!$C$15,IF(AD31=Dienste!$A$16,Dienste!$C$16,IF(AD31=Dienste!$A$17,Dienste!$C$17,IF(AD31=Dienste!$A$18,Dienste!$C$18,IF(AD31=Dienste!$A$19,Dienste!$C$19,IF(AD31=Dienste!$A$20,Dienste!$C$20,IF(AD31=Dienste!$A$21,Dienste!$C$21,IF(AD31=Dienste!$A$22,Dienste!$C$22,IF(AD31=Dienste!$A$23,Dienste!$C$23,IF(AD31=Dienste!$A$24,Dienste!$C$24,IF(AD31=Dienste!$A$25,Dienste!$C$25,IF(AD31=Dienste!$A$26,Dienste!$C$26,IF(AD31=Dienste!$A$27,Dienste!$C$27,IF(AD31=Dienste!$A$28,Dienste!$C$28,IF(AD31=Dienste!#REF!,Dienste!#REF!,IF(AD31=Dienste!#REF!,Dienste!#REF!,IF(AD31=Dienste!#REF!,Dienste!#REF!,IF(AD31=Dienste!#REF!,Dienste!#REF!,IF(AD31=Dienste!$A$33,Dienste!$C$33,IF(AD31=Dienste!$A$34,Dienste!$C$34,IF(AD31=Dienste!$A$35,Dienste!$C$35,IF(AD31=Dienste!$A$36,Dienste!$C$36,)))))))))))))))))))))))))))))))))))</f>
        <v>#REF!</v>
      </c>
      <c r="BY31" s="27">
        <f>IF(AE31=Dienste!$A$2,Dienste!$C$2,IF(AE31=Dienste!$A$3,Dienste!$C$3,IF(AE31=Dienste!$A$4,Dienste!$C$4,IF(AE31=Dienste!$A$5,Dienste!$C$5,IF(AE31=Dienste!$A$6,Dienste!$C$6,IF(AE31=Dienste!$A$7,Dienste!$C$7,IF(AE31=Dienste!$A$8,Dienste!$C$8,IF(AE31=Dienste!$A$9,Dienste!$C$9,IF(AE31=Dienste!$A$10,Dienste!$C$10,IF(AE31=Dienste!$A$11,Dienste!$C$11,IF(AE31=Dienste!$A$12,Dienste!$C$12,IF(AE31=Dienste!$A$13,Dienste!$C$13,IF(AE31=Dienste!$A$14,Dienste!$C$14,IF(AE31=Dienste!$A$15,Dienste!$C$15,IF(AE31=Dienste!$A$16,Dienste!$C$16,IF(AE31=Dienste!$A$17,Dienste!$C$17,IF(AE31=Dienste!$A$18,Dienste!$C$18,IF(AE31=Dienste!$A$19,Dienste!$C$19,IF(AE31=Dienste!$A$20,Dienste!$C$20,IF(AE31=Dienste!$A$21,Dienste!$C$21,IF(AE31=Dienste!$A$22,Dienste!$C$22,IF(AE31=Dienste!$A$23,Dienste!$C$23,IF(AE31=Dienste!$A$24,Dienste!$C$24,IF(AE31=Dienste!$A$25,Dienste!$C$25,IF(AE31=Dienste!$A$26,Dienste!$C$26,IF(AE31=Dienste!$A$27,Dienste!$C$27,IF(AE31=Dienste!$A$28,Dienste!$C$28,IF(AE31=Dienste!#REF!,Dienste!#REF!,IF(AE31=Dienste!#REF!,Dienste!#REF!,IF(AE31=Dienste!#REF!,Dienste!#REF!,IF(AE31=Dienste!#REF!,Dienste!#REF!,IF(AE31=Dienste!$A$33,Dienste!$C$33,IF(AE31=Dienste!$A$34,Dienste!$C$34,IF(AE31=Dienste!$A$35,Dienste!$C$35,IF(AE31=Dienste!$A$36,Dienste!$C$36,)))))))))))))))))))))))))))))))))))</f>
        <v>8</v>
      </c>
      <c r="BZ31" s="27">
        <f>IF(AF31=Dienste!$A$2,Dienste!$C$2,IF(AF31=Dienste!$A$3,Dienste!$C$3,IF(AF31=Dienste!$A$4,Dienste!$C$4,IF(AF31=Dienste!$A$5,Dienste!$C$5,IF(AF31=Dienste!$A$6,Dienste!$C$6,IF(AF31=Dienste!$A$7,Dienste!$C$7,IF(AF31=Dienste!$A$8,Dienste!$C$8,IF(AF31=Dienste!$A$9,Dienste!$C$9,IF(AF31=Dienste!$A$10,Dienste!$C$10,IF(AF31=Dienste!$A$11,Dienste!$C$11,IF(AF31=Dienste!$A$12,Dienste!$C$12,IF(AF31=Dienste!$A$13,Dienste!$C$13,IF(AF31=Dienste!$A$14,Dienste!$C$14,IF(AF31=Dienste!$A$15,Dienste!$C$15,IF(AF31=Dienste!$A$16,Dienste!$C$16,IF(AF31=Dienste!$A$17,Dienste!$C$17,IF(AF31=Dienste!$A$18,Dienste!$C$18,IF(AF31=Dienste!$A$19,Dienste!$C$19,IF(AF31=Dienste!$A$20,Dienste!$C$20,IF(AF31=Dienste!$A$21,Dienste!$C$21,IF(AF31=Dienste!$A$22,Dienste!$C$22,IF(AF31=Dienste!$A$23,Dienste!$C$23,IF(AF31=Dienste!$A$24,Dienste!$C$24,IF(AF31=Dienste!$A$25,Dienste!$C$25,IF(AF31=Dienste!$A$26,Dienste!$C$26,IF(AF31=Dienste!$A$27,Dienste!$C$27,IF(AF31=Dienste!$A$28,Dienste!$C$28,IF(AF31=Dienste!#REF!,Dienste!#REF!,IF(AF31=Dienste!#REF!,Dienste!#REF!,IF(AF31=Dienste!#REF!,Dienste!#REF!,IF(AF31=Dienste!#REF!,Dienste!#REF!,IF(AF31=Dienste!$A$33,Dienste!$C$33,IF(AF31=Dienste!$A$34,Dienste!$C$34,IF(AF31=Dienste!$A$35,Dienste!$C$35,IF(AF31=Dienste!$A$36,Dienste!$C$36,)))))))))))))))))))))))))))))))))))</f>
        <v>0</v>
      </c>
      <c r="CA31" s="27">
        <f>IF(AG31=Dienste!$A$2,Dienste!$C$2,IF(AG31=Dienste!$A$3,Dienste!$C$3,IF(AG31=Dienste!$A$4,Dienste!$C$4,IF(AG31=Dienste!$A$5,Dienste!$C$5,IF(AG31=Dienste!$A$6,Dienste!$C$6,IF(AG31=Dienste!$A$7,Dienste!$C$7,IF(AG31=Dienste!$A$8,Dienste!$C$8,IF(AG31=Dienste!$A$9,Dienste!$C$9,IF(AG31=Dienste!$A$10,Dienste!$C$10,IF(AG31=Dienste!$A$11,Dienste!$C$11,IF(AG31=Dienste!$A$12,Dienste!$C$12,IF(AG31=Dienste!$A$13,Dienste!$C$13,IF(AG31=Dienste!$A$14,Dienste!$C$14,IF(AG31=Dienste!$A$15,Dienste!$C$15,IF(AG31=Dienste!$A$16,Dienste!$C$16,IF(AG31=Dienste!$A$17,Dienste!$C$17,IF(AG31=Dienste!$A$18,Dienste!$C$18,IF(AG31=Dienste!$A$19,Dienste!$C$19,IF(AG31=Dienste!$A$20,Dienste!$C$20,IF(AG31=Dienste!$A$21,Dienste!$C$21,IF(AG31=Dienste!$A$22,Dienste!$C$22,IF(AG31=Dienste!$A$23,Dienste!$C$23,IF(AG31=Dienste!$A$24,Dienste!$C$24,IF(AG31=Dienste!$A$25,Dienste!$C$25,IF(AG31=Dienste!$A$26,Dienste!$C$26,IF(AG31=Dienste!$A$27,Dienste!$C$27,IF(AG31=Dienste!$A$28,Dienste!$C$28,IF(AG31=Dienste!#REF!,Dienste!#REF!,IF(AG31=Dienste!#REF!,Dienste!#REF!,IF(AG31=Dienste!#REF!,Dienste!#REF!,IF(AG31=Dienste!#REF!,Dienste!#REF!,IF(AG31=Dienste!$A$33,Dienste!$C$33,IF(AG31=Dienste!$A$34,Dienste!$C$34,IF(AG31=Dienste!$A$35,Dienste!$C$35,IF(AG31=Dienste!$A$36,Dienste!$C$36,)))))))))))))))))))))))))))))))))))</f>
        <v>0</v>
      </c>
      <c r="CB31" s="27">
        <f>IF(AH31=Dienste!$A$2,Dienste!$C$2,IF(AH31=Dienste!$A$3,Dienste!$C$3,IF(AH31=Dienste!$A$4,Dienste!$C$4,IF(AH31=Dienste!$A$5,Dienste!$C$5,IF(AH31=Dienste!$A$6,Dienste!$C$6,IF(AH31=Dienste!$A$7,Dienste!$C$7,IF(AH31=Dienste!$A$8,Dienste!$C$8,IF(AH31=Dienste!$A$9,Dienste!$C$9,IF(AH31=Dienste!$A$10,Dienste!$C$10,IF(AH31=Dienste!$A$11,Dienste!$C$11,IF(AH31=Dienste!$A$12,Dienste!$C$12,IF(AH31=Dienste!$A$13,Dienste!$C$13,IF(AH31=Dienste!$A$14,Dienste!$C$14,IF(AH31=Dienste!$A$15,Dienste!$C$15,IF(AH31=Dienste!$A$16,Dienste!$C$16,IF(AH31=Dienste!$A$17,Dienste!$C$17,IF(AH31=Dienste!$A$18,Dienste!$C$18,IF(AH31=Dienste!$A$19,Dienste!$C$19,IF(AH31=Dienste!$A$20,Dienste!$C$20,IF(AH31=Dienste!$A$21,Dienste!$C$21,IF(AH31=Dienste!$A$22,Dienste!$C$22,IF(AH31=Dienste!$A$23,Dienste!$C$23,IF(AH31=Dienste!$A$24,Dienste!$C$24,IF(AH31=Dienste!$A$25,Dienste!$C$25,IF(AH31=Dienste!$A$26,Dienste!$C$26,IF(AH31=Dienste!$A$27,Dienste!$C$27,IF(AH31=Dienste!$A$28,Dienste!$C$28,IF(AH31=Dienste!#REF!,Dienste!#REF!,IF(AH31=Dienste!#REF!,Dienste!#REF!,IF(AH31=Dienste!#REF!,Dienste!#REF!,IF(AH31=Dienste!#REF!,Dienste!#REF!,IF(AH31=Dienste!$A$33,Dienste!$C$33,IF(AH31=Dienste!$A$34,Dienste!$C$34,IF(AH31=Dienste!$A$35,Dienste!$C$35,IF(AH31=Dienste!$A$36,Dienste!$C$36,)))))))))))))))))))))))))))))))))))</f>
        <v>8</v>
      </c>
      <c r="CC31" s="27" t="e">
        <f>IF(AI31=Dienste!$A$2,Dienste!$C$2,IF(AI31=Dienste!$A$3,Dienste!$C$3,IF(AI31=Dienste!$A$4,Dienste!$C$4,IF(AI31=Dienste!$A$5,Dienste!$C$5,IF(AI31=Dienste!$A$6,Dienste!$C$6,IF(AI31=Dienste!$A$7,Dienste!$C$7,IF(AI31=Dienste!$A$8,Dienste!$C$8,IF(AI31=Dienste!$A$9,Dienste!$C$9,IF(AI31=Dienste!$A$10,Dienste!$C$10,IF(AI31=Dienste!$A$11,Dienste!$C$11,IF(AI31=Dienste!$A$12,Dienste!$C$12,IF(AI31=Dienste!$A$13,Dienste!$C$13,IF(AI31=Dienste!$A$14,Dienste!$C$14,IF(AI31=Dienste!$A$15,Dienste!$C$15,IF(AI31=Dienste!$A$16,Dienste!$C$16,IF(AI31=Dienste!$A$17,Dienste!$C$17,IF(AI31=Dienste!$A$18,Dienste!$C$18,IF(AI31=Dienste!$A$19,Dienste!$C$19,IF(AI31=Dienste!$A$20,Dienste!$C$20,IF(AI31=Dienste!$A$21,Dienste!$C$21,IF(AI31=Dienste!$A$22,Dienste!$C$22,IF(AI31=Dienste!$A$23,Dienste!$C$23,IF(AI31=Dienste!$A$24,Dienste!$C$24,IF(AI31=Dienste!$A$25,Dienste!$C$25,IF(AI31=Dienste!$A$26,Dienste!$C$26,IF(AI31=Dienste!$A$27,Dienste!$C$27,IF(AI31=Dienste!$A$28,Dienste!$C$28,IF(AI31=Dienste!#REF!,Dienste!#REF!,IF(AI31=Dienste!#REF!,Dienste!#REF!,IF(AI31=Dienste!#REF!,Dienste!#REF!,IF(AI31=Dienste!#REF!,Dienste!#REF!,IF(AI31=Dienste!$A$33,Dienste!$C$33,IF(AI31=Dienste!$A$34,Dienste!$C$34,IF(AI31=Dienste!$A$35,Dienste!$C$35,IF(AI31=Dienste!$A$36,Dienste!$C$36,)))))))))))))))))))))))))))))))))))</f>
        <v>#REF!</v>
      </c>
    </row>
    <row r="32" spans="1:81" x14ac:dyDescent="0.25">
      <c r="A32" s="109" t="s">
        <v>144</v>
      </c>
      <c r="B32" s="15" t="s">
        <v>230</v>
      </c>
      <c r="C32" s="15">
        <v>40</v>
      </c>
      <c r="D32" s="98">
        <v>1</v>
      </c>
      <c r="E32" s="104" t="s">
        <v>83</v>
      </c>
      <c r="F32" s="9" t="s">
        <v>31</v>
      </c>
      <c r="G32" s="9" t="s">
        <v>31</v>
      </c>
      <c r="H32" s="9" t="s">
        <v>43</v>
      </c>
      <c r="I32" s="9" t="s">
        <v>31</v>
      </c>
      <c r="J32" s="9" t="s">
        <v>31</v>
      </c>
      <c r="K32" s="9" t="s">
        <v>83</v>
      </c>
      <c r="L32" s="9" t="s">
        <v>83</v>
      </c>
      <c r="M32" s="9" t="s">
        <v>31</v>
      </c>
      <c r="N32" s="9" t="s">
        <v>31</v>
      </c>
      <c r="O32" s="9" t="s">
        <v>31</v>
      </c>
      <c r="P32" s="9" t="s">
        <v>31</v>
      </c>
      <c r="Q32" s="9" t="s">
        <v>31</v>
      </c>
      <c r="R32" s="9" t="s">
        <v>83</v>
      </c>
      <c r="S32" s="9" t="s">
        <v>83</v>
      </c>
      <c r="T32" s="9" t="s">
        <v>31</v>
      </c>
      <c r="U32" s="9" t="s">
        <v>31</v>
      </c>
      <c r="V32" s="9" t="s">
        <v>31</v>
      </c>
      <c r="W32" s="9" t="s">
        <v>32</v>
      </c>
      <c r="X32" s="9" t="s">
        <v>31</v>
      </c>
      <c r="Y32" s="9" t="s">
        <v>84</v>
      </c>
      <c r="Z32" s="9" t="s">
        <v>84</v>
      </c>
      <c r="AA32" s="9" t="s">
        <v>63</v>
      </c>
      <c r="AB32" s="9" t="s">
        <v>63</v>
      </c>
      <c r="AC32" s="9" t="s">
        <v>63</v>
      </c>
      <c r="AD32" s="9" t="s">
        <v>63</v>
      </c>
      <c r="AE32" s="9" t="s">
        <v>63</v>
      </c>
      <c r="AF32" s="9" t="s">
        <v>84</v>
      </c>
      <c r="AG32" s="9" t="s">
        <v>84</v>
      </c>
      <c r="AH32" s="9" t="s">
        <v>63</v>
      </c>
      <c r="AI32" s="15"/>
      <c r="AJ32" s="109">
        <v>11.1</v>
      </c>
      <c r="AK32" s="15">
        <v>168</v>
      </c>
      <c r="AL32" s="109">
        <v>168</v>
      </c>
      <c r="AM32" s="15">
        <v>11.1</v>
      </c>
      <c r="AN32" s="170">
        <v>0</v>
      </c>
      <c r="AO32" s="109">
        <v>0</v>
      </c>
      <c r="AP32" s="15">
        <v>0</v>
      </c>
      <c r="AQ32" s="98">
        <v>4</v>
      </c>
      <c r="AR32" s="109">
        <v>60</v>
      </c>
      <c r="AS32" s="15">
        <v>41.307692307692307</v>
      </c>
      <c r="AT32" s="98">
        <v>26</v>
      </c>
      <c r="AU32" s="96" t="e">
        <f t="shared" si="2"/>
        <v>#REF!</v>
      </c>
      <c r="AV32" s="27" t="e">
        <f t="shared" si="0"/>
        <v>#REF!</v>
      </c>
      <c r="AW32" s="58" t="e">
        <f t="shared" si="1"/>
        <v>#REF!</v>
      </c>
      <c r="AY32" s="27">
        <f>IF(E32=Dienste!$A$2,Dienste!$C$2,IF(E32=Dienste!$A$3,Dienste!$C$3,IF(E32=Dienste!$A$4,Dienste!$C$4,IF(E32=Dienste!$A$5,Dienste!$C$5,IF(E32=Dienste!$A$6,Dienste!$C$6,IF(E32=Dienste!$A$7,Dienste!$C$7,IF(E32=Dienste!$A$8,Dienste!$C$8,IF(E32=Dienste!$A$9,Dienste!$C$9,IF(E32=Dienste!$A$10,Dienste!$C$10,IF(E32=Dienste!$A$11,Dienste!$C$11,IF(E32=Dienste!$A$12,Dienste!$C$12,IF(E32=Dienste!$A$13,Dienste!$C$13,IF(E32=Dienste!$A$14,Dienste!$C$14,IF(E32=Dienste!$A$15,Dienste!$C$15,IF(E32=Dienste!$A$16,Dienste!$C$16,IF(E32=Dienste!$A$17,Dienste!$C$17,IF(E32=Dienste!$A$18,Dienste!$C$18,IF(E32=Dienste!$A$19,Dienste!$C$19,IF(E32=Dienste!$A$20,Dienste!$C$20,IF(E32=Dienste!$A$21,Dienste!$C$21,IF(E32=Dienste!$A$22,Dienste!$C$22,IF(E32=Dienste!$A$23,Dienste!$C$23,IF(E32=Dienste!$A$24,Dienste!$C$24,IF(E32=Dienste!$A$25,Dienste!$C$25,IF(E32=Dienste!$A$26,Dienste!$C$26,IF(E32=Dienste!$A$27,Dienste!$C$27,IF(E32=Dienste!$A$28,Dienste!$C$28,IF(E32=Dienste!#REF!,Dienste!#REF!,IF(E32=Dienste!#REF!,Dienste!#REF!,IF(E32=Dienste!#REF!,Dienste!#REF!,IF(E32=Dienste!#REF!,Dienste!#REF!,IF(E32=Dienste!$A$33,Dienste!$C$33,IF(E32=Dienste!$A$34,Dienste!$C$34,IF(E32=Dienste!$A$35,Dienste!$C$35,IF(E32=Dienste!$A$36,Dienste!$C$36,)))))))))))))))))))))))))))))))))))</f>
        <v>0</v>
      </c>
      <c r="AZ32" s="27">
        <f>IF(F32=Dienste!$A$2,Dienste!$C$2,IF(F32=Dienste!$A$3,Dienste!$C$3,IF(F32=Dienste!$A$4,Dienste!$C$4,IF(F32=Dienste!$A$5,Dienste!$C$5,IF(F32=Dienste!$A$6,Dienste!$C$6,IF(F32=Dienste!$A$7,Dienste!$C$7,IF(F32=Dienste!$A$8,Dienste!$C$8,IF(F32=Dienste!$A$9,Dienste!$C$9,IF(F32=Dienste!$A$10,Dienste!$C$10,IF(F32=Dienste!$A$11,Dienste!$C$11,IF(F32=Dienste!$A$12,Dienste!$C$12,IF(F32=Dienste!$A$13,Dienste!$C$13,IF(F32=Dienste!$A$14,Dienste!$C$14,IF(F32=Dienste!$A$15,Dienste!$C$15,IF(F32=Dienste!$A$16,Dienste!$C$16,IF(F32=Dienste!$A$17,Dienste!$C$17,IF(F32=Dienste!$A$18,Dienste!$C$18,IF(F32=Dienste!$A$19,Dienste!$C$19,IF(F32=Dienste!$A$20,Dienste!$C$20,IF(F32=Dienste!$A$21,Dienste!$C$21,IF(F32=Dienste!$A$22,Dienste!$C$22,IF(F32=Dienste!$A$23,Dienste!$C$23,IF(F32=Dienste!$A$24,Dienste!$C$24,IF(F32=Dienste!$A$25,Dienste!$C$25,IF(F32=Dienste!$A$26,Dienste!$C$26,IF(F32=Dienste!$A$27,Dienste!$C$27,IF(F32=Dienste!$A$28,Dienste!$C$28,IF(F32=Dienste!#REF!,Dienste!#REF!,IF(F32=Dienste!#REF!,Dienste!#REF!,IF(F32=Dienste!#REF!,Dienste!#REF!,IF(F32=Dienste!#REF!,Dienste!#REF!,IF(F32=Dienste!$A$33,Dienste!$C$33,IF(F32=Dienste!$A$34,Dienste!$C$34,IF(F32=Dienste!$A$35,Dienste!$C$35,IF(F32=Dienste!$A$36,Dienste!$C$36,)))))))))))))))))))))))))))))))))))</f>
        <v>8</v>
      </c>
      <c r="BA32" s="27">
        <f>IF(G32=Dienste!$A$2,Dienste!$C$2,IF(G32=Dienste!$A$3,Dienste!$C$3,IF(G32=Dienste!$A$4,Dienste!$C$4,IF(G32=Dienste!$A$5,Dienste!$C$5,IF(G32=Dienste!$A$6,Dienste!$C$6,IF(G32=Dienste!$A$7,Dienste!$C$7,IF(G32=Dienste!$A$8,Dienste!$C$8,IF(G32=Dienste!$A$9,Dienste!$C$9,IF(G32=Dienste!$A$10,Dienste!$C$10,IF(G32=Dienste!$A$11,Dienste!$C$11,IF(G32=Dienste!$A$12,Dienste!$C$12,IF(G32=Dienste!$A$13,Dienste!$C$13,IF(G32=Dienste!$A$14,Dienste!$C$14,IF(G32=Dienste!$A$15,Dienste!$C$15,IF(G32=Dienste!$A$16,Dienste!$C$16,IF(G32=Dienste!$A$17,Dienste!$C$17,IF(G32=Dienste!$A$18,Dienste!$C$18,IF(G32=Dienste!$A$19,Dienste!$C$19,IF(G32=Dienste!$A$20,Dienste!$C$20,IF(G32=Dienste!$A$21,Dienste!$C$21,IF(G32=Dienste!$A$22,Dienste!$C$22,IF(G32=Dienste!$A$23,Dienste!$C$23,IF(G32=Dienste!$A$24,Dienste!$C$24,IF(G32=Dienste!$A$25,Dienste!$C$25,IF(G32=Dienste!$A$26,Dienste!$C$26,IF(G32=Dienste!$A$27,Dienste!$C$27,IF(G32=Dienste!$A$28,Dienste!$C$28,IF(G32=Dienste!#REF!,Dienste!#REF!,IF(G32=Dienste!#REF!,Dienste!#REF!,IF(G32=Dienste!#REF!,Dienste!#REF!,IF(G32=Dienste!#REF!,Dienste!#REF!,IF(G32=Dienste!$A$33,Dienste!$C$33,IF(G32=Dienste!$A$34,Dienste!$C$34,IF(G32=Dienste!$A$35,Dienste!$C$35,IF(G32=Dienste!$A$36,Dienste!$C$36,)))))))))))))))))))))))))))))))))))</f>
        <v>8</v>
      </c>
      <c r="BB32" s="27">
        <f>IF(H32=Dienste!$A$2,Dienste!$C$2,IF(H32=Dienste!$A$3,Dienste!$C$3,IF(H32=Dienste!$A$4,Dienste!$C$4,IF(H32=Dienste!$A$5,Dienste!$C$5,IF(H32=Dienste!$A$6,Dienste!$C$6,IF(H32=Dienste!$A$7,Dienste!$C$7,IF(H32=Dienste!$A$8,Dienste!$C$8,IF(H32=Dienste!$A$9,Dienste!$C$9,IF(H32=Dienste!$A$10,Dienste!$C$10,IF(H32=Dienste!$A$11,Dienste!$C$11,IF(H32=Dienste!$A$12,Dienste!$C$12,IF(H32=Dienste!$A$13,Dienste!$C$13,IF(H32=Dienste!$A$14,Dienste!$C$14,IF(H32=Dienste!$A$15,Dienste!$C$15,IF(H32=Dienste!$A$16,Dienste!$C$16,IF(H32=Dienste!$A$17,Dienste!$C$17,IF(H32=Dienste!$A$18,Dienste!$C$18,IF(H32=Dienste!$A$19,Dienste!$C$19,IF(H32=Dienste!$A$20,Dienste!$C$20,IF(H32=Dienste!$A$21,Dienste!$C$21,IF(H32=Dienste!$A$22,Dienste!$C$22,IF(H32=Dienste!$A$23,Dienste!$C$23,IF(H32=Dienste!$A$24,Dienste!$C$24,IF(H32=Dienste!$A$25,Dienste!$C$25,IF(H32=Dienste!$A$26,Dienste!$C$26,IF(H32=Dienste!$A$27,Dienste!$C$27,IF(H32=Dienste!$A$28,Dienste!$C$28,IF(H32=Dienste!#REF!,Dienste!#REF!,IF(H32=Dienste!#REF!,Dienste!#REF!,IF(H32=Dienste!#REF!,Dienste!#REF!,IF(H32=Dienste!#REF!,Dienste!#REF!,IF(H32=Dienste!$A$33,Dienste!$C$33,IF(H32=Dienste!$A$34,Dienste!$C$34,IF(H32=Dienste!$A$35,Dienste!$C$35,IF(H32=Dienste!$A$36,Dienste!$C$36,)))))))))))))))))))))))))))))))))))</f>
        <v>8</v>
      </c>
      <c r="BC32" s="27">
        <f>IF(I32=Dienste!$A$2,Dienste!$C$2,IF(I32=Dienste!$A$3,Dienste!$C$3,IF(I32=Dienste!$A$4,Dienste!$C$4,IF(I32=Dienste!$A$5,Dienste!$C$5,IF(I32=Dienste!$A$6,Dienste!$C$6,IF(I32=Dienste!$A$7,Dienste!$C$7,IF(I32=Dienste!$A$8,Dienste!$C$8,IF(I32=Dienste!$A$9,Dienste!$C$9,IF(I32=Dienste!$A$10,Dienste!$C$10,IF(I32=Dienste!$A$11,Dienste!$C$11,IF(I32=Dienste!$A$12,Dienste!$C$12,IF(I32=Dienste!$A$13,Dienste!$C$13,IF(I32=Dienste!$A$14,Dienste!$C$14,IF(I32=Dienste!$A$15,Dienste!$C$15,IF(I32=Dienste!$A$16,Dienste!$C$16,IF(I32=Dienste!$A$17,Dienste!$C$17,IF(I32=Dienste!$A$18,Dienste!$C$18,IF(I32=Dienste!$A$19,Dienste!$C$19,IF(I32=Dienste!$A$20,Dienste!$C$20,IF(I32=Dienste!$A$21,Dienste!$C$21,IF(I32=Dienste!$A$22,Dienste!$C$22,IF(I32=Dienste!$A$23,Dienste!$C$23,IF(I32=Dienste!$A$24,Dienste!$C$24,IF(I32=Dienste!$A$25,Dienste!$C$25,IF(I32=Dienste!$A$26,Dienste!$C$26,IF(I32=Dienste!$A$27,Dienste!$C$27,IF(I32=Dienste!$A$28,Dienste!$C$28,IF(I32=Dienste!#REF!,Dienste!#REF!,IF(I32=Dienste!#REF!,Dienste!#REF!,IF(I32=Dienste!#REF!,Dienste!#REF!,IF(I32=Dienste!#REF!,Dienste!#REF!,IF(I32=Dienste!$A$33,Dienste!$C$33,IF(I32=Dienste!$A$34,Dienste!$C$34,IF(I32=Dienste!$A$35,Dienste!$C$35,IF(I32=Dienste!$A$36,Dienste!$C$36,)))))))))))))))))))))))))))))))))))</f>
        <v>8</v>
      </c>
      <c r="BD32" s="27">
        <f>IF(J32=Dienste!$A$2,Dienste!$C$2,IF(J32=Dienste!$A$3,Dienste!$C$3,IF(J32=Dienste!$A$4,Dienste!$C$4,IF(J32=Dienste!$A$5,Dienste!$C$5,IF(J32=Dienste!$A$6,Dienste!$C$6,IF(J32=Dienste!$A$7,Dienste!$C$7,IF(J32=Dienste!$A$8,Dienste!$C$8,IF(J32=Dienste!$A$9,Dienste!$C$9,IF(J32=Dienste!$A$10,Dienste!$C$10,IF(J32=Dienste!$A$11,Dienste!$C$11,IF(J32=Dienste!$A$12,Dienste!$C$12,IF(J32=Dienste!$A$13,Dienste!$C$13,IF(J32=Dienste!$A$14,Dienste!$C$14,IF(J32=Dienste!$A$15,Dienste!$C$15,IF(J32=Dienste!$A$16,Dienste!$C$16,IF(J32=Dienste!$A$17,Dienste!$C$17,IF(J32=Dienste!$A$18,Dienste!$C$18,IF(J32=Dienste!$A$19,Dienste!$C$19,IF(J32=Dienste!$A$20,Dienste!$C$20,IF(J32=Dienste!$A$21,Dienste!$C$21,IF(J32=Dienste!$A$22,Dienste!$C$22,IF(J32=Dienste!$A$23,Dienste!$C$23,IF(J32=Dienste!$A$24,Dienste!$C$24,IF(J32=Dienste!$A$25,Dienste!$C$25,IF(J32=Dienste!$A$26,Dienste!$C$26,IF(J32=Dienste!$A$27,Dienste!$C$27,IF(J32=Dienste!$A$28,Dienste!$C$28,IF(J32=Dienste!#REF!,Dienste!#REF!,IF(J32=Dienste!#REF!,Dienste!#REF!,IF(J32=Dienste!#REF!,Dienste!#REF!,IF(J32=Dienste!#REF!,Dienste!#REF!,IF(J32=Dienste!$A$33,Dienste!$C$33,IF(J32=Dienste!$A$34,Dienste!$C$34,IF(J32=Dienste!$A$35,Dienste!$C$35,IF(J32=Dienste!$A$36,Dienste!$C$36,)))))))))))))))))))))))))))))))))))</f>
        <v>8</v>
      </c>
      <c r="BE32" s="27">
        <f>IF(K32=Dienste!$A$2,Dienste!$C$2,IF(K32=Dienste!$A$3,Dienste!$C$3,IF(K32=Dienste!$A$4,Dienste!$C$4,IF(K32=Dienste!$A$5,Dienste!$C$5,IF(K32=Dienste!$A$6,Dienste!$C$6,IF(K32=Dienste!$A$7,Dienste!$C$7,IF(K32=Dienste!$A$8,Dienste!$C$8,IF(K32=Dienste!$A$9,Dienste!$C$9,IF(K32=Dienste!$A$10,Dienste!$C$10,IF(K32=Dienste!$A$11,Dienste!$C$11,IF(K32=Dienste!$A$12,Dienste!$C$12,IF(K32=Dienste!$A$13,Dienste!$C$13,IF(K32=Dienste!$A$14,Dienste!$C$14,IF(K32=Dienste!$A$15,Dienste!$C$15,IF(K32=Dienste!$A$16,Dienste!$C$16,IF(K32=Dienste!$A$17,Dienste!$C$17,IF(K32=Dienste!$A$18,Dienste!$C$18,IF(K32=Dienste!$A$19,Dienste!$C$19,IF(K32=Dienste!$A$20,Dienste!$C$20,IF(K32=Dienste!$A$21,Dienste!$C$21,IF(K32=Dienste!$A$22,Dienste!$C$22,IF(K32=Dienste!$A$23,Dienste!$C$23,IF(K32=Dienste!$A$24,Dienste!$C$24,IF(K32=Dienste!$A$25,Dienste!$C$25,IF(K32=Dienste!$A$26,Dienste!$C$26,IF(K32=Dienste!$A$27,Dienste!$C$27,IF(K32=Dienste!$A$28,Dienste!$C$28,IF(K32=Dienste!#REF!,Dienste!#REF!,IF(K32=Dienste!#REF!,Dienste!#REF!,IF(K32=Dienste!#REF!,Dienste!#REF!,IF(K32=Dienste!#REF!,Dienste!#REF!,IF(K32=Dienste!$A$33,Dienste!$C$33,IF(K32=Dienste!$A$34,Dienste!$C$34,IF(K32=Dienste!$A$35,Dienste!$C$35,IF(K32=Dienste!$A$36,Dienste!$C$36,)))))))))))))))))))))))))))))))))))</f>
        <v>0</v>
      </c>
      <c r="BF32" s="27">
        <f>IF(L32=Dienste!$A$2,Dienste!$C$2,IF(L32=Dienste!$A$3,Dienste!$C$3,IF(L32=Dienste!$A$4,Dienste!$C$4,IF(L32=Dienste!$A$5,Dienste!$C$5,IF(L32=Dienste!$A$6,Dienste!$C$6,IF(L32=Dienste!$A$7,Dienste!$C$7,IF(L32=Dienste!$A$8,Dienste!$C$8,IF(L32=Dienste!$A$9,Dienste!$C$9,IF(L32=Dienste!$A$10,Dienste!$C$10,IF(L32=Dienste!$A$11,Dienste!$C$11,IF(L32=Dienste!$A$12,Dienste!$C$12,IF(L32=Dienste!$A$13,Dienste!$C$13,IF(L32=Dienste!$A$14,Dienste!$C$14,IF(L32=Dienste!$A$15,Dienste!$C$15,IF(L32=Dienste!$A$16,Dienste!$C$16,IF(L32=Dienste!$A$17,Dienste!$C$17,IF(L32=Dienste!$A$18,Dienste!$C$18,IF(L32=Dienste!$A$19,Dienste!$C$19,IF(L32=Dienste!$A$20,Dienste!$C$20,IF(L32=Dienste!$A$21,Dienste!$C$21,IF(L32=Dienste!$A$22,Dienste!$C$22,IF(L32=Dienste!$A$23,Dienste!$C$23,IF(L32=Dienste!$A$24,Dienste!$C$24,IF(L32=Dienste!$A$25,Dienste!$C$25,IF(L32=Dienste!$A$26,Dienste!$C$26,IF(L32=Dienste!$A$27,Dienste!$C$27,IF(L32=Dienste!$A$28,Dienste!$C$28,IF(L32=Dienste!#REF!,Dienste!#REF!,IF(L32=Dienste!#REF!,Dienste!#REF!,IF(L32=Dienste!#REF!,Dienste!#REF!,IF(L32=Dienste!#REF!,Dienste!#REF!,IF(L32=Dienste!$A$33,Dienste!$C$33,IF(L32=Dienste!$A$34,Dienste!$C$34,IF(L32=Dienste!$A$35,Dienste!$C$35,IF(L32=Dienste!$A$36,Dienste!$C$36,)))))))))))))))))))))))))))))))))))</f>
        <v>0</v>
      </c>
      <c r="BG32" s="27">
        <f>IF(M32=Dienste!$A$2,Dienste!$C$2,IF(M32=Dienste!$A$3,Dienste!$C$3,IF(M32=Dienste!$A$4,Dienste!$C$4,IF(M32=Dienste!$A$5,Dienste!$C$5,IF(M32=Dienste!$A$6,Dienste!$C$6,IF(M32=Dienste!$A$7,Dienste!$C$7,IF(M32=Dienste!$A$8,Dienste!$C$8,IF(M32=Dienste!$A$9,Dienste!$C$9,IF(M32=Dienste!$A$10,Dienste!$C$10,IF(M32=Dienste!$A$11,Dienste!$C$11,IF(M32=Dienste!$A$12,Dienste!$C$12,IF(M32=Dienste!$A$13,Dienste!$C$13,IF(M32=Dienste!$A$14,Dienste!$C$14,IF(M32=Dienste!$A$15,Dienste!$C$15,IF(M32=Dienste!$A$16,Dienste!$C$16,IF(M32=Dienste!$A$17,Dienste!$C$17,IF(M32=Dienste!$A$18,Dienste!$C$18,IF(M32=Dienste!$A$19,Dienste!$C$19,IF(M32=Dienste!$A$20,Dienste!$C$20,IF(M32=Dienste!$A$21,Dienste!$C$21,IF(M32=Dienste!$A$22,Dienste!$C$22,IF(M32=Dienste!$A$23,Dienste!$C$23,IF(M32=Dienste!$A$24,Dienste!$C$24,IF(M32=Dienste!$A$25,Dienste!$C$25,IF(M32=Dienste!$A$26,Dienste!$C$26,IF(M32=Dienste!$A$27,Dienste!$C$27,IF(M32=Dienste!$A$28,Dienste!$C$28,IF(M32=Dienste!#REF!,Dienste!#REF!,IF(M32=Dienste!#REF!,Dienste!#REF!,IF(M32=Dienste!#REF!,Dienste!#REF!,IF(M32=Dienste!#REF!,Dienste!#REF!,IF(M32=Dienste!$A$33,Dienste!$C$33,IF(M32=Dienste!$A$34,Dienste!$C$34,IF(M32=Dienste!$A$35,Dienste!$C$35,IF(M32=Dienste!$A$36,Dienste!$C$36,)))))))))))))))))))))))))))))))))))</f>
        <v>8</v>
      </c>
      <c r="BH32" s="27">
        <f>IF(N32=Dienste!$A$2,Dienste!$C$2,IF(N32=Dienste!$A$3,Dienste!$C$3,IF(N32=Dienste!$A$4,Dienste!$C$4,IF(N32=Dienste!$A$5,Dienste!$C$5,IF(N32=Dienste!$A$6,Dienste!$C$6,IF(N32=Dienste!$A$7,Dienste!$C$7,IF(N32=Dienste!$A$8,Dienste!$C$8,IF(N32=Dienste!$A$9,Dienste!$C$9,IF(N32=Dienste!$A$10,Dienste!$C$10,IF(N32=Dienste!$A$11,Dienste!$C$11,IF(N32=Dienste!$A$12,Dienste!$C$12,IF(N32=Dienste!$A$13,Dienste!$C$13,IF(N32=Dienste!$A$14,Dienste!$C$14,IF(N32=Dienste!$A$15,Dienste!$C$15,IF(N32=Dienste!$A$16,Dienste!$C$16,IF(N32=Dienste!$A$17,Dienste!$C$17,IF(N32=Dienste!$A$18,Dienste!$C$18,IF(N32=Dienste!$A$19,Dienste!$C$19,IF(N32=Dienste!$A$20,Dienste!$C$20,IF(N32=Dienste!$A$21,Dienste!$C$21,IF(N32=Dienste!$A$22,Dienste!$C$22,IF(N32=Dienste!$A$23,Dienste!$C$23,IF(N32=Dienste!$A$24,Dienste!$C$24,IF(N32=Dienste!$A$25,Dienste!$C$25,IF(N32=Dienste!$A$26,Dienste!$C$26,IF(N32=Dienste!$A$27,Dienste!$C$27,IF(N32=Dienste!$A$28,Dienste!$C$28,IF(N32=Dienste!#REF!,Dienste!#REF!,IF(N32=Dienste!#REF!,Dienste!#REF!,IF(N32=Dienste!#REF!,Dienste!#REF!,IF(N32=Dienste!#REF!,Dienste!#REF!,IF(N32=Dienste!$A$33,Dienste!$C$33,IF(N32=Dienste!$A$34,Dienste!$C$34,IF(N32=Dienste!$A$35,Dienste!$C$35,IF(N32=Dienste!$A$36,Dienste!$C$36,)))))))))))))))))))))))))))))))))))</f>
        <v>8</v>
      </c>
      <c r="BI32" s="27">
        <f>IF(O32=Dienste!$A$2,Dienste!$C$2,IF(O32=Dienste!$A$3,Dienste!$C$3,IF(O32=Dienste!$A$4,Dienste!$C$4,IF(O32=Dienste!$A$5,Dienste!$C$5,IF(O32=Dienste!$A$6,Dienste!$C$6,IF(O32=Dienste!$A$7,Dienste!$C$7,IF(O32=Dienste!$A$8,Dienste!$C$8,IF(O32=Dienste!$A$9,Dienste!$C$9,IF(O32=Dienste!$A$10,Dienste!$C$10,IF(O32=Dienste!$A$11,Dienste!$C$11,IF(O32=Dienste!$A$12,Dienste!$C$12,IF(O32=Dienste!$A$13,Dienste!$C$13,IF(O32=Dienste!$A$14,Dienste!$C$14,IF(O32=Dienste!$A$15,Dienste!$C$15,IF(O32=Dienste!$A$16,Dienste!$C$16,IF(O32=Dienste!$A$17,Dienste!$C$17,IF(O32=Dienste!$A$18,Dienste!$C$18,IF(O32=Dienste!$A$19,Dienste!$C$19,IF(O32=Dienste!$A$20,Dienste!$C$20,IF(O32=Dienste!$A$21,Dienste!$C$21,IF(O32=Dienste!$A$22,Dienste!$C$22,IF(O32=Dienste!$A$23,Dienste!$C$23,IF(O32=Dienste!$A$24,Dienste!$C$24,IF(O32=Dienste!$A$25,Dienste!$C$25,IF(O32=Dienste!$A$26,Dienste!$C$26,IF(O32=Dienste!$A$27,Dienste!$C$27,IF(O32=Dienste!$A$28,Dienste!$C$28,IF(O32=Dienste!#REF!,Dienste!#REF!,IF(O32=Dienste!#REF!,Dienste!#REF!,IF(O32=Dienste!#REF!,Dienste!#REF!,IF(O32=Dienste!#REF!,Dienste!#REF!,IF(O32=Dienste!$A$33,Dienste!$C$33,IF(O32=Dienste!$A$34,Dienste!$C$34,IF(O32=Dienste!$A$35,Dienste!$C$35,IF(O32=Dienste!$A$36,Dienste!$C$36,)))))))))))))))))))))))))))))))))))</f>
        <v>8</v>
      </c>
      <c r="BJ32" s="27">
        <f>IF(P32=Dienste!$A$2,Dienste!$C$2,IF(P32=Dienste!$A$3,Dienste!$C$3,IF(P32=Dienste!$A$4,Dienste!$C$4,IF(P32=Dienste!$A$5,Dienste!$C$5,IF(P32=Dienste!$A$6,Dienste!$C$6,IF(P32=Dienste!$A$7,Dienste!$C$7,IF(P32=Dienste!$A$8,Dienste!$C$8,IF(P32=Dienste!$A$9,Dienste!$C$9,IF(P32=Dienste!$A$10,Dienste!$C$10,IF(P32=Dienste!$A$11,Dienste!$C$11,IF(P32=Dienste!$A$12,Dienste!$C$12,IF(P32=Dienste!$A$13,Dienste!$C$13,IF(P32=Dienste!$A$14,Dienste!$C$14,IF(P32=Dienste!$A$15,Dienste!$C$15,IF(P32=Dienste!$A$16,Dienste!$C$16,IF(P32=Dienste!$A$17,Dienste!$C$17,IF(P32=Dienste!$A$18,Dienste!$C$18,IF(P32=Dienste!$A$19,Dienste!$C$19,IF(P32=Dienste!$A$20,Dienste!$C$20,IF(P32=Dienste!$A$21,Dienste!$C$21,IF(P32=Dienste!$A$22,Dienste!$C$22,IF(P32=Dienste!$A$23,Dienste!$C$23,IF(P32=Dienste!$A$24,Dienste!$C$24,IF(P32=Dienste!$A$25,Dienste!$C$25,IF(P32=Dienste!$A$26,Dienste!$C$26,IF(P32=Dienste!$A$27,Dienste!$C$27,IF(P32=Dienste!$A$28,Dienste!$C$28,IF(P32=Dienste!#REF!,Dienste!#REF!,IF(P32=Dienste!#REF!,Dienste!#REF!,IF(P32=Dienste!#REF!,Dienste!#REF!,IF(P32=Dienste!#REF!,Dienste!#REF!,IF(P32=Dienste!$A$33,Dienste!$C$33,IF(P32=Dienste!$A$34,Dienste!$C$34,IF(P32=Dienste!$A$35,Dienste!$C$35,IF(P32=Dienste!$A$36,Dienste!$C$36,)))))))))))))))))))))))))))))))))))</f>
        <v>8</v>
      </c>
      <c r="BK32" s="27">
        <f>IF(Q32=Dienste!$A$2,Dienste!$C$2,IF(Q32=Dienste!$A$3,Dienste!$C$3,IF(Q32=Dienste!$A$4,Dienste!$C$4,IF(Q32=Dienste!$A$5,Dienste!$C$5,IF(Q32=Dienste!$A$6,Dienste!$C$6,IF(Q32=Dienste!$A$7,Dienste!$C$7,IF(Q32=Dienste!$A$8,Dienste!$C$8,IF(Q32=Dienste!$A$9,Dienste!$C$9,IF(Q32=Dienste!$A$10,Dienste!$C$10,IF(Q32=Dienste!$A$11,Dienste!$C$11,IF(Q32=Dienste!$A$12,Dienste!$C$12,IF(Q32=Dienste!$A$13,Dienste!$C$13,IF(Q32=Dienste!$A$14,Dienste!$C$14,IF(Q32=Dienste!$A$15,Dienste!$C$15,IF(Q32=Dienste!$A$16,Dienste!$C$16,IF(Q32=Dienste!$A$17,Dienste!$C$17,IF(Q32=Dienste!$A$18,Dienste!$C$18,IF(Q32=Dienste!$A$19,Dienste!$C$19,IF(Q32=Dienste!$A$20,Dienste!$C$20,IF(Q32=Dienste!$A$21,Dienste!$C$21,IF(Q32=Dienste!$A$22,Dienste!$C$22,IF(Q32=Dienste!$A$23,Dienste!$C$23,IF(Q32=Dienste!$A$24,Dienste!$C$24,IF(Q32=Dienste!$A$25,Dienste!$C$25,IF(Q32=Dienste!$A$26,Dienste!$C$26,IF(Q32=Dienste!$A$27,Dienste!$C$27,IF(Q32=Dienste!$A$28,Dienste!$C$28,IF(Q32=Dienste!#REF!,Dienste!#REF!,IF(Q32=Dienste!#REF!,Dienste!#REF!,IF(Q32=Dienste!#REF!,Dienste!#REF!,IF(Q32=Dienste!#REF!,Dienste!#REF!,IF(Q32=Dienste!$A$33,Dienste!$C$33,IF(Q32=Dienste!$A$34,Dienste!$C$34,IF(Q32=Dienste!$A$35,Dienste!$C$35,IF(Q32=Dienste!$A$36,Dienste!$C$36,)))))))))))))))))))))))))))))))))))</f>
        <v>8</v>
      </c>
      <c r="BL32" s="27">
        <f>IF(R32=Dienste!$A$2,Dienste!$C$2,IF(R32=Dienste!$A$3,Dienste!$C$3,IF(R32=Dienste!$A$4,Dienste!$C$4,IF(R32=Dienste!$A$5,Dienste!$C$5,IF(R32=Dienste!$A$6,Dienste!$C$6,IF(R32=Dienste!$A$7,Dienste!$C$7,IF(R32=Dienste!$A$8,Dienste!$C$8,IF(R32=Dienste!$A$9,Dienste!$C$9,IF(R32=Dienste!$A$10,Dienste!$C$10,IF(R32=Dienste!$A$11,Dienste!$C$11,IF(R32=Dienste!$A$12,Dienste!$C$12,IF(R32=Dienste!$A$13,Dienste!$C$13,IF(R32=Dienste!$A$14,Dienste!$C$14,IF(R32=Dienste!$A$15,Dienste!$C$15,IF(R32=Dienste!$A$16,Dienste!$C$16,IF(R32=Dienste!$A$17,Dienste!$C$17,IF(R32=Dienste!$A$18,Dienste!$C$18,IF(R32=Dienste!$A$19,Dienste!$C$19,IF(R32=Dienste!$A$20,Dienste!$C$20,IF(R32=Dienste!$A$21,Dienste!$C$21,IF(R32=Dienste!$A$22,Dienste!$C$22,IF(R32=Dienste!$A$23,Dienste!$C$23,IF(R32=Dienste!$A$24,Dienste!$C$24,IF(R32=Dienste!$A$25,Dienste!$C$25,IF(R32=Dienste!$A$26,Dienste!$C$26,IF(R32=Dienste!$A$27,Dienste!$C$27,IF(R32=Dienste!$A$28,Dienste!$C$28,IF(R32=Dienste!#REF!,Dienste!#REF!,IF(R32=Dienste!#REF!,Dienste!#REF!,IF(R32=Dienste!#REF!,Dienste!#REF!,IF(R32=Dienste!#REF!,Dienste!#REF!,IF(R32=Dienste!$A$33,Dienste!$C$33,IF(R32=Dienste!$A$34,Dienste!$C$34,IF(R32=Dienste!$A$35,Dienste!$C$35,IF(R32=Dienste!$A$36,Dienste!$C$36,)))))))))))))))))))))))))))))))))))</f>
        <v>0</v>
      </c>
      <c r="BM32" s="27">
        <f>IF(S32=Dienste!$A$2,Dienste!$C$2,IF(S32=Dienste!$A$3,Dienste!$C$3,IF(S32=Dienste!$A$4,Dienste!$C$4,IF(S32=Dienste!$A$5,Dienste!$C$5,IF(S32=Dienste!$A$6,Dienste!$C$6,IF(S32=Dienste!$A$7,Dienste!$C$7,IF(S32=Dienste!$A$8,Dienste!$C$8,IF(S32=Dienste!$A$9,Dienste!$C$9,IF(S32=Dienste!$A$10,Dienste!$C$10,IF(S32=Dienste!$A$11,Dienste!$C$11,IF(S32=Dienste!$A$12,Dienste!$C$12,IF(S32=Dienste!$A$13,Dienste!$C$13,IF(S32=Dienste!$A$14,Dienste!$C$14,IF(S32=Dienste!$A$15,Dienste!$C$15,IF(S32=Dienste!$A$16,Dienste!$C$16,IF(S32=Dienste!$A$17,Dienste!$C$17,IF(S32=Dienste!$A$18,Dienste!$C$18,IF(S32=Dienste!$A$19,Dienste!$C$19,IF(S32=Dienste!$A$20,Dienste!$C$20,IF(S32=Dienste!$A$21,Dienste!$C$21,IF(S32=Dienste!$A$22,Dienste!$C$22,IF(S32=Dienste!$A$23,Dienste!$C$23,IF(S32=Dienste!$A$24,Dienste!$C$24,IF(S32=Dienste!$A$25,Dienste!$C$25,IF(S32=Dienste!$A$26,Dienste!$C$26,IF(S32=Dienste!$A$27,Dienste!$C$27,IF(S32=Dienste!$A$28,Dienste!$C$28,IF(S32=Dienste!#REF!,Dienste!#REF!,IF(S32=Dienste!#REF!,Dienste!#REF!,IF(S32=Dienste!#REF!,Dienste!#REF!,IF(S32=Dienste!#REF!,Dienste!#REF!,IF(S32=Dienste!$A$33,Dienste!$C$33,IF(S32=Dienste!$A$34,Dienste!$C$34,IF(S32=Dienste!$A$35,Dienste!$C$35,IF(S32=Dienste!$A$36,Dienste!$C$36,)))))))))))))))))))))))))))))))))))</f>
        <v>0</v>
      </c>
      <c r="BN32" s="27">
        <f>IF(T32=Dienste!$A$2,Dienste!$C$2,IF(T32=Dienste!$A$3,Dienste!$C$3,IF(T32=Dienste!$A$4,Dienste!$C$4,IF(T32=Dienste!$A$5,Dienste!$C$5,IF(T32=Dienste!$A$6,Dienste!$C$6,IF(T32=Dienste!$A$7,Dienste!$C$7,IF(T32=Dienste!$A$8,Dienste!$C$8,IF(T32=Dienste!$A$9,Dienste!$C$9,IF(T32=Dienste!$A$10,Dienste!$C$10,IF(T32=Dienste!$A$11,Dienste!$C$11,IF(T32=Dienste!$A$12,Dienste!$C$12,IF(T32=Dienste!$A$13,Dienste!$C$13,IF(T32=Dienste!$A$14,Dienste!$C$14,IF(T32=Dienste!$A$15,Dienste!$C$15,IF(T32=Dienste!$A$16,Dienste!$C$16,IF(T32=Dienste!$A$17,Dienste!$C$17,IF(T32=Dienste!$A$18,Dienste!$C$18,IF(T32=Dienste!$A$19,Dienste!$C$19,IF(T32=Dienste!$A$20,Dienste!$C$20,IF(T32=Dienste!$A$21,Dienste!$C$21,IF(T32=Dienste!$A$22,Dienste!$C$22,IF(T32=Dienste!$A$23,Dienste!$C$23,IF(T32=Dienste!$A$24,Dienste!$C$24,IF(T32=Dienste!$A$25,Dienste!$C$25,IF(T32=Dienste!$A$26,Dienste!$C$26,IF(T32=Dienste!$A$27,Dienste!$C$27,IF(T32=Dienste!$A$28,Dienste!$C$28,IF(T32=Dienste!#REF!,Dienste!#REF!,IF(T32=Dienste!#REF!,Dienste!#REF!,IF(T32=Dienste!#REF!,Dienste!#REF!,IF(T32=Dienste!#REF!,Dienste!#REF!,IF(T32=Dienste!$A$33,Dienste!$C$33,IF(T32=Dienste!$A$34,Dienste!$C$34,IF(T32=Dienste!$A$35,Dienste!$C$35,IF(T32=Dienste!$A$36,Dienste!$C$36,)))))))))))))))))))))))))))))))))))</f>
        <v>8</v>
      </c>
      <c r="BO32" s="27">
        <f>IF(U32=Dienste!$A$2,Dienste!$C$2,IF(U32=Dienste!$A$3,Dienste!$C$3,IF(U32=Dienste!$A$4,Dienste!$C$4,IF(U32=Dienste!$A$5,Dienste!$C$5,IF(U32=Dienste!$A$6,Dienste!$C$6,IF(U32=Dienste!$A$7,Dienste!$C$7,IF(U32=Dienste!$A$8,Dienste!$C$8,IF(U32=Dienste!$A$9,Dienste!$C$9,IF(U32=Dienste!$A$10,Dienste!$C$10,IF(U32=Dienste!$A$11,Dienste!$C$11,IF(U32=Dienste!$A$12,Dienste!$C$12,IF(U32=Dienste!$A$13,Dienste!$C$13,IF(U32=Dienste!$A$14,Dienste!$C$14,IF(U32=Dienste!$A$15,Dienste!$C$15,IF(U32=Dienste!$A$16,Dienste!$C$16,IF(U32=Dienste!$A$17,Dienste!$C$17,IF(U32=Dienste!$A$18,Dienste!$C$18,IF(U32=Dienste!$A$19,Dienste!$C$19,IF(U32=Dienste!$A$20,Dienste!$C$20,IF(U32=Dienste!$A$21,Dienste!$C$21,IF(U32=Dienste!$A$22,Dienste!$C$22,IF(U32=Dienste!$A$23,Dienste!$C$23,IF(U32=Dienste!$A$24,Dienste!$C$24,IF(U32=Dienste!$A$25,Dienste!$C$25,IF(U32=Dienste!$A$26,Dienste!$C$26,IF(U32=Dienste!$A$27,Dienste!$C$27,IF(U32=Dienste!$A$28,Dienste!$C$28,IF(U32=Dienste!#REF!,Dienste!#REF!,IF(U32=Dienste!#REF!,Dienste!#REF!,IF(U32=Dienste!#REF!,Dienste!#REF!,IF(U32=Dienste!#REF!,Dienste!#REF!,IF(U32=Dienste!$A$33,Dienste!$C$33,IF(U32=Dienste!$A$34,Dienste!$C$34,IF(U32=Dienste!$A$35,Dienste!$C$35,IF(U32=Dienste!$A$36,Dienste!$C$36,)))))))))))))))))))))))))))))))))))</f>
        <v>8</v>
      </c>
      <c r="BP32" s="27">
        <f>IF(V32=Dienste!$A$2,Dienste!$C$2,IF(V32=Dienste!$A$3,Dienste!$C$3,IF(V32=Dienste!$A$4,Dienste!$C$4,IF(V32=Dienste!$A$5,Dienste!$C$5,IF(V32=Dienste!$A$6,Dienste!$C$6,IF(V32=Dienste!$A$7,Dienste!$C$7,IF(V32=Dienste!$A$8,Dienste!$C$8,IF(V32=Dienste!$A$9,Dienste!$C$9,IF(V32=Dienste!$A$10,Dienste!$C$10,IF(V32=Dienste!$A$11,Dienste!$C$11,IF(V32=Dienste!$A$12,Dienste!$C$12,IF(V32=Dienste!$A$13,Dienste!$C$13,IF(V32=Dienste!$A$14,Dienste!$C$14,IF(V32=Dienste!$A$15,Dienste!$C$15,IF(V32=Dienste!$A$16,Dienste!$C$16,IF(V32=Dienste!$A$17,Dienste!$C$17,IF(V32=Dienste!$A$18,Dienste!$C$18,IF(V32=Dienste!$A$19,Dienste!$C$19,IF(V32=Dienste!$A$20,Dienste!$C$20,IF(V32=Dienste!$A$21,Dienste!$C$21,IF(V32=Dienste!$A$22,Dienste!$C$22,IF(V32=Dienste!$A$23,Dienste!$C$23,IF(V32=Dienste!$A$24,Dienste!$C$24,IF(V32=Dienste!$A$25,Dienste!$C$25,IF(V32=Dienste!$A$26,Dienste!$C$26,IF(V32=Dienste!$A$27,Dienste!$C$27,IF(V32=Dienste!$A$28,Dienste!$C$28,IF(V32=Dienste!#REF!,Dienste!#REF!,IF(V32=Dienste!#REF!,Dienste!#REF!,IF(V32=Dienste!#REF!,Dienste!#REF!,IF(V32=Dienste!#REF!,Dienste!#REF!,IF(V32=Dienste!$A$33,Dienste!$C$33,IF(V32=Dienste!$A$34,Dienste!$C$34,IF(V32=Dienste!$A$35,Dienste!$C$35,IF(V32=Dienste!$A$36,Dienste!$C$36,)))))))))))))))))))))))))))))))))))</f>
        <v>8</v>
      </c>
      <c r="BQ32" s="27">
        <f>IF(W32=Dienste!$A$2,Dienste!$C$2,IF(W32=Dienste!$A$3,Dienste!$C$3,IF(W32=Dienste!$A$4,Dienste!$C$4,IF(W32=Dienste!$A$5,Dienste!$C$5,IF(W32=Dienste!$A$6,Dienste!$C$6,IF(W32=Dienste!$A$7,Dienste!$C$7,IF(W32=Dienste!$A$8,Dienste!$C$8,IF(W32=Dienste!$A$9,Dienste!$C$9,IF(W32=Dienste!$A$10,Dienste!$C$10,IF(W32=Dienste!$A$11,Dienste!$C$11,IF(W32=Dienste!$A$12,Dienste!$C$12,IF(W32=Dienste!$A$13,Dienste!$C$13,IF(W32=Dienste!$A$14,Dienste!$C$14,IF(W32=Dienste!$A$15,Dienste!$C$15,IF(W32=Dienste!$A$16,Dienste!$C$16,IF(W32=Dienste!$A$17,Dienste!$C$17,IF(W32=Dienste!$A$18,Dienste!$C$18,IF(W32=Dienste!$A$19,Dienste!$C$19,IF(W32=Dienste!$A$20,Dienste!$C$20,IF(W32=Dienste!$A$21,Dienste!$C$21,IF(W32=Dienste!$A$22,Dienste!$C$22,IF(W32=Dienste!$A$23,Dienste!$C$23,IF(W32=Dienste!$A$24,Dienste!$C$24,IF(W32=Dienste!$A$25,Dienste!$C$25,IF(W32=Dienste!$A$26,Dienste!$C$26,IF(W32=Dienste!$A$27,Dienste!$C$27,IF(W32=Dienste!$A$28,Dienste!$C$28,IF(W32=Dienste!#REF!,Dienste!#REF!,IF(W32=Dienste!#REF!,Dienste!#REF!,IF(W32=Dienste!#REF!,Dienste!#REF!,IF(W32=Dienste!#REF!,Dienste!#REF!,IF(W32=Dienste!$A$33,Dienste!$C$33,IF(W32=Dienste!$A$34,Dienste!$C$34,IF(W32=Dienste!$A$35,Dienste!$C$35,IF(W32=Dienste!$A$36,Dienste!$C$36,)))))))))))))))))))))))))))))))))))</f>
        <v>8</v>
      </c>
      <c r="BR32" s="27">
        <f>IF(X32=Dienste!$A$2,Dienste!$C$2,IF(X32=Dienste!$A$3,Dienste!$C$3,IF(X32=Dienste!$A$4,Dienste!$C$4,IF(X32=Dienste!$A$5,Dienste!$C$5,IF(X32=Dienste!$A$6,Dienste!$C$6,IF(X32=Dienste!$A$7,Dienste!$C$7,IF(X32=Dienste!$A$8,Dienste!$C$8,IF(X32=Dienste!$A$9,Dienste!$C$9,IF(X32=Dienste!$A$10,Dienste!$C$10,IF(X32=Dienste!$A$11,Dienste!$C$11,IF(X32=Dienste!$A$12,Dienste!$C$12,IF(X32=Dienste!$A$13,Dienste!$C$13,IF(X32=Dienste!$A$14,Dienste!$C$14,IF(X32=Dienste!$A$15,Dienste!$C$15,IF(X32=Dienste!$A$16,Dienste!$C$16,IF(X32=Dienste!$A$17,Dienste!$C$17,IF(X32=Dienste!$A$18,Dienste!$C$18,IF(X32=Dienste!$A$19,Dienste!$C$19,IF(X32=Dienste!$A$20,Dienste!$C$20,IF(X32=Dienste!$A$21,Dienste!$C$21,IF(X32=Dienste!$A$22,Dienste!$C$22,IF(X32=Dienste!$A$23,Dienste!$C$23,IF(X32=Dienste!$A$24,Dienste!$C$24,IF(X32=Dienste!$A$25,Dienste!$C$25,IF(X32=Dienste!$A$26,Dienste!$C$26,IF(X32=Dienste!$A$27,Dienste!$C$27,IF(X32=Dienste!$A$28,Dienste!$C$28,IF(X32=Dienste!#REF!,Dienste!#REF!,IF(X32=Dienste!#REF!,Dienste!#REF!,IF(X32=Dienste!#REF!,Dienste!#REF!,IF(X32=Dienste!#REF!,Dienste!#REF!,IF(X32=Dienste!$A$33,Dienste!$C$33,IF(X32=Dienste!$A$34,Dienste!$C$34,IF(X32=Dienste!$A$35,Dienste!$C$35,IF(X32=Dienste!$A$36,Dienste!$C$36,)))))))))))))))))))))))))))))))))))</f>
        <v>8</v>
      </c>
      <c r="BS32" s="27">
        <f>IF(Y32=Dienste!$A$2,Dienste!$C$2,IF(Y32=Dienste!$A$3,Dienste!$C$3,IF(Y32=Dienste!$A$4,Dienste!$C$4,IF(Y32=Dienste!$A$5,Dienste!$C$5,IF(Y32=Dienste!$A$6,Dienste!$C$6,IF(Y32=Dienste!$A$7,Dienste!$C$7,IF(Y32=Dienste!$A$8,Dienste!$C$8,IF(Y32=Dienste!$A$9,Dienste!$C$9,IF(Y32=Dienste!$A$10,Dienste!$C$10,IF(Y32=Dienste!$A$11,Dienste!$C$11,IF(Y32=Dienste!$A$12,Dienste!$C$12,IF(Y32=Dienste!$A$13,Dienste!$C$13,IF(Y32=Dienste!$A$14,Dienste!$C$14,IF(Y32=Dienste!$A$15,Dienste!$C$15,IF(Y32=Dienste!$A$16,Dienste!$C$16,IF(Y32=Dienste!$A$17,Dienste!$C$17,IF(Y32=Dienste!$A$18,Dienste!$C$18,IF(Y32=Dienste!$A$19,Dienste!$C$19,IF(Y32=Dienste!$A$20,Dienste!$C$20,IF(Y32=Dienste!$A$21,Dienste!$C$21,IF(Y32=Dienste!$A$22,Dienste!$C$22,IF(Y32=Dienste!$A$23,Dienste!$C$23,IF(Y32=Dienste!$A$24,Dienste!$C$24,IF(Y32=Dienste!$A$25,Dienste!$C$25,IF(Y32=Dienste!$A$26,Dienste!$C$26,IF(Y32=Dienste!$A$27,Dienste!$C$27,IF(Y32=Dienste!$A$28,Dienste!$C$28,IF(Y32=Dienste!#REF!,Dienste!#REF!,IF(Y32=Dienste!#REF!,Dienste!#REF!,IF(Y32=Dienste!#REF!,Dienste!#REF!,IF(Y32=Dienste!#REF!,Dienste!#REF!,IF(Y32=Dienste!$A$33,Dienste!$C$33,IF(Y32=Dienste!$A$34,Dienste!$C$34,IF(Y32=Dienste!$A$35,Dienste!$C$35,IF(Y32=Dienste!$A$36,Dienste!$C$36,)))))))))))))))))))))))))))))))))))</f>
        <v>0</v>
      </c>
      <c r="BT32" s="27">
        <f>IF(Z32=Dienste!$A$2,Dienste!$C$2,IF(Z32=Dienste!$A$3,Dienste!$C$3,IF(Z32=Dienste!$A$4,Dienste!$C$4,IF(Z32=Dienste!$A$5,Dienste!$C$5,IF(Z32=Dienste!$A$6,Dienste!$C$6,IF(Z32=Dienste!$A$7,Dienste!$C$7,IF(Z32=Dienste!$A$8,Dienste!$C$8,IF(Z32=Dienste!$A$9,Dienste!$C$9,IF(Z32=Dienste!$A$10,Dienste!$C$10,IF(Z32=Dienste!$A$11,Dienste!$C$11,IF(Z32=Dienste!$A$12,Dienste!$C$12,IF(Z32=Dienste!$A$13,Dienste!$C$13,IF(Z32=Dienste!$A$14,Dienste!$C$14,IF(Z32=Dienste!$A$15,Dienste!$C$15,IF(Z32=Dienste!$A$16,Dienste!$C$16,IF(Z32=Dienste!$A$17,Dienste!$C$17,IF(Z32=Dienste!$A$18,Dienste!$C$18,IF(Z32=Dienste!$A$19,Dienste!$C$19,IF(Z32=Dienste!$A$20,Dienste!$C$20,IF(Z32=Dienste!$A$21,Dienste!$C$21,IF(Z32=Dienste!$A$22,Dienste!$C$22,IF(Z32=Dienste!$A$23,Dienste!$C$23,IF(Z32=Dienste!$A$24,Dienste!$C$24,IF(Z32=Dienste!$A$25,Dienste!$C$25,IF(Z32=Dienste!$A$26,Dienste!$C$26,IF(Z32=Dienste!$A$27,Dienste!$C$27,IF(Z32=Dienste!$A$28,Dienste!$C$28,IF(Z32=Dienste!#REF!,Dienste!#REF!,IF(Z32=Dienste!#REF!,Dienste!#REF!,IF(Z32=Dienste!#REF!,Dienste!#REF!,IF(Z32=Dienste!#REF!,Dienste!#REF!,IF(Z32=Dienste!$A$33,Dienste!$C$33,IF(Z32=Dienste!$A$34,Dienste!$C$34,IF(Z32=Dienste!$A$35,Dienste!$C$35,IF(Z32=Dienste!$A$36,Dienste!$C$36,)))))))))))))))))))))))))))))))))))</f>
        <v>0</v>
      </c>
      <c r="BU32" s="27">
        <f>IF(AA32=Dienste!$A$2,Dienste!$C$2,IF(AA32=Dienste!$A$3,Dienste!$C$3,IF(AA32=Dienste!$A$4,Dienste!$C$4,IF(AA32=Dienste!$A$5,Dienste!$C$5,IF(AA32=Dienste!$A$6,Dienste!$C$6,IF(AA32=Dienste!$A$7,Dienste!$C$7,IF(AA32=Dienste!$A$8,Dienste!$C$8,IF(AA32=Dienste!$A$9,Dienste!$C$9,IF(AA32=Dienste!$A$10,Dienste!$C$10,IF(AA32=Dienste!$A$11,Dienste!$C$11,IF(AA32=Dienste!$A$12,Dienste!$C$12,IF(AA32=Dienste!$A$13,Dienste!$C$13,IF(AA32=Dienste!$A$14,Dienste!$C$14,IF(AA32=Dienste!$A$15,Dienste!$C$15,IF(AA32=Dienste!$A$16,Dienste!$C$16,IF(AA32=Dienste!$A$17,Dienste!$C$17,IF(AA32=Dienste!$A$18,Dienste!$C$18,IF(AA32=Dienste!$A$19,Dienste!$C$19,IF(AA32=Dienste!$A$20,Dienste!$C$20,IF(AA32=Dienste!$A$21,Dienste!$C$21,IF(AA32=Dienste!$A$22,Dienste!$C$22,IF(AA32=Dienste!$A$23,Dienste!$C$23,IF(AA32=Dienste!$A$24,Dienste!$C$24,IF(AA32=Dienste!$A$25,Dienste!$C$25,IF(AA32=Dienste!$A$26,Dienste!$C$26,IF(AA32=Dienste!$A$27,Dienste!$C$27,IF(AA32=Dienste!$A$28,Dienste!$C$28,IF(AA32=Dienste!#REF!,Dienste!#REF!,IF(AA32=Dienste!#REF!,Dienste!#REF!,IF(AA32=Dienste!#REF!,Dienste!#REF!,IF(AA32=Dienste!#REF!,Dienste!#REF!,IF(AA32=Dienste!$A$33,Dienste!$C$33,IF(AA32=Dienste!$A$34,Dienste!$C$34,IF(AA32=Dienste!$A$35,Dienste!$C$35,IF(AA32=Dienste!$A$36,Dienste!$C$36,)))))))))))))))))))))))))))))))))))</f>
        <v>8</v>
      </c>
      <c r="BV32" s="27">
        <f>IF(AB32=Dienste!$A$2,Dienste!$C$2,IF(AB32=Dienste!$A$3,Dienste!$C$3,IF(AB32=Dienste!$A$4,Dienste!$C$4,IF(AB32=Dienste!$A$5,Dienste!$C$5,IF(AB32=Dienste!$A$6,Dienste!$C$6,IF(AB32=Dienste!$A$7,Dienste!$C$7,IF(AB32=Dienste!$A$8,Dienste!$C$8,IF(AB32=Dienste!$A$9,Dienste!$C$9,IF(AB32=Dienste!$A$10,Dienste!$C$10,IF(AB32=Dienste!$A$11,Dienste!$C$11,IF(AB32=Dienste!$A$12,Dienste!$C$12,IF(AB32=Dienste!$A$13,Dienste!$C$13,IF(AB32=Dienste!$A$14,Dienste!$C$14,IF(AB32=Dienste!$A$15,Dienste!$C$15,IF(AB32=Dienste!$A$16,Dienste!$C$16,IF(AB32=Dienste!$A$17,Dienste!$C$17,IF(AB32=Dienste!$A$18,Dienste!$C$18,IF(AB32=Dienste!$A$19,Dienste!$C$19,IF(AB32=Dienste!$A$20,Dienste!$C$20,IF(AB32=Dienste!$A$21,Dienste!$C$21,IF(AB32=Dienste!$A$22,Dienste!$C$22,IF(AB32=Dienste!$A$23,Dienste!$C$23,IF(AB32=Dienste!$A$24,Dienste!$C$24,IF(AB32=Dienste!$A$25,Dienste!$C$25,IF(AB32=Dienste!$A$26,Dienste!$C$26,IF(AB32=Dienste!$A$27,Dienste!$C$27,IF(AB32=Dienste!$A$28,Dienste!$C$28,IF(AB32=Dienste!#REF!,Dienste!#REF!,IF(AB32=Dienste!#REF!,Dienste!#REF!,IF(AB32=Dienste!#REF!,Dienste!#REF!,IF(AB32=Dienste!#REF!,Dienste!#REF!,IF(AB32=Dienste!$A$33,Dienste!$C$33,IF(AB32=Dienste!$A$34,Dienste!$C$34,IF(AB32=Dienste!$A$35,Dienste!$C$35,IF(AB32=Dienste!$A$36,Dienste!$C$36,)))))))))))))))))))))))))))))))))))</f>
        <v>8</v>
      </c>
      <c r="BW32" s="27">
        <f>IF(AC32=Dienste!$A$2,Dienste!$C$2,IF(AC32=Dienste!$A$3,Dienste!$C$3,IF(AC32=Dienste!$A$4,Dienste!$C$4,IF(AC32=Dienste!$A$5,Dienste!$C$5,IF(AC32=Dienste!$A$6,Dienste!$C$6,IF(AC32=Dienste!$A$7,Dienste!$C$7,IF(AC32=Dienste!$A$8,Dienste!$C$8,IF(AC32=Dienste!$A$9,Dienste!$C$9,IF(AC32=Dienste!$A$10,Dienste!$C$10,IF(AC32=Dienste!$A$11,Dienste!$C$11,IF(AC32=Dienste!$A$12,Dienste!$C$12,IF(AC32=Dienste!$A$13,Dienste!$C$13,IF(AC32=Dienste!$A$14,Dienste!$C$14,IF(AC32=Dienste!$A$15,Dienste!$C$15,IF(AC32=Dienste!$A$16,Dienste!$C$16,IF(AC32=Dienste!$A$17,Dienste!$C$17,IF(AC32=Dienste!$A$18,Dienste!$C$18,IF(AC32=Dienste!$A$19,Dienste!$C$19,IF(AC32=Dienste!$A$20,Dienste!$C$20,IF(AC32=Dienste!$A$21,Dienste!$C$21,IF(AC32=Dienste!$A$22,Dienste!$C$22,IF(AC32=Dienste!$A$23,Dienste!$C$23,IF(AC32=Dienste!$A$24,Dienste!$C$24,IF(AC32=Dienste!$A$25,Dienste!$C$25,IF(AC32=Dienste!$A$26,Dienste!$C$26,IF(AC32=Dienste!$A$27,Dienste!$C$27,IF(AC32=Dienste!$A$28,Dienste!$C$28,IF(AC32=Dienste!#REF!,Dienste!#REF!,IF(AC32=Dienste!#REF!,Dienste!#REF!,IF(AC32=Dienste!#REF!,Dienste!#REF!,IF(AC32=Dienste!#REF!,Dienste!#REF!,IF(AC32=Dienste!$A$33,Dienste!$C$33,IF(AC32=Dienste!$A$34,Dienste!$C$34,IF(AC32=Dienste!$A$35,Dienste!$C$35,IF(AC32=Dienste!$A$36,Dienste!$C$36,)))))))))))))))))))))))))))))))))))</f>
        <v>8</v>
      </c>
      <c r="BX32" s="27">
        <f>IF(AD32=Dienste!$A$2,Dienste!$C$2,IF(AD32=Dienste!$A$3,Dienste!$C$3,IF(AD32=Dienste!$A$4,Dienste!$C$4,IF(AD32=Dienste!$A$5,Dienste!$C$5,IF(AD32=Dienste!$A$6,Dienste!$C$6,IF(AD32=Dienste!$A$7,Dienste!$C$7,IF(AD32=Dienste!$A$8,Dienste!$C$8,IF(AD32=Dienste!$A$9,Dienste!$C$9,IF(AD32=Dienste!$A$10,Dienste!$C$10,IF(AD32=Dienste!$A$11,Dienste!$C$11,IF(AD32=Dienste!$A$12,Dienste!$C$12,IF(AD32=Dienste!$A$13,Dienste!$C$13,IF(AD32=Dienste!$A$14,Dienste!$C$14,IF(AD32=Dienste!$A$15,Dienste!$C$15,IF(AD32=Dienste!$A$16,Dienste!$C$16,IF(AD32=Dienste!$A$17,Dienste!$C$17,IF(AD32=Dienste!$A$18,Dienste!$C$18,IF(AD32=Dienste!$A$19,Dienste!$C$19,IF(AD32=Dienste!$A$20,Dienste!$C$20,IF(AD32=Dienste!$A$21,Dienste!$C$21,IF(AD32=Dienste!$A$22,Dienste!$C$22,IF(AD32=Dienste!$A$23,Dienste!$C$23,IF(AD32=Dienste!$A$24,Dienste!$C$24,IF(AD32=Dienste!$A$25,Dienste!$C$25,IF(AD32=Dienste!$A$26,Dienste!$C$26,IF(AD32=Dienste!$A$27,Dienste!$C$27,IF(AD32=Dienste!$A$28,Dienste!$C$28,IF(AD32=Dienste!#REF!,Dienste!#REF!,IF(AD32=Dienste!#REF!,Dienste!#REF!,IF(AD32=Dienste!#REF!,Dienste!#REF!,IF(AD32=Dienste!#REF!,Dienste!#REF!,IF(AD32=Dienste!$A$33,Dienste!$C$33,IF(AD32=Dienste!$A$34,Dienste!$C$34,IF(AD32=Dienste!$A$35,Dienste!$C$35,IF(AD32=Dienste!$A$36,Dienste!$C$36,)))))))))))))))))))))))))))))))))))</f>
        <v>8</v>
      </c>
      <c r="BY32" s="27">
        <f>IF(AE32=Dienste!$A$2,Dienste!$C$2,IF(AE32=Dienste!$A$3,Dienste!$C$3,IF(AE32=Dienste!$A$4,Dienste!$C$4,IF(AE32=Dienste!$A$5,Dienste!$C$5,IF(AE32=Dienste!$A$6,Dienste!$C$6,IF(AE32=Dienste!$A$7,Dienste!$C$7,IF(AE32=Dienste!$A$8,Dienste!$C$8,IF(AE32=Dienste!$A$9,Dienste!$C$9,IF(AE32=Dienste!$A$10,Dienste!$C$10,IF(AE32=Dienste!$A$11,Dienste!$C$11,IF(AE32=Dienste!$A$12,Dienste!$C$12,IF(AE32=Dienste!$A$13,Dienste!$C$13,IF(AE32=Dienste!$A$14,Dienste!$C$14,IF(AE32=Dienste!$A$15,Dienste!$C$15,IF(AE32=Dienste!$A$16,Dienste!$C$16,IF(AE32=Dienste!$A$17,Dienste!$C$17,IF(AE32=Dienste!$A$18,Dienste!$C$18,IF(AE32=Dienste!$A$19,Dienste!$C$19,IF(AE32=Dienste!$A$20,Dienste!$C$20,IF(AE32=Dienste!$A$21,Dienste!$C$21,IF(AE32=Dienste!$A$22,Dienste!$C$22,IF(AE32=Dienste!$A$23,Dienste!$C$23,IF(AE32=Dienste!$A$24,Dienste!$C$24,IF(AE32=Dienste!$A$25,Dienste!$C$25,IF(AE32=Dienste!$A$26,Dienste!$C$26,IF(AE32=Dienste!$A$27,Dienste!$C$27,IF(AE32=Dienste!$A$28,Dienste!$C$28,IF(AE32=Dienste!#REF!,Dienste!#REF!,IF(AE32=Dienste!#REF!,Dienste!#REF!,IF(AE32=Dienste!#REF!,Dienste!#REF!,IF(AE32=Dienste!#REF!,Dienste!#REF!,IF(AE32=Dienste!$A$33,Dienste!$C$33,IF(AE32=Dienste!$A$34,Dienste!$C$34,IF(AE32=Dienste!$A$35,Dienste!$C$35,IF(AE32=Dienste!$A$36,Dienste!$C$36,)))))))))))))))))))))))))))))))))))</f>
        <v>8</v>
      </c>
      <c r="BZ32" s="27">
        <f>IF(AF32=Dienste!$A$2,Dienste!$C$2,IF(AF32=Dienste!$A$3,Dienste!$C$3,IF(AF32=Dienste!$A$4,Dienste!$C$4,IF(AF32=Dienste!$A$5,Dienste!$C$5,IF(AF32=Dienste!$A$6,Dienste!$C$6,IF(AF32=Dienste!$A$7,Dienste!$C$7,IF(AF32=Dienste!$A$8,Dienste!$C$8,IF(AF32=Dienste!$A$9,Dienste!$C$9,IF(AF32=Dienste!$A$10,Dienste!$C$10,IF(AF32=Dienste!$A$11,Dienste!$C$11,IF(AF32=Dienste!$A$12,Dienste!$C$12,IF(AF32=Dienste!$A$13,Dienste!$C$13,IF(AF32=Dienste!$A$14,Dienste!$C$14,IF(AF32=Dienste!$A$15,Dienste!$C$15,IF(AF32=Dienste!$A$16,Dienste!$C$16,IF(AF32=Dienste!$A$17,Dienste!$C$17,IF(AF32=Dienste!$A$18,Dienste!$C$18,IF(AF32=Dienste!$A$19,Dienste!$C$19,IF(AF32=Dienste!$A$20,Dienste!$C$20,IF(AF32=Dienste!$A$21,Dienste!$C$21,IF(AF32=Dienste!$A$22,Dienste!$C$22,IF(AF32=Dienste!$A$23,Dienste!$C$23,IF(AF32=Dienste!$A$24,Dienste!$C$24,IF(AF32=Dienste!$A$25,Dienste!$C$25,IF(AF32=Dienste!$A$26,Dienste!$C$26,IF(AF32=Dienste!$A$27,Dienste!$C$27,IF(AF32=Dienste!$A$28,Dienste!$C$28,IF(AF32=Dienste!#REF!,Dienste!#REF!,IF(AF32=Dienste!#REF!,Dienste!#REF!,IF(AF32=Dienste!#REF!,Dienste!#REF!,IF(AF32=Dienste!#REF!,Dienste!#REF!,IF(AF32=Dienste!$A$33,Dienste!$C$33,IF(AF32=Dienste!$A$34,Dienste!$C$34,IF(AF32=Dienste!$A$35,Dienste!$C$35,IF(AF32=Dienste!$A$36,Dienste!$C$36,)))))))))))))))))))))))))))))))))))</f>
        <v>0</v>
      </c>
      <c r="CA32" s="27">
        <f>IF(AG32=Dienste!$A$2,Dienste!$C$2,IF(AG32=Dienste!$A$3,Dienste!$C$3,IF(AG32=Dienste!$A$4,Dienste!$C$4,IF(AG32=Dienste!$A$5,Dienste!$C$5,IF(AG32=Dienste!$A$6,Dienste!$C$6,IF(AG32=Dienste!$A$7,Dienste!$C$7,IF(AG32=Dienste!$A$8,Dienste!$C$8,IF(AG32=Dienste!$A$9,Dienste!$C$9,IF(AG32=Dienste!$A$10,Dienste!$C$10,IF(AG32=Dienste!$A$11,Dienste!$C$11,IF(AG32=Dienste!$A$12,Dienste!$C$12,IF(AG32=Dienste!$A$13,Dienste!$C$13,IF(AG32=Dienste!$A$14,Dienste!$C$14,IF(AG32=Dienste!$A$15,Dienste!$C$15,IF(AG32=Dienste!$A$16,Dienste!$C$16,IF(AG32=Dienste!$A$17,Dienste!$C$17,IF(AG32=Dienste!$A$18,Dienste!$C$18,IF(AG32=Dienste!$A$19,Dienste!$C$19,IF(AG32=Dienste!$A$20,Dienste!$C$20,IF(AG32=Dienste!$A$21,Dienste!$C$21,IF(AG32=Dienste!$A$22,Dienste!$C$22,IF(AG32=Dienste!$A$23,Dienste!$C$23,IF(AG32=Dienste!$A$24,Dienste!$C$24,IF(AG32=Dienste!$A$25,Dienste!$C$25,IF(AG32=Dienste!$A$26,Dienste!$C$26,IF(AG32=Dienste!$A$27,Dienste!$C$27,IF(AG32=Dienste!$A$28,Dienste!$C$28,IF(AG32=Dienste!#REF!,Dienste!#REF!,IF(AG32=Dienste!#REF!,Dienste!#REF!,IF(AG32=Dienste!#REF!,Dienste!#REF!,IF(AG32=Dienste!#REF!,Dienste!#REF!,IF(AG32=Dienste!$A$33,Dienste!$C$33,IF(AG32=Dienste!$A$34,Dienste!$C$34,IF(AG32=Dienste!$A$35,Dienste!$C$35,IF(AG32=Dienste!$A$36,Dienste!$C$36,)))))))))))))))))))))))))))))))))))</f>
        <v>0</v>
      </c>
      <c r="CB32" s="27">
        <f>IF(AH32=Dienste!$A$2,Dienste!$C$2,IF(AH32=Dienste!$A$3,Dienste!$C$3,IF(AH32=Dienste!$A$4,Dienste!$C$4,IF(AH32=Dienste!$A$5,Dienste!$C$5,IF(AH32=Dienste!$A$6,Dienste!$C$6,IF(AH32=Dienste!$A$7,Dienste!$C$7,IF(AH32=Dienste!$A$8,Dienste!$C$8,IF(AH32=Dienste!$A$9,Dienste!$C$9,IF(AH32=Dienste!$A$10,Dienste!$C$10,IF(AH32=Dienste!$A$11,Dienste!$C$11,IF(AH32=Dienste!$A$12,Dienste!$C$12,IF(AH32=Dienste!$A$13,Dienste!$C$13,IF(AH32=Dienste!$A$14,Dienste!$C$14,IF(AH32=Dienste!$A$15,Dienste!$C$15,IF(AH32=Dienste!$A$16,Dienste!$C$16,IF(AH32=Dienste!$A$17,Dienste!$C$17,IF(AH32=Dienste!$A$18,Dienste!$C$18,IF(AH32=Dienste!$A$19,Dienste!$C$19,IF(AH32=Dienste!$A$20,Dienste!$C$20,IF(AH32=Dienste!$A$21,Dienste!$C$21,IF(AH32=Dienste!$A$22,Dienste!$C$22,IF(AH32=Dienste!$A$23,Dienste!$C$23,IF(AH32=Dienste!$A$24,Dienste!$C$24,IF(AH32=Dienste!$A$25,Dienste!$C$25,IF(AH32=Dienste!$A$26,Dienste!$C$26,IF(AH32=Dienste!$A$27,Dienste!$C$27,IF(AH32=Dienste!$A$28,Dienste!$C$28,IF(AH32=Dienste!#REF!,Dienste!#REF!,IF(AH32=Dienste!#REF!,Dienste!#REF!,IF(AH32=Dienste!#REF!,Dienste!#REF!,IF(AH32=Dienste!#REF!,Dienste!#REF!,IF(AH32=Dienste!$A$33,Dienste!$C$33,IF(AH32=Dienste!$A$34,Dienste!$C$34,IF(AH32=Dienste!$A$35,Dienste!$C$35,IF(AH32=Dienste!$A$36,Dienste!$C$36,)))))))))))))))))))))))))))))))))))</f>
        <v>8</v>
      </c>
      <c r="CC32" s="27" t="e">
        <f>IF(AI32=Dienste!$A$2,Dienste!$C$2,IF(AI32=Dienste!$A$3,Dienste!$C$3,IF(AI32=Dienste!$A$4,Dienste!$C$4,IF(AI32=Dienste!$A$5,Dienste!$C$5,IF(AI32=Dienste!$A$6,Dienste!$C$6,IF(AI32=Dienste!$A$7,Dienste!$C$7,IF(AI32=Dienste!$A$8,Dienste!$C$8,IF(AI32=Dienste!$A$9,Dienste!$C$9,IF(AI32=Dienste!$A$10,Dienste!$C$10,IF(AI32=Dienste!$A$11,Dienste!$C$11,IF(AI32=Dienste!$A$12,Dienste!$C$12,IF(AI32=Dienste!$A$13,Dienste!$C$13,IF(AI32=Dienste!$A$14,Dienste!$C$14,IF(AI32=Dienste!$A$15,Dienste!$C$15,IF(AI32=Dienste!$A$16,Dienste!$C$16,IF(AI32=Dienste!$A$17,Dienste!$C$17,IF(AI32=Dienste!$A$18,Dienste!$C$18,IF(AI32=Dienste!$A$19,Dienste!$C$19,IF(AI32=Dienste!$A$20,Dienste!$C$20,IF(AI32=Dienste!$A$21,Dienste!$C$21,IF(AI32=Dienste!$A$22,Dienste!$C$22,IF(AI32=Dienste!$A$23,Dienste!$C$23,IF(AI32=Dienste!$A$24,Dienste!$C$24,IF(AI32=Dienste!$A$25,Dienste!$C$25,IF(AI32=Dienste!$A$26,Dienste!$C$26,IF(AI32=Dienste!$A$27,Dienste!$C$27,IF(AI32=Dienste!$A$28,Dienste!$C$28,IF(AI32=Dienste!#REF!,Dienste!#REF!,IF(AI32=Dienste!#REF!,Dienste!#REF!,IF(AI32=Dienste!#REF!,Dienste!#REF!,IF(AI32=Dienste!#REF!,Dienste!#REF!,IF(AI32=Dienste!$A$33,Dienste!$C$33,IF(AI32=Dienste!$A$34,Dienste!$C$34,IF(AI32=Dienste!$A$35,Dienste!$C$35,IF(AI32=Dienste!$A$36,Dienste!$C$36,)))))))))))))))))))))))))))))))))))</f>
        <v>#REF!</v>
      </c>
    </row>
    <row r="33" spans="1:81" x14ac:dyDescent="0.25">
      <c r="A33" s="109" t="s">
        <v>145</v>
      </c>
      <c r="B33" s="15" t="s">
        <v>59</v>
      </c>
      <c r="C33" s="15">
        <v>40</v>
      </c>
      <c r="D33" s="98">
        <v>0</v>
      </c>
      <c r="E33" s="104" t="s">
        <v>83</v>
      </c>
      <c r="F33" s="9" t="s">
        <v>31</v>
      </c>
      <c r="G33" s="9" t="s">
        <v>58</v>
      </c>
      <c r="H33" s="9" t="s">
        <v>31</v>
      </c>
      <c r="I33" s="9" t="s">
        <v>58</v>
      </c>
      <c r="J33" s="9" t="s">
        <v>31</v>
      </c>
      <c r="K33" s="9" t="s">
        <v>83</v>
      </c>
      <c r="L33" s="9" t="s">
        <v>83</v>
      </c>
      <c r="M33" s="9" t="s">
        <v>31</v>
      </c>
      <c r="N33" s="9" t="s">
        <v>31</v>
      </c>
      <c r="O33" s="9" t="s">
        <v>31</v>
      </c>
      <c r="P33" s="9" t="s">
        <v>31</v>
      </c>
      <c r="Q33" s="9" t="s">
        <v>31</v>
      </c>
      <c r="R33" s="9" t="s">
        <v>83</v>
      </c>
      <c r="S33" s="9" t="s">
        <v>83</v>
      </c>
      <c r="T33" s="9" t="s">
        <v>31</v>
      </c>
      <c r="U33" s="9" t="s">
        <v>58</v>
      </c>
      <c r="V33" s="9" t="s">
        <v>31</v>
      </c>
      <c r="W33" s="9" t="s">
        <v>58</v>
      </c>
      <c r="X33" s="9" t="s">
        <v>31</v>
      </c>
      <c r="Y33" s="9" t="s">
        <v>83</v>
      </c>
      <c r="Z33" s="9" t="s">
        <v>83</v>
      </c>
      <c r="AA33" s="9" t="s">
        <v>31</v>
      </c>
      <c r="AB33" s="9" t="s">
        <v>58</v>
      </c>
      <c r="AC33" s="9" t="s">
        <v>58</v>
      </c>
      <c r="AD33" s="9" t="s">
        <v>31</v>
      </c>
      <c r="AE33" s="9" t="s">
        <v>31</v>
      </c>
      <c r="AF33" s="9" t="s">
        <v>83</v>
      </c>
      <c r="AG33" s="9" t="s">
        <v>83</v>
      </c>
      <c r="AH33" s="9" t="s">
        <v>31</v>
      </c>
      <c r="AI33" s="15"/>
      <c r="AJ33" s="109">
        <v>0</v>
      </c>
      <c r="AK33" s="15">
        <v>168</v>
      </c>
      <c r="AL33" s="109">
        <v>168</v>
      </c>
      <c r="AM33" s="15">
        <v>0</v>
      </c>
      <c r="AN33" s="170">
        <v>0</v>
      </c>
      <c r="AO33" s="109">
        <v>0</v>
      </c>
      <c r="AP33" s="15">
        <v>0</v>
      </c>
      <c r="AQ33" s="98">
        <v>5</v>
      </c>
      <c r="AR33" s="109">
        <v>48</v>
      </c>
      <c r="AS33" s="15">
        <v>41.615384615384613</v>
      </c>
      <c r="AT33" s="98">
        <v>26</v>
      </c>
      <c r="AU33" s="96" t="e">
        <f t="shared" si="2"/>
        <v>#REF!</v>
      </c>
      <c r="AV33" s="27" t="e">
        <f t="shared" si="0"/>
        <v>#REF!</v>
      </c>
      <c r="AW33" s="58" t="e">
        <f t="shared" si="1"/>
        <v>#REF!</v>
      </c>
      <c r="AY33" s="27">
        <f>IF(E33=Dienste!$A$2,Dienste!$C$2,IF(E33=Dienste!$A$3,Dienste!$C$3,IF(E33=Dienste!$A$4,Dienste!$C$4,IF(E33=Dienste!$A$5,Dienste!$C$5,IF(E33=Dienste!$A$6,Dienste!$C$6,IF(E33=Dienste!$A$7,Dienste!$C$7,IF(E33=Dienste!$A$8,Dienste!$C$8,IF(E33=Dienste!$A$9,Dienste!$C$9,IF(E33=Dienste!$A$10,Dienste!$C$10,IF(E33=Dienste!$A$11,Dienste!$C$11,IF(E33=Dienste!$A$12,Dienste!$C$12,IF(E33=Dienste!$A$13,Dienste!$C$13,IF(E33=Dienste!$A$14,Dienste!$C$14,IF(E33=Dienste!$A$15,Dienste!$C$15,IF(E33=Dienste!$A$16,Dienste!$C$16,IF(E33=Dienste!$A$17,Dienste!$C$17,IF(E33=Dienste!$A$18,Dienste!$C$18,IF(E33=Dienste!$A$19,Dienste!$C$19,IF(E33=Dienste!$A$20,Dienste!$C$20,IF(E33=Dienste!$A$21,Dienste!$C$21,IF(E33=Dienste!$A$22,Dienste!$C$22,IF(E33=Dienste!$A$23,Dienste!$C$23,IF(E33=Dienste!$A$24,Dienste!$C$24,IF(E33=Dienste!$A$25,Dienste!$C$25,IF(E33=Dienste!$A$26,Dienste!$C$26,IF(E33=Dienste!$A$27,Dienste!$C$27,IF(E33=Dienste!$A$28,Dienste!$C$28,IF(E33=Dienste!#REF!,Dienste!#REF!,IF(E33=Dienste!#REF!,Dienste!#REF!,IF(E33=Dienste!#REF!,Dienste!#REF!,IF(E33=Dienste!#REF!,Dienste!#REF!,IF(E33=Dienste!$A$33,Dienste!$C$33,IF(E33=Dienste!$A$34,Dienste!$C$34,IF(E33=Dienste!$A$35,Dienste!$C$35,IF(E33=Dienste!$A$36,Dienste!$C$36,)))))))))))))))))))))))))))))))))))</f>
        <v>0</v>
      </c>
      <c r="AZ33" s="27">
        <f>IF(F33=Dienste!$A$2,Dienste!$C$2,IF(F33=Dienste!$A$3,Dienste!$C$3,IF(F33=Dienste!$A$4,Dienste!$C$4,IF(F33=Dienste!$A$5,Dienste!$C$5,IF(F33=Dienste!$A$6,Dienste!$C$6,IF(F33=Dienste!$A$7,Dienste!$C$7,IF(F33=Dienste!$A$8,Dienste!$C$8,IF(F33=Dienste!$A$9,Dienste!$C$9,IF(F33=Dienste!$A$10,Dienste!$C$10,IF(F33=Dienste!$A$11,Dienste!$C$11,IF(F33=Dienste!$A$12,Dienste!$C$12,IF(F33=Dienste!$A$13,Dienste!$C$13,IF(F33=Dienste!$A$14,Dienste!$C$14,IF(F33=Dienste!$A$15,Dienste!$C$15,IF(F33=Dienste!$A$16,Dienste!$C$16,IF(F33=Dienste!$A$17,Dienste!$C$17,IF(F33=Dienste!$A$18,Dienste!$C$18,IF(F33=Dienste!$A$19,Dienste!$C$19,IF(F33=Dienste!$A$20,Dienste!$C$20,IF(F33=Dienste!$A$21,Dienste!$C$21,IF(F33=Dienste!$A$22,Dienste!$C$22,IF(F33=Dienste!$A$23,Dienste!$C$23,IF(F33=Dienste!$A$24,Dienste!$C$24,IF(F33=Dienste!$A$25,Dienste!$C$25,IF(F33=Dienste!$A$26,Dienste!$C$26,IF(F33=Dienste!$A$27,Dienste!$C$27,IF(F33=Dienste!$A$28,Dienste!$C$28,IF(F33=Dienste!#REF!,Dienste!#REF!,IF(F33=Dienste!#REF!,Dienste!#REF!,IF(F33=Dienste!#REF!,Dienste!#REF!,IF(F33=Dienste!#REF!,Dienste!#REF!,IF(F33=Dienste!$A$33,Dienste!$C$33,IF(F33=Dienste!$A$34,Dienste!$C$34,IF(F33=Dienste!$A$35,Dienste!$C$35,IF(F33=Dienste!$A$36,Dienste!$C$36,)))))))))))))))))))))))))))))))))))</f>
        <v>8</v>
      </c>
      <c r="BA33" s="27">
        <f>IF(G33=Dienste!$A$2,Dienste!$C$2,IF(G33=Dienste!$A$3,Dienste!$C$3,IF(G33=Dienste!$A$4,Dienste!$C$4,IF(G33=Dienste!$A$5,Dienste!$C$5,IF(G33=Dienste!$A$6,Dienste!$C$6,IF(G33=Dienste!$A$7,Dienste!$C$7,IF(G33=Dienste!$A$8,Dienste!$C$8,IF(G33=Dienste!$A$9,Dienste!$C$9,IF(G33=Dienste!$A$10,Dienste!$C$10,IF(G33=Dienste!$A$11,Dienste!$C$11,IF(G33=Dienste!$A$12,Dienste!$C$12,IF(G33=Dienste!$A$13,Dienste!$C$13,IF(G33=Dienste!$A$14,Dienste!$C$14,IF(G33=Dienste!$A$15,Dienste!$C$15,IF(G33=Dienste!$A$16,Dienste!$C$16,IF(G33=Dienste!$A$17,Dienste!$C$17,IF(G33=Dienste!$A$18,Dienste!$C$18,IF(G33=Dienste!$A$19,Dienste!$C$19,IF(G33=Dienste!$A$20,Dienste!$C$20,IF(G33=Dienste!$A$21,Dienste!$C$21,IF(G33=Dienste!$A$22,Dienste!$C$22,IF(G33=Dienste!$A$23,Dienste!$C$23,IF(G33=Dienste!$A$24,Dienste!$C$24,IF(G33=Dienste!$A$25,Dienste!$C$25,IF(G33=Dienste!$A$26,Dienste!$C$26,IF(G33=Dienste!$A$27,Dienste!$C$27,IF(G33=Dienste!$A$28,Dienste!$C$28,IF(G33=Dienste!#REF!,Dienste!#REF!,IF(G33=Dienste!#REF!,Dienste!#REF!,IF(G33=Dienste!#REF!,Dienste!#REF!,IF(G33=Dienste!#REF!,Dienste!#REF!,IF(G33=Dienste!$A$33,Dienste!$C$33,IF(G33=Dienste!$A$34,Dienste!$C$34,IF(G33=Dienste!$A$35,Dienste!$C$35,IF(G33=Dienste!$A$36,Dienste!$C$36,)))))))))))))))))))))))))))))))))))</f>
        <v>8</v>
      </c>
      <c r="BB33" s="27">
        <f>IF(H33=Dienste!$A$2,Dienste!$C$2,IF(H33=Dienste!$A$3,Dienste!$C$3,IF(H33=Dienste!$A$4,Dienste!$C$4,IF(H33=Dienste!$A$5,Dienste!$C$5,IF(H33=Dienste!$A$6,Dienste!$C$6,IF(H33=Dienste!$A$7,Dienste!$C$7,IF(H33=Dienste!$A$8,Dienste!$C$8,IF(H33=Dienste!$A$9,Dienste!$C$9,IF(H33=Dienste!$A$10,Dienste!$C$10,IF(H33=Dienste!$A$11,Dienste!$C$11,IF(H33=Dienste!$A$12,Dienste!$C$12,IF(H33=Dienste!$A$13,Dienste!$C$13,IF(H33=Dienste!$A$14,Dienste!$C$14,IF(H33=Dienste!$A$15,Dienste!$C$15,IF(H33=Dienste!$A$16,Dienste!$C$16,IF(H33=Dienste!$A$17,Dienste!$C$17,IF(H33=Dienste!$A$18,Dienste!$C$18,IF(H33=Dienste!$A$19,Dienste!$C$19,IF(H33=Dienste!$A$20,Dienste!$C$20,IF(H33=Dienste!$A$21,Dienste!$C$21,IF(H33=Dienste!$A$22,Dienste!$C$22,IF(H33=Dienste!$A$23,Dienste!$C$23,IF(H33=Dienste!$A$24,Dienste!$C$24,IF(H33=Dienste!$A$25,Dienste!$C$25,IF(H33=Dienste!$A$26,Dienste!$C$26,IF(H33=Dienste!$A$27,Dienste!$C$27,IF(H33=Dienste!$A$28,Dienste!$C$28,IF(H33=Dienste!#REF!,Dienste!#REF!,IF(H33=Dienste!#REF!,Dienste!#REF!,IF(H33=Dienste!#REF!,Dienste!#REF!,IF(H33=Dienste!#REF!,Dienste!#REF!,IF(H33=Dienste!$A$33,Dienste!$C$33,IF(H33=Dienste!$A$34,Dienste!$C$34,IF(H33=Dienste!$A$35,Dienste!$C$35,IF(H33=Dienste!$A$36,Dienste!$C$36,)))))))))))))))))))))))))))))))))))</f>
        <v>8</v>
      </c>
      <c r="BC33" s="27">
        <f>IF(I33=Dienste!$A$2,Dienste!$C$2,IF(I33=Dienste!$A$3,Dienste!$C$3,IF(I33=Dienste!$A$4,Dienste!$C$4,IF(I33=Dienste!$A$5,Dienste!$C$5,IF(I33=Dienste!$A$6,Dienste!$C$6,IF(I33=Dienste!$A$7,Dienste!$C$7,IF(I33=Dienste!$A$8,Dienste!$C$8,IF(I33=Dienste!$A$9,Dienste!$C$9,IF(I33=Dienste!$A$10,Dienste!$C$10,IF(I33=Dienste!$A$11,Dienste!$C$11,IF(I33=Dienste!$A$12,Dienste!$C$12,IF(I33=Dienste!$A$13,Dienste!$C$13,IF(I33=Dienste!$A$14,Dienste!$C$14,IF(I33=Dienste!$A$15,Dienste!$C$15,IF(I33=Dienste!$A$16,Dienste!$C$16,IF(I33=Dienste!$A$17,Dienste!$C$17,IF(I33=Dienste!$A$18,Dienste!$C$18,IF(I33=Dienste!$A$19,Dienste!$C$19,IF(I33=Dienste!$A$20,Dienste!$C$20,IF(I33=Dienste!$A$21,Dienste!$C$21,IF(I33=Dienste!$A$22,Dienste!$C$22,IF(I33=Dienste!$A$23,Dienste!$C$23,IF(I33=Dienste!$A$24,Dienste!$C$24,IF(I33=Dienste!$A$25,Dienste!$C$25,IF(I33=Dienste!$A$26,Dienste!$C$26,IF(I33=Dienste!$A$27,Dienste!$C$27,IF(I33=Dienste!$A$28,Dienste!$C$28,IF(I33=Dienste!#REF!,Dienste!#REF!,IF(I33=Dienste!#REF!,Dienste!#REF!,IF(I33=Dienste!#REF!,Dienste!#REF!,IF(I33=Dienste!#REF!,Dienste!#REF!,IF(I33=Dienste!$A$33,Dienste!$C$33,IF(I33=Dienste!$A$34,Dienste!$C$34,IF(I33=Dienste!$A$35,Dienste!$C$35,IF(I33=Dienste!$A$36,Dienste!$C$36,)))))))))))))))))))))))))))))))))))</f>
        <v>8</v>
      </c>
      <c r="BD33" s="27">
        <f>IF(J33=Dienste!$A$2,Dienste!$C$2,IF(J33=Dienste!$A$3,Dienste!$C$3,IF(J33=Dienste!$A$4,Dienste!$C$4,IF(J33=Dienste!$A$5,Dienste!$C$5,IF(J33=Dienste!$A$6,Dienste!$C$6,IF(J33=Dienste!$A$7,Dienste!$C$7,IF(J33=Dienste!$A$8,Dienste!$C$8,IF(J33=Dienste!$A$9,Dienste!$C$9,IF(J33=Dienste!$A$10,Dienste!$C$10,IF(J33=Dienste!$A$11,Dienste!$C$11,IF(J33=Dienste!$A$12,Dienste!$C$12,IF(J33=Dienste!$A$13,Dienste!$C$13,IF(J33=Dienste!$A$14,Dienste!$C$14,IF(J33=Dienste!$A$15,Dienste!$C$15,IF(J33=Dienste!$A$16,Dienste!$C$16,IF(J33=Dienste!$A$17,Dienste!$C$17,IF(J33=Dienste!$A$18,Dienste!$C$18,IF(J33=Dienste!$A$19,Dienste!$C$19,IF(J33=Dienste!$A$20,Dienste!$C$20,IF(J33=Dienste!$A$21,Dienste!$C$21,IF(J33=Dienste!$A$22,Dienste!$C$22,IF(J33=Dienste!$A$23,Dienste!$C$23,IF(J33=Dienste!$A$24,Dienste!$C$24,IF(J33=Dienste!$A$25,Dienste!$C$25,IF(J33=Dienste!$A$26,Dienste!$C$26,IF(J33=Dienste!$A$27,Dienste!$C$27,IF(J33=Dienste!$A$28,Dienste!$C$28,IF(J33=Dienste!#REF!,Dienste!#REF!,IF(J33=Dienste!#REF!,Dienste!#REF!,IF(J33=Dienste!#REF!,Dienste!#REF!,IF(J33=Dienste!#REF!,Dienste!#REF!,IF(J33=Dienste!$A$33,Dienste!$C$33,IF(J33=Dienste!$A$34,Dienste!$C$34,IF(J33=Dienste!$A$35,Dienste!$C$35,IF(J33=Dienste!$A$36,Dienste!$C$36,)))))))))))))))))))))))))))))))))))</f>
        <v>8</v>
      </c>
      <c r="BE33" s="27">
        <f>IF(K33=Dienste!$A$2,Dienste!$C$2,IF(K33=Dienste!$A$3,Dienste!$C$3,IF(K33=Dienste!$A$4,Dienste!$C$4,IF(K33=Dienste!$A$5,Dienste!$C$5,IF(K33=Dienste!$A$6,Dienste!$C$6,IF(K33=Dienste!$A$7,Dienste!$C$7,IF(K33=Dienste!$A$8,Dienste!$C$8,IF(K33=Dienste!$A$9,Dienste!$C$9,IF(K33=Dienste!$A$10,Dienste!$C$10,IF(K33=Dienste!$A$11,Dienste!$C$11,IF(K33=Dienste!$A$12,Dienste!$C$12,IF(K33=Dienste!$A$13,Dienste!$C$13,IF(K33=Dienste!$A$14,Dienste!$C$14,IF(K33=Dienste!$A$15,Dienste!$C$15,IF(K33=Dienste!$A$16,Dienste!$C$16,IF(K33=Dienste!$A$17,Dienste!$C$17,IF(K33=Dienste!$A$18,Dienste!$C$18,IF(K33=Dienste!$A$19,Dienste!$C$19,IF(K33=Dienste!$A$20,Dienste!$C$20,IF(K33=Dienste!$A$21,Dienste!$C$21,IF(K33=Dienste!$A$22,Dienste!$C$22,IF(K33=Dienste!$A$23,Dienste!$C$23,IF(K33=Dienste!$A$24,Dienste!$C$24,IF(K33=Dienste!$A$25,Dienste!$C$25,IF(K33=Dienste!$A$26,Dienste!$C$26,IF(K33=Dienste!$A$27,Dienste!$C$27,IF(K33=Dienste!$A$28,Dienste!$C$28,IF(K33=Dienste!#REF!,Dienste!#REF!,IF(K33=Dienste!#REF!,Dienste!#REF!,IF(K33=Dienste!#REF!,Dienste!#REF!,IF(K33=Dienste!#REF!,Dienste!#REF!,IF(K33=Dienste!$A$33,Dienste!$C$33,IF(K33=Dienste!$A$34,Dienste!$C$34,IF(K33=Dienste!$A$35,Dienste!$C$35,IF(K33=Dienste!$A$36,Dienste!$C$36,)))))))))))))))))))))))))))))))))))</f>
        <v>0</v>
      </c>
      <c r="BF33" s="27">
        <f>IF(L33=Dienste!$A$2,Dienste!$C$2,IF(L33=Dienste!$A$3,Dienste!$C$3,IF(L33=Dienste!$A$4,Dienste!$C$4,IF(L33=Dienste!$A$5,Dienste!$C$5,IF(L33=Dienste!$A$6,Dienste!$C$6,IF(L33=Dienste!$A$7,Dienste!$C$7,IF(L33=Dienste!$A$8,Dienste!$C$8,IF(L33=Dienste!$A$9,Dienste!$C$9,IF(L33=Dienste!$A$10,Dienste!$C$10,IF(L33=Dienste!$A$11,Dienste!$C$11,IF(L33=Dienste!$A$12,Dienste!$C$12,IF(L33=Dienste!$A$13,Dienste!$C$13,IF(L33=Dienste!$A$14,Dienste!$C$14,IF(L33=Dienste!$A$15,Dienste!$C$15,IF(L33=Dienste!$A$16,Dienste!$C$16,IF(L33=Dienste!$A$17,Dienste!$C$17,IF(L33=Dienste!$A$18,Dienste!$C$18,IF(L33=Dienste!$A$19,Dienste!$C$19,IF(L33=Dienste!$A$20,Dienste!$C$20,IF(L33=Dienste!$A$21,Dienste!$C$21,IF(L33=Dienste!$A$22,Dienste!$C$22,IF(L33=Dienste!$A$23,Dienste!$C$23,IF(L33=Dienste!$A$24,Dienste!$C$24,IF(L33=Dienste!$A$25,Dienste!$C$25,IF(L33=Dienste!$A$26,Dienste!$C$26,IF(L33=Dienste!$A$27,Dienste!$C$27,IF(L33=Dienste!$A$28,Dienste!$C$28,IF(L33=Dienste!#REF!,Dienste!#REF!,IF(L33=Dienste!#REF!,Dienste!#REF!,IF(L33=Dienste!#REF!,Dienste!#REF!,IF(L33=Dienste!#REF!,Dienste!#REF!,IF(L33=Dienste!$A$33,Dienste!$C$33,IF(L33=Dienste!$A$34,Dienste!$C$34,IF(L33=Dienste!$A$35,Dienste!$C$35,IF(L33=Dienste!$A$36,Dienste!$C$36,)))))))))))))))))))))))))))))))))))</f>
        <v>0</v>
      </c>
      <c r="BG33" s="27">
        <f>IF(M33=Dienste!$A$2,Dienste!$C$2,IF(M33=Dienste!$A$3,Dienste!$C$3,IF(M33=Dienste!$A$4,Dienste!$C$4,IF(M33=Dienste!$A$5,Dienste!$C$5,IF(M33=Dienste!$A$6,Dienste!$C$6,IF(M33=Dienste!$A$7,Dienste!$C$7,IF(M33=Dienste!$A$8,Dienste!$C$8,IF(M33=Dienste!$A$9,Dienste!$C$9,IF(M33=Dienste!$A$10,Dienste!$C$10,IF(M33=Dienste!$A$11,Dienste!$C$11,IF(M33=Dienste!$A$12,Dienste!$C$12,IF(M33=Dienste!$A$13,Dienste!$C$13,IF(M33=Dienste!$A$14,Dienste!$C$14,IF(M33=Dienste!$A$15,Dienste!$C$15,IF(M33=Dienste!$A$16,Dienste!$C$16,IF(M33=Dienste!$A$17,Dienste!$C$17,IF(M33=Dienste!$A$18,Dienste!$C$18,IF(M33=Dienste!$A$19,Dienste!$C$19,IF(M33=Dienste!$A$20,Dienste!$C$20,IF(M33=Dienste!$A$21,Dienste!$C$21,IF(M33=Dienste!$A$22,Dienste!$C$22,IF(M33=Dienste!$A$23,Dienste!$C$23,IF(M33=Dienste!$A$24,Dienste!$C$24,IF(M33=Dienste!$A$25,Dienste!$C$25,IF(M33=Dienste!$A$26,Dienste!$C$26,IF(M33=Dienste!$A$27,Dienste!$C$27,IF(M33=Dienste!$A$28,Dienste!$C$28,IF(M33=Dienste!#REF!,Dienste!#REF!,IF(M33=Dienste!#REF!,Dienste!#REF!,IF(M33=Dienste!#REF!,Dienste!#REF!,IF(M33=Dienste!#REF!,Dienste!#REF!,IF(M33=Dienste!$A$33,Dienste!$C$33,IF(M33=Dienste!$A$34,Dienste!$C$34,IF(M33=Dienste!$A$35,Dienste!$C$35,IF(M33=Dienste!$A$36,Dienste!$C$36,)))))))))))))))))))))))))))))))))))</f>
        <v>8</v>
      </c>
      <c r="BH33" s="27">
        <f>IF(N33=Dienste!$A$2,Dienste!$C$2,IF(N33=Dienste!$A$3,Dienste!$C$3,IF(N33=Dienste!$A$4,Dienste!$C$4,IF(N33=Dienste!$A$5,Dienste!$C$5,IF(N33=Dienste!$A$6,Dienste!$C$6,IF(N33=Dienste!$A$7,Dienste!$C$7,IF(N33=Dienste!$A$8,Dienste!$C$8,IF(N33=Dienste!$A$9,Dienste!$C$9,IF(N33=Dienste!$A$10,Dienste!$C$10,IF(N33=Dienste!$A$11,Dienste!$C$11,IF(N33=Dienste!$A$12,Dienste!$C$12,IF(N33=Dienste!$A$13,Dienste!$C$13,IF(N33=Dienste!$A$14,Dienste!$C$14,IF(N33=Dienste!$A$15,Dienste!$C$15,IF(N33=Dienste!$A$16,Dienste!$C$16,IF(N33=Dienste!$A$17,Dienste!$C$17,IF(N33=Dienste!$A$18,Dienste!$C$18,IF(N33=Dienste!$A$19,Dienste!$C$19,IF(N33=Dienste!$A$20,Dienste!$C$20,IF(N33=Dienste!$A$21,Dienste!$C$21,IF(N33=Dienste!$A$22,Dienste!$C$22,IF(N33=Dienste!$A$23,Dienste!$C$23,IF(N33=Dienste!$A$24,Dienste!$C$24,IF(N33=Dienste!$A$25,Dienste!$C$25,IF(N33=Dienste!$A$26,Dienste!$C$26,IF(N33=Dienste!$A$27,Dienste!$C$27,IF(N33=Dienste!$A$28,Dienste!$C$28,IF(N33=Dienste!#REF!,Dienste!#REF!,IF(N33=Dienste!#REF!,Dienste!#REF!,IF(N33=Dienste!#REF!,Dienste!#REF!,IF(N33=Dienste!#REF!,Dienste!#REF!,IF(N33=Dienste!$A$33,Dienste!$C$33,IF(N33=Dienste!$A$34,Dienste!$C$34,IF(N33=Dienste!$A$35,Dienste!$C$35,IF(N33=Dienste!$A$36,Dienste!$C$36,)))))))))))))))))))))))))))))))))))</f>
        <v>8</v>
      </c>
      <c r="BI33" s="27">
        <f>IF(O33=Dienste!$A$2,Dienste!$C$2,IF(O33=Dienste!$A$3,Dienste!$C$3,IF(O33=Dienste!$A$4,Dienste!$C$4,IF(O33=Dienste!$A$5,Dienste!$C$5,IF(O33=Dienste!$A$6,Dienste!$C$6,IF(O33=Dienste!$A$7,Dienste!$C$7,IF(O33=Dienste!$A$8,Dienste!$C$8,IF(O33=Dienste!$A$9,Dienste!$C$9,IF(O33=Dienste!$A$10,Dienste!$C$10,IF(O33=Dienste!$A$11,Dienste!$C$11,IF(O33=Dienste!$A$12,Dienste!$C$12,IF(O33=Dienste!$A$13,Dienste!$C$13,IF(O33=Dienste!$A$14,Dienste!$C$14,IF(O33=Dienste!$A$15,Dienste!$C$15,IF(O33=Dienste!$A$16,Dienste!$C$16,IF(O33=Dienste!$A$17,Dienste!$C$17,IF(O33=Dienste!$A$18,Dienste!$C$18,IF(O33=Dienste!$A$19,Dienste!$C$19,IF(O33=Dienste!$A$20,Dienste!$C$20,IF(O33=Dienste!$A$21,Dienste!$C$21,IF(O33=Dienste!$A$22,Dienste!$C$22,IF(O33=Dienste!$A$23,Dienste!$C$23,IF(O33=Dienste!$A$24,Dienste!$C$24,IF(O33=Dienste!$A$25,Dienste!$C$25,IF(O33=Dienste!$A$26,Dienste!$C$26,IF(O33=Dienste!$A$27,Dienste!$C$27,IF(O33=Dienste!$A$28,Dienste!$C$28,IF(O33=Dienste!#REF!,Dienste!#REF!,IF(O33=Dienste!#REF!,Dienste!#REF!,IF(O33=Dienste!#REF!,Dienste!#REF!,IF(O33=Dienste!#REF!,Dienste!#REF!,IF(O33=Dienste!$A$33,Dienste!$C$33,IF(O33=Dienste!$A$34,Dienste!$C$34,IF(O33=Dienste!$A$35,Dienste!$C$35,IF(O33=Dienste!$A$36,Dienste!$C$36,)))))))))))))))))))))))))))))))))))</f>
        <v>8</v>
      </c>
      <c r="BJ33" s="27">
        <f>IF(P33=Dienste!$A$2,Dienste!$C$2,IF(P33=Dienste!$A$3,Dienste!$C$3,IF(P33=Dienste!$A$4,Dienste!$C$4,IF(P33=Dienste!$A$5,Dienste!$C$5,IF(P33=Dienste!$A$6,Dienste!$C$6,IF(P33=Dienste!$A$7,Dienste!$C$7,IF(P33=Dienste!$A$8,Dienste!$C$8,IF(P33=Dienste!$A$9,Dienste!$C$9,IF(P33=Dienste!$A$10,Dienste!$C$10,IF(P33=Dienste!$A$11,Dienste!$C$11,IF(P33=Dienste!$A$12,Dienste!$C$12,IF(P33=Dienste!$A$13,Dienste!$C$13,IF(P33=Dienste!$A$14,Dienste!$C$14,IF(P33=Dienste!$A$15,Dienste!$C$15,IF(P33=Dienste!$A$16,Dienste!$C$16,IF(P33=Dienste!$A$17,Dienste!$C$17,IF(P33=Dienste!$A$18,Dienste!$C$18,IF(P33=Dienste!$A$19,Dienste!$C$19,IF(P33=Dienste!$A$20,Dienste!$C$20,IF(P33=Dienste!$A$21,Dienste!$C$21,IF(P33=Dienste!$A$22,Dienste!$C$22,IF(P33=Dienste!$A$23,Dienste!$C$23,IF(P33=Dienste!$A$24,Dienste!$C$24,IF(P33=Dienste!$A$25,Dienste!$C$25,IF(P33=Dienste!$A$26,Dienste!$C$26,IF(P33=Dienste!$A$27,Dienste!$C$27,IF(P33=Dienste!$A$28,Dienste!$C$28,IF(P33=Dienste!#REF!,Dienste!#REF!,IF(P33=Dienste!#REF!,Dienste!#REF!,IF(P33=Dienste!#REF!,Dienste!#REF!,IF(P33=Dienste!#REF!,Dienste!#REF!,IF(P33=Dienste!$A$33,Dienste!$C$33,IF(P33=Dienste!$A$34,Dienste!$C$34,IF(P33=Dienste!$A$35,Dienste!$C$35,IF(P33=Dienste!$A$36,Dienste!$C$36,)))))))))))))))))))))))))))))))))))</f>
        <v>8</v>
      </c>
      <c r="BK33" s="27">
        <f>IF(Q33=Dienste!$A$2,Dienste!$C$2,IF(Q33=Dienste!$A$3,Dienste!$C$3,IF(Q33=Dienste!$A$4,Dienste!$C$4,IF(Q33=Dienste!$A$5,Dienste!$C$5,IF(Q33=Dienste!$A$6,Dienste!$C$6,IF(Q33=Dienste!$A$7,Dienste!$C$7,IF(Q33=Dienste!$A$8,Dienste!$C$8,IF(Q33=Dienste!$A$9,Dienste!$C$9,IF(Q33=Dienste!$A$10,Dienste!$C$10,IF(Q33=Dienste!$A$11,Dienste!$C$11,IF(Q33=Dienste!$A$12,Dienste!$C$12,IF(Q33=Dienste!$A$13,Dienste!$C$13,IF(Q33=Dienste!$A$14,Dienste!$C$14,IF(Q33=Dienste!$A$15,Dienste!$C$15,IF(Q33=Dienste!$A$16,Dienste!$C$16,IF(Q33=Dienste!$A$17,Dienste!$C$17,IF(Q33=Dienste!$A$18,Dienste!$C$18,IF(Q33=Dienste!$A$19,Dienste!$C$19,IF(Q33=Dienste!$A$20,Dienste!$C$20,IF(Q33=Dienste!$A$21,Dienste!$C$21,IF(Q33=Dienste!$A$22,Dienste!$C$22,IF(Q33=Dienste!$A$23,Dienste!$C$23,IF(Q33=Dienste!$A$24,Dienste!$C$24,IF(Q33=Dienste!$A$25,Dienste!$C$25,IF(Q33=Dienste!$A$26,Dienste!$C$26,IF(Q33=Dienste!$A$27,Dienste!$C$27,IF(Q33=Dienste!$A$28,Dienste!$C$28,IF(Q33=Dienste!#REF!,Dienste!#REF!,IF(Q33=Dienste!#REF!,Dienste!#REF!,IF(Q33=Dienste!#REF!,Dienste!#REF!,IF(Q33=Dienste!#REF!,Dienste!#REF!,IF(Q33=Dienste!$A$33,Dienste!$C$33,IF(Q33=Dienste!$A$34,Dienste!$C$34,IF(Q33=Dienste!$A$35,Dienste!$C$35,IF(Q33=Dienste!$A$36,Dienste!$C$36,)))))))))))))))))))))))))))))))))))</f>
        <v>8</v>
      </c>
      <c r="BL33" s="27">
        <f>IF(R33=Dienste!$A$2,Dienste!$C$2,IF(R33=Dienste!$A$3,Dienste!$C$3,IF(R33=Dienste!$A$4,Dienste!$C$4,IF(R33=Dienste!$A$5,Dienste!$C$5,IF(R33=Dienste!$A$6,Dienste!$C$6,IF(R33=Dienste!$A$7,Dienste!$C$7,IF(R33=Dienste!$A$8,Dienste!$C$8,IF(R33=Dienste!$A$9,Dienste!$C$9,IF(R33=Dienste!$A$10,Dienste!$C$10,IF(R33=Dienste!$A$11,Dienste!$C$11,IF(R33=Dienste!$A$12,Dienste!$C$12,IF(R33=Dienste!$A$13,Dienste!$C$13,IF(R33=Dienste!$A$14,Dienste!$C$14,IF(R33=Dienste!$A$15,Dienste!$C$15,IF(R33=Dienste!$A$16,Dienste!$C$16,IF(R33=Dienste!$A$17,Dienste!$C$17,IF(R33=Dienste!$A$18,Dienste!$C$18,IF(R33=Dienste!$A$19,Dienste!$C$19,IF(R33=Dienste!$A$20,Dienste!$C$20,IF(R33=Dienste!$A$21,Dienste!$C$21,IF(R33=Dienste!$A$22,Dienste!$C$22,IF(R33=Dienste!$A$23,Dienste!$C$23,IF(R33=Dienste!$A$24,Dienste!$C$24,IF(R33=Dienste!$A$25,Dienste!$C$25,IF(R33=Dienste!$A$26,Dienste!$C$26,IF(R33=Dienste!$A$27,Dienste!$C$27,IF(R33=Dienste!$A$28,Dienste!$C$28,IF(R33=Dienste!#REF!,Dienste!#REF!,IF(R33=Dienste!#REF!,Dienste!#REF!,IF(R33=Dienste!#REF!,Dienste!#REF!,IF(R33=Dienste!#REF!,Dienste!#REF!,IF(R33=Dienste!$A$33,Dienste!$C$33,IF(R33=Dienste!$A$34,Dienste!$C$34,IF(R33=Dienste!$A$35,Dienste!$C$35,IF(R33=Dienste!$A$36,Dienste!$C$36,)))))))))))))))))))))))))))))))))))</f>
        <v>0</v>
      </c>
      <c r="BM33" s="27">
        <f>IF(S33=Dienste!$A$2,Dienste!$C$2,IF(S33=Dienste!$A$3,Dienste!$C$3,IF(S33=Dienste!$A$4,Dienste!$C$4,IF(S33=Dienste!$A$5,Dienste!$C$5,IF(S33=Dienste!$A$6,Dienste!$C$6,IF(S33=Dienste!$A$7,Dienste!$C$7,IF(S33=Dienste!$A$8,Dienste!$C$8,IF(S33=Dienste!$A$9,Dienste!$C$9,IF(S33=Dienste!$A$10,Dienste!$C$10,IF(S33=Dienste!$A$11,Dienste!$C$11,IF(S33=Dienste!$A$12,Dienste!$C$12,IF(S33=Dienste!$A$13,Dienste!$C$13,IF(S33=Dienste!$A$14,Dienste!$C$14,IF(S33=Dienste!$A$15,Dienste!$C$15,IF(S33=Dienste!$A$16,Dienste!$C$16,IF(S33=Dienste!$A$17,Dienste!$C$17,IF(S33=Dienste!$A$18,Dienste!$C$18,IF(S33=Dienste!$A$19,Dienste!$C$19,IF(S33=Dienste!$A$20,Dienste!$C$20,IF(S33=Dienste!$A$21,Dienste!$C$21,IF(S33=Dienste!$A$22,Dienste!$C$22,IF(S33=Dienste!$A$23,Dienste!$C$23,IF(S33=Dienste!$A$24,Dienste!$C$24,IF(S33=Dienste!$A$25,Dienste!$C$25,IF(S33=Dienste!$A$26,Dienste!$C$26,IF(S33=Dienste!$A$27,Dienste!$C$27,IF(S33=Dienste!$A$28,Dienste!$C$28,IF(S33=Dienste!#REF!,Dienste!#REF!,IF(S33=Dienste!#REF!,Dienste!#REF!,IF(S33=Dienste!#REF!,Dienste!#REF!,IF(S33=Dienste!#REF!,Dienste!#REF!,IF(S33=Dienste!$A$33,Dienste!$C$33,IF(S33=Dienste!$A$34,Dienste!$C$34,IF(S33=Dienste!$A$35,Dienste!$C$35,IF(S33=Dienste!$A$36,Dienste!$C$36,)))))))))))))))))))))))))))))))))))</f>
        <v>0</v>
      </c>
      <c r="BN33" s="27">
        <f>IF(T33=Dienste!$A$2,Dienste!$C$2,IF(T33=Dienste!$A$3,Dienste!$C$3,IF(T33=Dienste!$A$4,Dienste!$C$4,IF(T33=Dienste!$A$5,Dienste!$C$5,IF(T33=Dienste!$A$6,Dienste!$C$6,IF(T33=Dienste!$A$7,Dienste!$C$7,IF(T33=Dienste!$A$8,Dienste!$C$8,IF(T33=Dienste!$A$9,Dienste!$C$9,IF(T33=Dienste!$A$10,Dienste!$C$10,IF(T33=Dienste!$A$11,Dienste!$C$11,IF(T33=Dienste!$A$12,Dienste!$C$12,IF(T33=Dienste!$A$13,Dienste!$C$13,IF(T33=Dienste!$A$14,Dienste!$C$14,IF(T33=Dienste!$A$15,Dienste!$C$15,IF(T33=Dienste!$A$16,Dienste!$C$16,IF(T33=Dienste!$A$17,Dienste!$C$17,IF(T33=Dienste!$A$18,Dienste!$C$18,IF(T33=Dienste!$A$19,Dienste!$C$19,IF(T33=Dienste!$A$20,Dienste!$C$20,IF(T33=Dienste!$A$21,Dienste!$C$21,IF(T33=Dienste!$A$22,Dienste!$C$22,IF(T33=Dienste!$A$23,Dienste!$C$23,IF(T33=Dienste!$A$24,Dienste!$C$24,IF(T33=Dienste!$A$25,Dienste!$C$25,IF(T33=Dienste!$A$26,Dienste!$C$26,IF(T33=Dienste!$A$27,Dienste!$C$27,IF(T33=Dienste!$A$28,Dienste!$C$28,IF(T33=Dienste!#REF!,Dienste!#REF!,IF(T33=Dienste!#REF!,Dienste!#REF!,IF(T33=Dienste!#REF!,Dienste!#REF!,IF(T33=Dienste!#REF!,Dienste!#REF!,IF(T33=Dienste!$A$33,Dienste!$C$33,IF(T33=Dienste!$A$34,Dienste!$C$34,IF(T33=Dienste!$A$35,Dienste!$C$35,IF(T33=Dienste!$A$36,Dienste!$C$36,)))))))))))))))))))))))))))))))))))</f>
        <v>8</v>
      </c>
      <c r="BO33" s="27">
        <f>IF(U33=Dienste!$A$2,Dienste!$C$2,IF(U33=Dienste!$A$3,Dienste!$C$3,IF(U33=Dienste!$A$4,Dienste!$C$4,IF(U33=Dienste!$A$5,Dienste!$C$5,IF(U33=Dienste!$A$6,Dienste!$C$6,IF(U33=Dienste!$A$7,Dienste!$C$7,IF(U33=Dienste!$A$8,Dienste!$C$8,IF(U33=Dienste!$A$9,Dienste!$C$9,IF(U33=Dienste!$A$10,Dienste!$C$10,IF(U33=Dienste!$A$11,Dienste!$C$11,IF(U33=Dienste!$A$12,Dienste!$C$12,IF(U33=Dienste!$A$13,Dienste!$C$13,IF(U33=Dienste!$A$14,Dienste!$C$14,IF(U33=Dienste!$A$15,Dienste!$C$15,IF(U33=Dienste!$A$16,Dienste!$C$16,IF(U33=Dienste!$A$17,Dienste!$C$17,IF(U33=Dienste!$A$18,Dienste!$C$18,IF(U33=Dienste!$A$19,Dienste!$C$19,IF(U33=Dienste!$A$20,Dienste!$C$20,IF(U33=Dienste!$A$21,Dienste!$C$21,IF(U33=Dienste!$A$22,Dienste!$C$22,IF(U33=Dienste!$A$23,Dienste!$C$23,IF(U33=Dienste!$A$24,Dienste!$C$24,IF(U33=Dienste!$A$25,Dienste!$C$25,IF(U33=Dienste!$A$26,Dienste!$C$26,IF(U33=Dienste!$A$27,Dienste!$C$27,IF(U33=Dienste!$A$28,Dienste!$C$28,IF(U33=Dienste!#REF!,Dienste!#REF!,IF(U33=Dienste!#REF!,Dienste!#REF!,IF(U33=Dienste!#REF!,Dienste!#REF!,IF(U33=Dienste!#REF!,Dienste!#REF!,IF(U33=Dienste!$A$33,Dienste!$C$33,IF(U33=Dienste!$A$34,Dienste!$C$34,IF(U33=Dienste!$A$35,Dienste!$C$35,IF(U33=Dienste!$A$36,Dienste!$C$36,)))))))))))))))))))))))))))))))))))</f>
        <v>8</v>
      </c>
      <c r="BP33" s="27">
        <f>IF(V33=Dienste!$A$2,Dienste!$C$2,IF(V33=Dienste!$A$3,Dienste!$C$3,IF(V33=Dienste!$A$4,Dienste!$C$4,IF(V33=Dienste!$A$5,Dienste!$C$5,IF(V33=Dienste!$A$6,Dienste!$C$6,IF(V33=Dienste!$A$7,Dienste!$C$7,IF(V33=Dienste!$A$8,Dienste!$C$8,IF(V33=Dienste!$A$9,Dienste!$C$9,IF(V33=Dienste!$A$10,Dienste!$C$10,IF(V33=Dienste!$A$11,Dienste!$C$11,IF(V33=Dienste!$A$12,Dienste!$C$12,IF(V33=Dienste!$A$13,Dienste!$C$13,IF(V33=Dienste!$A$14,Dienste!$C$14,IF(V33=Dienste!$A$15,Dienste!$C$15,IF(V33=Dienste!$A$16,Dienste!$C$16,IF(V33=Dienste!$A$17,Dienste!$C$17,IF(V33=Dienste!$A$18,Dienste!$C$18,IF(V33=Dienste!$A$19,Dienste!$C$19,IF(V33=Dienste!$A$20,Dienste!$C$20,IF(V33=Dienste!$A$21,Dienste!$C$21,IF(V33=Dienste!$A$22,Dienste!$C$22,IF(V33=Dienste!$A$23,Dienste!$C$23,IF(V33=Dienste!$A$24,Dienste!$C$24,IF(V33=Dienste!$A$25,Dienste!$C$25,IF(V33=Dienste!$A$26,Dienste!$C$26,IF(V33=Dienste!$A$27,Dienste!$C$27,IF(V33=Dienste!$A$28,Dienste!$C$28,IF(V33=Dienste!#REF!,Dienste!#REF!,IF(V33=Dienste!#REF!,Dienste!#REF!,IF(V33=Dienste!#REF!,Dienste!#REF!,IF(V33=Dienste!#REF!,Dienste!#REF!,IF(V33=Dienste!$A$33,Dienste!$C$33,IF(V33=Dienste!$A$34,Dienste!$C$34,IF(V33=Dienste!$A$35,Dienste!$C$35,IF(V33=Dienste!$A$36,Dienste!$C$36,)))))))))))))))))))))))))))))))))))</f>
        <v>8</v>
      </c>
      <c r="BQ33" s="27">
        <f>IF(W33=Dienste!$A$2,Dienste!$C$2,IF(W33=Dienste!$A$3,Dienste!$C$3,IF(W33=Dienste!$A$4,Dienste!$C$4,IF(W33=Dienste!$A$5,Dienste!$C$5,IF(W33=Dienste!$A$6,Dienste!$C$6,IF(W33=Dienste!$A$7,Dienste!$C$7,IF(W33=Dienste!$A$8,Dienste!$C$8,IF(W33=Dienste!$A$9,Dienste!$C$9,IF(W33=Dienste!$A$10,Dienste!$C$10,IF(W33=Dienste!$A$11,Dienste!$C$11,IF(W33=Dienste!$A$12,Dienste!$C$12,IF(W33=Dienste!$A$13,Dienste!$C$13,IF(W33=Dienste!$A$14,Dienste!$C$14,IF(W33=Dienste!$A$15,Dienste!$C$15,IF(W33=Dienste!$A$16,Dienste!$C$16,IF(W33=Dienste!$A$17,Dienste!$C$17,IF(W33=Dienste!$A$18,Dienste!$C$18,IF(W33=Dienste!$A$19,Dienste!$C$19,IF(W33=Dienste!$A$20,Dienste!$C$20,IF(W33=Dienste!$A$21,Dienste!$C$21,IF(W33=Dienste!$A$22,Dienste!$C$22,IF(W33=Dienste!$A$23,Dienste!$C$23,IF(W33=Dienste!$A$24,Dienste!$C$24,IF(W33=Dienste!$A$25,Dienste!$C$25,IF(W33=Dienste!$A$26,Dienste!$C$26,IF(W33=Dienste!$A$27,Dienste!$C$27,IF(W33=Dienste!$A$28,Dienste!$C$28,IF(W33=Dienste!#REF!,Dienste!#REF!,IF(W33=Dienste!#REF!,Dienste!#REF!,IF(W33=Dienste!#REF!,Dienste!#REF!,IF(W33=Dienste!#REF!,Dienste!#REF!,IF(W33=Dienste!$A$33,Dienste!$C$33,IF(W33=Dienste!$A$34,Dienste!$C$34,IF(W33=Dienste!$A$35,Dienste!$C$35,IF(W33=Dienste!$A$36,Dienste!$C$36,)))))))))))))))))))))))))))))))))))</f>
        <v>8</v>
      </c>
      <c r="BR33" s="27">
        <f>IF(X33=Dienste!$A$2,Dienste!$C$2,IF(X33=Dienste!$A$3,Dienste!$C$3,IF(X33=Dienste!$A$4,Dienste!$C$4,IF(X33=Dienste!$A$5,Dienste!$C$5,IF(X33=Dienste!$A$6,Dienste!$C$6,IF(X33=Dienste!$A$7,Dienste!$C$7,IF(X33=Dienste!$A$8,Dienste!$C$8,IF(X33=Dienste!$A$9,Dienste!$C$9,IF(X33=Dienste!$A$10,Dienste!$C$10,IF(X33=Dienste!$A$11,Dienste!$C$11,IF(X33=Dienste!$A$12,Dienste!$C$12,IF(X33=Dienste!$A$13,Dienste!$C$13,IF(X33=Dienste!$A$14,Dienste!$C$14,IF(X33=Dienste!$A$15,Dienste!$C$15,IF(X33=Dienste!$A$16,Dienste!$C$16,IF(X33=Dienste!$A$17,Dienste!$C$17,IF(X33=Dienste!$A$18,Dienste!$C$18,IF(X33=Dienste!$A$19,Dienste!$C$19,IF(X33=Dienste!$A$20,Dienste!$C$20,IF(X33=Dienste!$A$21,Dienste!$C$21,IF(X33=Dienste!$A$22,Dienste!$C$22,IF(X33=Dienste!$A$23,Dienste!$C$23,IF(X33=Dienste!$A$24,Dienste!$C$24,IF(X33=Dienste!$A$25,Dienste!$C$25,IF(X33=Dienste!$A$26,Dienste!$C$26,IF(X33=Dienste!$A$27,Dienste!$C$27,IF(X33=Dienste!$A$28,Dienste!$C$28,IF(X33=Dienste!#REF!,Dienste!#REF!,IF(X33=Dienste!#REF!,Dienste!#REF!,IF(X33=Dienste!#REF!,Dienste!#REF!,IF(X33=Dienste!#REF!,Dienste!#REF!,IF(X33=Dienste!$A$33,Dienste!$C$33,IF(X33=Dienste!$A$34,Dienste!$C$34,IF(X33=Dienste!$A$35,Dienste!$C$35,IF(X33=Dienste!$A$36,Dienste!$C$36,)))))))))))))))))))))))))))))))))))</f>
        <v>8</v>
      </c>
      <c r="BS33" s="27">
        <f>IF(Y33=Dienste!$A$2,Dienste!$C$2,IF(Y33=Dienste!$A$3,Dienste!$C$3,IF(Y33=Dienste!$A$4,Dienste!$C$4,IF(Y33=Dienste!$A$5,Dienste!$C$5,IF(Y33=Dienste!$A$6,Dienste!$C$6,IF(Y33=Dienste!$A$7,Dienste!$C$7,IF(Y33=Dienste!$A$8,Dienste!$C$8,IF(Y33=Dienste!$A$9,Dienste!$C$9,IF(Y33=Dienste!$A$10,Dienste!$C$10,IF(Y33=Dienste!$A$11,Dienste!$C$11,IF(Y33=Dienste!$A$12,Dienste!$C$12,IF(Y33=Dienste!$A$13,Dienste!$C$13,IF(Y33=Dienste!$A$14,Dienste!$C$14,IF(Y33=Dienste!$A$15,Dienste!$C$15,IF(Y33=Dienste!$A$16,Dienste!$C$16,IF(Y33=Dienste!$A$17,Dienste!$C$17,IF(Y33=Dienste!$A$18,Dienste!$C$18,IF(Y33=Dienste!$A$19,Dienste!$C$19,IF(Y33=Dienste!$A$20,Dienste!$C$20,IF(Y33=Dienste!$A$21,Dienste!$C$21,IF(Y33=Dienste!$A$22,Dienste!$C$22,IF(Y33=Dienste!$A$23,Dienste!$C$23,IF(Y33=Dienste!$A$24,Dienste!$C$24,IF(Y33=Dienste!$A$25,Dienste!$C$25,IF(Y33=Dienste!$A$26,Dienste!$C$26,IF(Y33=Dienste!$A$27,Dienste!$C$27,IF(Y33=Dienste!$A$28,Dienste!$C$28,IF(Y33=Dienste!#REF!,Dienste!#REF!,IF(Y33=Dienste!#REF!,Dienste!#REF!,IF(Y33=Dienste!#REF!,Dienste!#REF!,IF(Y33=Dienste!#REF!,Dienste!#REF!,IF(Y33=Dienste!$A$33,Dienste!$C$33,IF(Y33=Dienste!$A$34,Dienste!$C$34,IF(Y33=Dienste!$A$35,Dienste!$C$35,IF(Y33=Dienste!$A$36,Dienste!$C$36,)))))))))))))))))))))))))))))))))))</f>
        <v>0</v>
      </c>
      <c r="BT33" s="27">
        <f>IF(Z33=Dienste!$A$2,Dienste!$C$2,IF(Z33=Dienste!$A$3,Dienste!$C$3,IF(Z33=Dienste!$A$4,Dienste!$C$4,IF(Z33=Dienste!$A$5,Dienste!$C$5,IF(Z33=Dienste!$A$6,Dienste!$C$6,IF(Z33=Dienste!$A$7,Dienste!$C$7,IF(Z33=Dienste!$A$8,Dienste!$C$8,IF(Z33=Dienste!$A$9,Dienste!$C$9,IF(Z33=Dienste!$A$10,Dienste!$C$10,IF(Z33=Dienste!$A$11,Dienste!$C$11,IF(Z33=Dienste!$A$12,Dienste!$C$12,IF(Z33=Dienste!$A$13,Dienste!$C$13,IF(Z33=Dienste!$A$14,Dienste!$C$14,IF(Z33=Dienste!$A$15,Dienste!$C$15,IF(Z33=Dienste!$A$16,Dienste!$C$16,IF(Z33=Dienste!$A$17,Dienste!$C$17,IF(Z33=Dienste!$A$18,Dienste!$C$18,IF(Z33=Dienste!$A$19,Dienste!$C$19,IF(Z33=Dienste!$A$20,Dienste!$C$20,IF(Z33=Dienste!$A$21,Dienste!$C$21,IF(Z33=Dienste!$A$22,Dienste!$C$22,IF(Z33=Dienste!$A$23,Dienste!$C$23,IF(Z33=Dienste!$A$24,Dienste!$C$24,IF(Z33=Dienste!$A$25,Dienste!$C$25,IF(Z33=Dienste!$A$26,Dienste!$C$26,IF(Z33=Dienste!$A$27,Dienste!$C$27,IF(Z33=Dienste!$A$28,Dienste!$C$28,IF(Z33=Dienste!#REF!,Dienste!#REF!,IF(Z33=Dienste!#REF!,Dienste!#REF!,IF(Z33=Dienste!#REF!,Dienste!#REF!,IF(Z33=Dienste!#REF!,Dienste!#REF!,IF(Z33=Dienste!$A$33,Dienste!$C$33,IF(Z33=Dienste!$A$34,Dienste!$C$34,IF(Z33=Dienste!$A$35,Dienste!$C$35,IF(Z33=Dienste!$A$36,Dienste!$C$36,)))))))))))))))))))))))))))))))))))</f>
        <v>0</v>
      </c>
      <c r="BU33" s="27">
        <f>IF(AA33=Dienste!$A$2,Dienste!$C$2,IF(AA33=Dienste!$A$3,Dienste!$C$3,IF(AA33=Dienste!$A$4,Dienste!$C$4,IF(AA33=Dienste!$A$5,Dienste!$C$5,IF(AA33=Dienste!$A$6,Dienste!$C$6,IF(AA33=Dienste!$A$7,Dienste!$C$7,IF(AA33=Dienste!$A$8,Dienste!$C$8,IF(AA33=Dienste!$A$9,Dienste!$C$9,IF(AA33=Dienste!$A$10,Dienste!$C$10,IF(AA33=Dienste!$A$11,Dienste!$C$11,IF(AA33=Dienste!$A$12,Dienste!$C$12,IF(AA33=Dienste!$A$13,Dienste!$C$13,IF(AA33=Dienste!$A$14,Dienste!$C$14,IF(AA33=Dienste!$A$15,Dienste!$C$15,IF(AA33=Dienste!$A$16,Dienste!$C$16,IF(AA33=Dienste!$A$17,Dienste!$C$17,IF(AA33=Dienste!$A$18,Dienste!$C$18,IF(AA33=Dienste!$A$19,Dienste!$C$19,IF(AA33=Dienste!$A$20,Dienste!$C$20,IF(AA33=Dienste!$A$21,Dienste!$C$21,IF(AA33=Dienste!$A$22,Dienste!$C$22,IF(AA33=Dienste!$A$23,Dienste!$C$23,IF(AA33=Dienste!$A$24,Dienste!$C$24,IF(AA33=Dienste!$A$25,Dienste!$C$25,IF(AA33=Dienste!$A$26,Dienste!$C$26,IF(AA33=Dienste!$A$27,Dienste!$C$27,IF(AA33=Dienste!$A$28,Dienste!$C$28,IF(AA33=Dienste!#REF!,Dienste!#REF!,IF(AA33=Dienste!#REF!,Dienste!#REF!,IF(AA33=Dienste!#REF!,Dienste!#REF!,IF(AA33=Dienste!#REF!,Dienste!#REF!,IF(AA33=Dienste!$A$33,Dienste!$C$33,IF(AA33=Dienste!$A$34,Dienste!$C$34,IF(AA33=Dienste!$A$35,Dienste!$C$35,IF(AA33=Dienste!$A$36,Dienste!$C$36,)))))))))))))))))))))))))))))))))))</f>
        <v>8</v>
      </c>
      <c r="BV33" s="27">
        <f>IF(AB33=Dienste!$A$2,Dienste!$C$2,IF(AB33=Dienste!$A$3,Dienste!$C$3,IF(AB33=Dienste!$A$4,Dienste!$C$4,IF(AB33=Dienste!$A$5,Dienste!$C$5,IF(AB33=Dienste!$A$6,Dienste!$C$6,IF(AB33=Dienste!$A$7,Dienste!$C$7,IF(AB33=Dienste!$A$8,Dienste!$C$8,IF(AB33=Dienste!$A$9,Dienste!$C$9,IF(AB33=Dienste!$A$10,Dienste!$C$10,IF(AB33=Dienste!$A$11,Dienste!$C$11,IF(AB33=Dienste!$A$12,Dienste!$C$12,IF(AB33=Dienste!$A$13,Dienste!$C$13,IF(AB33=Dienste!$A$14,Dienste!$C$14,IF(AB33=Dienste!$A$15,Dienste!$C$15,IF(AB33=Dienste!$A$16,Dienste!$C$16,IF(AB33=Dienste!$A$17,Dienste!$C$17,IF(AB33=Dienste!$A$18,Dienste!$C$18,IF(AB33=Dienste!$A$19,Dienste!$C$19,IF(AB33=Dienste!$A$20,Dienste!$C$20,IF(AB33=Dienste!$A$21,Dienste!$C$21,IF(AB33=Dienste!$A$22,Dienste!$C$22,IF(AB33=Dienste!$A$23,Dienste!$C$23,IF(AB33=Dienste!$A$24,Dienste!$C$24,IF(AB33=Dienste!$A$25,Dienste!$C$25,IF(AB33=Dienste!$A$26,Dienste!$C$26,IF(AB33=Dienste!$A$27,Dienste!$C$27,IF(AB33=Dienste!$A$28,Dienste!$C$28,IF(AB33=Dienste!#REF!,Dienste!#REF!,IF(AB33=Dienste!#REF!,Dienste!#REF!,IF(AB33=Dienste!#REF!,Dienste!#REF!,IF(AB33=Dienste!#REF!,Dienste!#REF!,IF(AB33=Dienste!$A$33,Dienste!$C$33,IF(AB33=Dienste!$A$34,Dienste!$C$34,IF(AB33=Dienste!$A$35,Dienste!$C$35,IF(AB33=Dienste!$A$36,Dienste!$C$36,)))))))))))))))))))))))))))))))))))</f>
        <v>8</v>
      </c>
      <c r="BW33" s="27">
        <f>IF(AC33=Dienste!$A$2,Dienste!$C$2,IF(AC33=Dienste!$A$3,Dienste!$C$3,IF(AC33=Dienste!$A$4,Dienste!$C$4,IF(AC33=Dienste!$A$5,Dienste!$C$5,IF(AC33=Dienste!$A$6,Dienste!$C$6,IF(AC33=Dienste!$A$7,Dienste!$C$7,IF(AC33=Dienste!$A$8,Dienste!$C$8,IF(AC33=Dienste!$A$9,Dienste!$C$9,IF(AC33=Dienste!$A$10,Dienste!$C$10,IF(AC33=Dienste!$A$11,Dienste!$C$11,IF(AC33=Dienste!$A$12,Dienste!$C$12,IF(AC33=Dienste!$A$13,Dienste!$C$13,IF(AC33=Dienste!$A$14,Dienste!$C$14,IF(AC33=Dienste!$A$15,Dienste!$C$15,IF(AC33=Dienste!$A$16,Dienste!$C$16,IF(AC33=Dienste!$A$17,Dienste!$C$17,IF(AC33=Dienste!$A$18,Dienste!$C$18,IF(AC33=Dienste!$A$19,Dienste!$C$19,IF(AC33=Dienste!$A$20,Dienste!$C$20,IF(AC33=Dienste!$A$21,Dienste!$C$21,IF(AC33=Dienste!$A$22,Dienste!$C$22,IF(AC33=Dienste!$A$23,Dienste!$C$23,IF(AC33=Dienste!$A$24,Dienste!$C$24,IF(AC33=Dienste!$A$25,Dienste!$C$25,IF(AC33=Dienste!$A$26,Dienste!$C$26,IF(AC33=Dienste!$A$27,Dienste!$C$27,IF(AC33=Dienste!$A$28,Dienste!$C$28,IF(AC33=Dienste!#REF!,Dienste!#REF!,IF(AC33=Dienste!#REF!,Dienste!#REF!,IF(AC33=Dienste!#REF!,Dienste!#REF!,IF(AC33=Dienste!#REF!,Dienste!#REF!,IF(AC33=Dienste!$A$33,Dienste!$C$33,IF(AC33=Dienste!$A$34,Dienste!$C$34,IF(AC33=Dienste!$A$35,Dienste!$C$35,IF(AC33=Dienste!$A$36,Dienste!$C$36,)))))))))))))))))))))))))))))))))))</f>
        <v>8</v>
      </c>
      <c r="BX33" s="27">
        <f>IF(AD33=Dienste!$A$2,Dienste!$C$2,IF(AD33=Dienste!$A$3,Dienste!$C$3,IF(AD33=Dienste!$A$4,Dienste!$C$4,IF(AD33=Dienste!$A$5,Dienste!$C$5,IF(AD33=Dienste!$A$6,Dienste!$C$6,IF(AD33=Dienste!$A$7,Dienste!$C$7,IF(AD33=Dienste!$A$8,Dienste!$C$8,IF(AD33=Dienste!$A$9,Dienste!$C$9,IF(AD33=Dienste!$A$10,Dienste!$C$10,IF(AD33=Dienste!$A$11,Dienste!$C$11,IF(AD33=Dienste!$A$12,Dienste!$C$12,IF(AD33=Dienste!$A$13,Dienste!$C$13,IF(AD33=Dienste!$A$14,Dienste!$C$14,IF(AD33=Dienste!$A$15,Dienste!$C$15,IF(AD33=Dienste!$A$16,Dienste!$C$16,IF(AD33=Dienste!$A$17,Dienste!$C$17,IF(AD33=Dienste!$A$18,Dienste!$C$18,IF(AD33=Dienste!$A$19,Dienste!$C$19,IF(AD33=Dienste!$A$20,Dienste!$C$20,IF(AD33=Dienste!$A$21,Dienste!$C$21,IF(AD33=Dienste!$A$22,Dienste!$C$22,IF(AD33=Dienste!$A$23,Dienste!$C$23,IF(AD33=Dienste!$A$24,Dienste!$C$24,IF(AD33=Dienste!$A$25,Dienste!$C$25,IF(AD33=Dienste!$A$26,Dienste!$C$26,IF(AD33=Dienste!$A$27,Dienste!$C$27,IF(AD33=Dienste!$A$28,Dienste!$C$28,IF(AD33=Dienste!#REF!,Dienste!#REF!,IF(AD33=Dienste!#REF!,Dienste!#REF!,IF(AD33=Dienste!#REF!,Dienste!#REF!,IF(AD33=Dienste!#REF!,Dienste!#REF!,IF(AD33=Dienste!$A$33,Dienste!$C$33,IF(AD33=Dienste!$A$34,Dienste!$C$34,IF(AD33=Dienste!$A$35,Dienste!$C$35,IF(AD33=Dienste!$A$36,Dienste!$C$36,)))))))))))))))))))))))))))))))))))</f>
        <v>8</v>
      </c>
      <c r="BY33" s="27">
        <f>IF(AE33=Dienste!$A$2,Dienste!$C$2,IF(AE33=Dienste!$A$3,Dienste!$C$3,IF(AE33=Dienste!$A$4,Dienste!$C$4,IF(AE33=Dienste!$A$5,Dienste!$C$5,IF(AE33=Dienste!$A$6,Dienste!$C$6,IF(AE33=Dienste!$A$7,Dienste!$C$7,IF(AE33=Dienste!$A$8,Dienste!$C$8,IF(AE33=Dienste!$A$9,Dienste!$C$9,IF(AE33=Dienste!$A$10,Dienste!$C$10,IF(AE33=Dienste!$A$11,Dienste!$C$11,IF(AE33=Dienste!$A$12,Dienste!$C$12,IF(AE33=Dienste!$A$13,Dienste!$C$13,IF(AE33=Dienste!$A$14,Dienste!$C$14,IF(AE33=Dienste!$A$15,Dienste!$C$15,IF(AE33=Dienste!$A$16,Dienste!$C$16,IF(AE33=Dienste!$A$17,Dienste!$C$17,IF(AE33=Dienste!$A$18,Dienste!$C$18,IF(AE33=Dienste!$A$19,Dienste!$C$19,IF(AE33=Dienste!$A$20,Dienste!$C$20,IF(AE33=Dienste!$A$21,Dienste!$C$21,IF(AE33=Dienste!$A$22,Dienste!$C$22,IF(AE33=Dienste!$A$23,Dienste!$C$23,IF(AE33=Dienste!$A$24,Dienste!$C$24,IF(AE33=Dienste!$A$25,Dienste!$C$25,IF(AE33=Dienste!$A$26,Dienste!$C$26,IF(AE33=Dienste!$A$27,Dienste!$C$27,IF(AE33=Dienste!$A$28,Dienste!$C$28,IF(AE33=Dienste!#REF!,Dienste!#REF!,IF(AE33=Dienste!#REF!,Dienste!#REF!,IF(AE33=Dienste!#REF!,Dienste!#REF!,IF(AE33=Dienste!#REF!,Dienste!#REF!,IF(AE33=Dienste!$A$33,Dienste!$C$33,IF(AE33=Dienste!$A$34,Dienste!$C$34,IF(AE33=Dienste!$A$35,Dienste!$C$35,IF(AE33=Dienste!$A$36,Dienste!$C$36,)))))))))))))))))))))))))))))))))))</f>
        <v>8</v>
      </c>
      <c r="BZ33" s="27">
        <f>IF(AF33=Dienste!$A$2,Dienste!$C$2,IF(AF33=Dienste!$A$3,Dienste!$C$3,IF(AF33=Dienste!$A$4,Dienste!$C$4,IF(AF33=Dienste!$A$5,Dienste!$C$5,IF(AF33=Dienste!$A$6,Dienste!$C$6,IF(AF33=Dienste!$A$7,Dienste!$C$7,IF(AF33=Dienste!$A$8,Dienste!$C$8,IF(AF33=Dienste!$A$9,Dienste!$C$9,IF(AF33=Dienste!$A$10,Dienste!$C$10,IF(AF33=Dienste!$A$11,Dienste!$C$11,IF(AF33=Dienste!$A$12,Dienste!$C$12,IF(AF33=Dienste!$A$13,Dienste!$C$13,IF(AF33=Dienste!$A$14,Dienste!$C$14,IF(AF33=Dienste!$A$15,Dienste!$C$15,IF(AF33=Dienste!$A$16,Dienste!$C$16,IF(AF33=Dienste!$A$17,Dienste!$C$17,IF(AF33=Dienste!$A$18,Dienste!$C$18,IF(AF33=Dienste!$A$19,Dienste!$C$19,IF(AF33=Dienste!$A$20,Dienste!$C$20,IF(AF33=Dienste!$A$21,Dienste!$C$21,IF(AF33=Dienste!$A$22,Dienste!$C$22,IF(AF33=Dienste!$A$23,Dienste!$C$23,IF(AF33=Dienste!$A$24,Dienste!$C$24,IF(AF33=Dienste!$A$25,Dienste!$C$25,IF(AF33=Dienste!$A$26,Dienste!$C$26,IF(AF33=Dienste!$A$27,Dienste!$C$27,IF(AF33=Dienste!$A$28,Dienste!$C$28,IF(AF33=Dienste!#REF!,Dienste!#REF!,IF(AF33=Dienste!#REF!,Dienste!#REF!,IF(AF33=Dienste!#REF!,Dienste!#REF!,IF(AF33=Dienste!#REF!,Dienste!#REF!,IF(AF33=Dienste!$A$33,Dienste!$C$33,IF(AF33=Dienste!$A$34,Dienste!$C$34,IF(AF33=Dienste!$A$35,Dienste!$C$35,IF(AF33=Dienste!$A$36,Dienste!$C$36,)))))))))))))))))))))))))))))))))))</f>
        <v>0</v>
      </c>
      <c r="CA33" s="27">
        <f>IF(AG33=Dienste!$A$2,Dienste!$C$2,IF(AG33=Dienste!$A$3,Dienste!$C$3,IF(AG33=Dienste!$A$4,Dienste!$C$4,IF(AG33=Dienste!$A$5,Dienste!$C$5,IF(AG33=Dienste!$A$6,Dienste!$C$6,IF(AG33=Dienste!$A$7,Dienste!$C$7,IF(AG33=Dienste!$A$8,Dienste!$C$8,IF(AG33=Dienste!$A$9,Dienste!$C$9,IF(AG33=Dienste!$A$10,Dienste!$C$10,IF(AG33=Dienste!$A$11,Dienste!$C$11,IF(AG33=Dienste!$A$12,Dienste!$C$12,IF(AG33=Dienste!$A$13,Dienste!$C$13,IF(AG33=Dienste!$A$14,Dienste!$C$14,IF(AG33=Dienste!$A$15,Dienste!$C$15,IF(AG33=Dienste!$A$16,Dienste!$C$16,IF(AG33=Dienste!$A$17,Dienste!$C$17,IF(AG33=Dienste!$A$18,Dienste!$C$18,IF(AG33=Dienste!$A$19,Dienste!$C$19,IF(AG33=Dienste!$A$20,Dienste!$C$20,IF(AG33=Dienste!$A$21,Dienste!$C$21,IF(AG33=Dienste!$A$22,Dienste!$C$22,IF(AG33=Dienste!$A$23,Dienste!$C$23,IF(AG33=Dienste!$A$24,Dienste!$C$24,IF(AG33=Dienste!$A$25,Dienste!$C$25,IF(AG33=Dienste!$A$26,Dienste!$C$26,IF(AG33=Dienste!$A$27,Dienste!$C$27,IF(AG33=Dienste!$A$28,Dienste!$C$28,IF(AG33=Dienste!#REF!,Dienste!#REF!,IF(AG33=Dienste!#REF!,Dienste!#REF!,IF(AG33=Dienste!#REF!,Dienste!#REF!,IF(AG33=Dienste!#REF!,Dienste!#REF!,IF(AG33=Dienste!$A$33,Dienste!$C$33,IF(AG33=Dienste!$A$34,Dienste!$C$34,IF(AG33=Dienste!$A$35,Dienste!$C$35,IF(AG33=Dienste!$A$36,Dienste!$C$36,)))))))))))))))))))))))))))))))))))</f>
        <v>0</v>
      </c>
      <c r="CB33" s="27">
        <f>IF(AH33=Dienste!$A$2,Dienste!$C$2,IF(AH33=Dienste!$A$3,Dienste!$C$3,IF(AH33=Dienste!$A$4,Dienste!$C$4,IF(AH33=Dienste!$A$5,Dienste!$C$5,IF(AH33=Dienste!$A$6,Dienste!$C$6,IF(AH33=Dienste!$A$7,Dienste!$C$7,IF(AH33=Dienste!$A$8,Dienste!$C$8,IF(AH33=Dienste!$A$9,Dienste!$C$9,IF(AH33=Dienste!$A$10,Dienste!$C$10,IF(AH33=Dienste!$A$11,Dienste!$C$11,IF(AH33=Dienste!$A$12,Dienste!$C$12,IF(AH33=Dienste!$A$13,Dienste!$C$13,IF(AH33=Dienste!$A$14,Dienste!$C$14,IF(AH33=Dienste!$A$15,Dienste!$C$15,IF(AH33=Dienste!$A$16,Dienste!$C$16,IF(AH33=Dienste!$A$17,Dienste!$C$17,IF(AH33=Dienste!$A$18,Dienste!$C$18,IF(AH33=Dienste!$A$19,Dienste!$C$19,IF(AH33=Dienste!$A$20,Dienste!$C$20,IF(AH33=Dienste!$A$21,Dienste!$C$21,IF(AH33=Dienste!$A$22,Dienste!$C$22,IF(AH33=Dienste!$A$23,Dienste!$C$23,IF(AH33=Dienste!$A$24,Dienste!$C$24,IF(AH33=Dienste!$A$25,Dienste!$C$25,IF(AH33=Dienste!$A$26,Dienste!$C$26,IF(AH33=Dienste!$A$27,Dienste!$C$27,IF(AH33=Dienste!$A$28,Dienste!$C$28,IF(AH33=Dienste!#REF!,Dienste!#REF!,IF(AH33=Dienste!#REF!,Dienste!#REF!,IF(AH33=Dienste!#REF!,Dienste!#REF!,IF(AH33=Dienste!#REF!,Dienste!#REF!,IF(AH33=Dienste!$A$33,Dienste!$C$33,IF(AH33=Dienste!$A$34,Dienste!$C$34,IF(AH33=Dienste!$A$35,Dienste!$C$35,IF(AH33=Dienste!$A$36,Dienste!$C$36,)))))))))))))))))))))))))))))))))))</f>
        <v>8</v>
      </c>
      <c r="CC33" s="27" t="e">
        <f>IF(AI33=Dienste!$A$2,Dienste!$C$2,IF(AI33=Dienste!$A$3,Dienste!$C$3,IF(AI33=Dienste!$A$4,Dienste!$C$4,IF(AI33=Dienste!$A$5,Dienste!$C$5,IF(AI33=Dienste!$A$6,Dienste!$C$6,IF(AI33=Dienste!$A$7,Dienste!$C$7,IF(AI33=Dienste!$A$8,Dienste!$C$8,IF(AI33=Dienste!$A$9,Dienste!$C$9,IF(AI33=Dienste!$A$10,Dienste!$C$10,IF(AI33=Dienste!$A$11,Dienste!$C$11,IF(AI33=Dienste!$A$12,Dienste!$C$12,IF(AI33=Dienste!$A$13,Dienste!$C$13,IF(AI33=Dienste!$A$14,Dienste!$C$14,IF(AI33=Dienste!$A$15,Dienste!$C$15,IF(AI33=Dienste!$A$16,Dienste!$C$16,IF(AI33=Dienste!$A$17,Dienste!$C$17,IF(AI33=Dienste!$A$18,Dienste!$C$18,IF(AI33=Dienste!$A$19,Dienste!$C$19,IF(AI33=Dienste!$A$20,Dienste!$C$20,IF(AI33=Dienste!$A$21,Dienste!$C$21,IF(AI33=Dienste!$A$22,Dienste!$C$22,IF(AI33=Dienste!$A$23,Dienste!$C$23,IF(AI33=Dienste!$A$24,Dienste!$C$24,IF(AI33=Dienste!$A$25,Dienste!$C$25,IF(AI33=Dienste!$A$26,Dienste!$C$26,IF(AI33=Dienste!$A$27,Dienste!$C$27,IF(AI33=Dienste!$A$28,Dienste!$C$28,IF(AI33=Dienste!#REF!,Dienste!#REF!,IF(AI33=Dienste!#REF!,Dienste!#REF!,IF(AI33=Dienste!#REF!,Dienste!#REF!,IF(AI33=Dienste!#REF!,Dienste!#REF!,IF(AI33=Dienste!$A$33,Dienste!$C$33,IF(AI33=Dienste!$A$34,Dienste!$C$34,IF(AI33=Dienste!$A$35,Dienste!$C$35,IF(AI33=Dienste!$A$36,Dienste!$C$36,)))))))))))))))))))))))))))))))))))</f>
        <v>#REF!</v>
      </c>
    </row>
    <row r="34" spans="1:81" x14ac:dyDescent="0.25">
      <c r="A34" s="174"/>
      <c r="B34" s="175"/>
      <c r="C34" s="176"/>
      <c r="D34" s="177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4"/>
      <c r="AK34" s="152"/>
      <c r="AL34" s="154"/>
      <c r="AM34" s="152"/>
      <c r="AN34" s="152"/>
      <c r="AO34" s="154"/>
      <c r="AP34" s="152"/>
      <c r="AQ34" s="153"/>
      <c r="AR34" s="154"/>
      <c r="AS34" s="152"/>
      <c r="AT34" s="153"/>
      <c r="AU34" s="27" t="e">
        <f t="shared" si="2"/>
        <v>#REF!</v>
      </c>
      <c r="AV34" s="27" t="e">
        <f t="shared" si="0"/>
        <v>#REF!</v>
      </c>
      <c r="AW34" s="58" t="e">
        <f t="shared" si="1"/>
        <v>#REF!</v>
      </c>
      <c r="AY34" s="27" t="e">
        <f>IF(E34=Dienste!$A$2,Dienste!$C$2,IF(E34=Dienste!$A$3,Dienste!$C$3,IF(E34=Dienste!$A$4,Dienste!$C$4,IF(E34=Dienste!$A$5,Dienste!$C$5,IF(E34=Dienste!$A$6,Dienste!$C$6,IF(E34=Dienste!$A$7,Dienste!$C$7,IF(E34=Dienste!$A$8,Dienste!$C$8,IF(E34=Dienste!$A$9,Dienste!$C$9,IF(E34=Dienste!$A$10,Dienste!$C$10,IF(E34=Dienste!$A$11,Dienste!$C$11,IF(E34=Dienste!$A$12,Dienste!$C$12,IF(E34=Dienste!$A$13,Dienste!$C$13,IF(E34=Dienste!$A$14,Dienste!$C$14,IF(E34=Dienste!$A$15,Dienste!$C$15,IF(E34=Dienste!$A$16,Dienste!$C$16,IF(E34=Dienste!$A$17,Dienste!$C$17,IF(E34=Dienste!$A$18,Dienste!$C$18,IF(E34=Dienste!$A$19,Dienste!$C$19,IF(E34=Dienste!$A$20,Dienste!$C$20,IF(E34=Dienste!$A$21,Dienste!$C$21,IF(E34=Dienste!$A$22,Dienste!$C$22,IF(E34=Dienste!$A$23,Dienste!$C$23,IF(E34=Dienste!$A$24,Dienste!$C$24,IF(E34=Dienste!$A$25,Dienste!$C$25,IF(E34=Dienste!$A$26,Dienste!$C$26,IF(E34=Dienste!$A$27,Dienste!$C$27,IF(E34=Dienste!$A$28,Dienste!$C$28,IF(E34=Dienste!#REF!,Dienste!#REF!,IF(E34=Dienste!#REF!,Dienste!#REF!,IF(E34=Dienste!#REF!,Dienste!#REF!,IF(E34=Dienste!#REF!,Dienste!#REF!,IF(E34=Dienste!$A$33,Dienste!$C$33,IF(E34=Dienste!$A$34,Dienste!$C$34,IF(E34=Dienste!$A$35,Dienste!$C$35,IF(E34=Dienste!$A$36,Dienste!$C$36,)))))))))))))))))))))))))))))))))))</f>
        <v>#REF!</v>
      </c>
      <c r="AZ34" s="27" t="e">
        <f>IF(F34=Dienste!$A$2,Dienste!$C$2,IF(F34=Dienste!$A$3,Dienste!$C$3,IF(F34=Dienste!$A$4,Dienste!$C$4,IF(F34=Dienste!$A$5,Dienste!$C$5,IF(F34=Dienste!$A$6,Dienste!$C$6,IF(F34=Dienste!$A$7,Dienste!$C$7,IF(F34=Dienste!$A$8,Dienste!$C$8,IF(F34=Dienste!$A$9,Dienste!$C$9,IF(F34=Dienste!$A$10,Dienste!$C$10,IF(F34=Dienste!$A$11,Dienste!$C$11,IF(F34=Dienste!$A$12,Dienste!$C$12,IF(F34=Dienste!$A$13,Dienste!$C$13,IF(F34=Dienste!$A$14,Dienste!$C$14,IF(F34=Dienste!$A$15,Dienste!$C$15,IF(F34=Dienste!$A$16,Dienste!$C$16,IF(F34=Dienste!$A$17,Dienste!$C$17,IF(F34=Dienste!$A$18,Dienste!$C$18,IF(F34=Dienste!$A$19,Dienste!$C$19,IF(F34=Dienste!$A$20,Dienste!$C$20,IF(F34=Dienste!$A$21,Dienste!$C$21,IF(F34=Dienste!$A$22,Dienste!$C$22,IF(F34=Dienste!$A$23,Dienste!$C$23,IF(F34=Dienste!$A$24,Dienste!$C$24,IF(F34=Dienste!$A$25,Dienste!$C$25,IF(F34=Dienste!$A$26,Dienste!$C$26,IF(F34=Dienste!$A$27,Dienste!$C$27,IF(F34=Dienste!$A$28,Dienste!$C$28,IF(F34=Dienste!#REF!,Dienste!#REF!,IF(F34=Dienste!#REF!,Dienste!#REF!,IF(F34=Dienste!#REF!,Dienste!#REF!,IF(F34=Dienste!#REF!,Dienste!#REF!,IF(F34=Dienste!$A$33,Dienste!$C$33,IF(F34=Dienste!$A$34,Dienste!$C$34,IF(F34=Dienste!$A$35,Dienste!$C$35,IF(F34=Dienste!$A$36,Dienste!$C$36,)))))))))))))))))))))))))))))))))))</f>
        <v>#REF!</v>
      </c>
      <c r="BA34" s="27" t="e">
        <f>IF(G34=Dienste!$A$2,Dienste!$C$2,IF(G34=Dienste!$A$3,Dienste!$C$3,IF(G34=Dienste!$A$4,Dienste!$C$4,IF(G34=Dienste!$A$5,Dienste!$C$5,IF(G34=Dienste!$A$6,Dienste!$C$6,IF(G34=Dienste!$A$7,Dienste!$C$7,IF(G34=Dienste!$A$8,Dienste!$C$8,IF(G34=Dienste!$A$9,Dienste!$C$9,IF(G34=Dienste!$A$10,Dienste!$C$10,IF(G34=Dienste!$A$11,Dienste!$C$11,IF(G34=Dienste!$A$12,Dienste!$C$12,IF(G34=Dienste!$A$13,Dienste!$C$13,IF(G34=Dienste!$A$14,Dienste!$C$14,IF(G34=Dienste!$A$15,Dienste!$C$15,IF(G34=Dienste!$A$16,Dienste!$C$16,IF(G34=Dienste!$A$17,Dienste!$C$17,IF(G34=Dienste!$A$18,Dienste!$C$18,IF(G34=Dienste!$A$19,Dienste!$C$19,IF(G34=Dienste!$A$20,Dienste!$C$20,IF(G34=Dienste!$A$21,Dienste!$C$21,IF(G34=Dienste!$A$22,Dienste!$C$22,IF(G34=Dienste!$A$23,Dienste!$C$23,IF(G34=Dienste!$A$24,Dienste!$C$24,IF(G34=Dienste!$A$25,Dienste!$C$25,IF(G34=Dienste!$A$26,Dienste!$C$26,IF(G34=Dienste!$A$27,Dienste!$C$27,IF(G34=Dienste!$A$28,Dienste!$C$28,IF(G34=Dienste!#REF!,Dienste!#REF!,IF(G34=Dienste!#REF!,Dienste!#REF!,IF(G34=Dienste!#REF!,Dienste!#REF!,IF(G34=Dienste!#REF!,Dienste!#REF!,IF(G34=Dienste!$A$33,Dienste!$C$33,IF(G34=Dienste!$A$34,Dienste!$C$34,IF(G34=Dienste!$A$35,Dienste!$C$35,IF(G34=Dienste!$A$36,Dienste!$C$36,)))))))))))))))))))))))))))))))))))</f>
        <v>#REF!</v>
      </c>
      <c r="BB34" s="27" t="e">
        <f>IF(H34=Dienste!$A$2,Dienste!$C$2,IF(H34=Dienste!$A$3,Dienste!$C$3,IF(H34=Dienste!$A$4,Dienste!$C$4,IF(H34=Dienste!$A$5,Dienste!$C$5,IF(H34=Dienste!$A$6,Dienste!$C$6,IF(H34=Dienste!$A$7,Dienste!$C$7,IF(H34=Dienste!$A$8,Dienste!$C$8,IF(H34=Dienste!$A$9,Dienste!$C$9,IF(H34=Dienste!$A$10,Dienste!$C$10,IF(H34=Dienste!$A$11,Dienste!$C$11,IF(H34=Dienste!$A$12,Dienste!$C$12,IF(H34=Dienste!$A$13,Dienste!$C$13,IF(H34=Dienste!$A$14,Dienste!$C$14,IF(H34=Dienste!$A$15,Dienste!$C$15,IF(H34=Dienste!$A$16,Dienste!$C$16,IF(H34=Dienste!$A$17,Dienste!$C$17,IF(H34=Dienste!$A$18,Dienste!$C$18,IF(H34=Dienste!$A$19,Dienste!$C$19,IF(H34=Dienste!$A$20,Dienste!$C$20,IF(H34=Dienste!$A$21,Dienste!$C$21,IF(H34=Dienste!$A$22,Dienste!$C$22,IF(H34=Dienste!$A$23,Dienste!$C$23,IF(H34=Dienste!$A$24,Dienste!$C$24,IF(H34=Dienste!$A$25,Dienste!$C$25,IF(H34=Dienste!$A$26,Dienste!$C$26,IF(H34=Dienste!$A$27,Dienste!$C$27,IF(H34=Dienste!$A$28,Dienste!$C$28,IF(H34=Dienste!#REF!,Dienste!#REF!,IF(H34=Dienste!#REF!,Dienste!#REF!,IF(H34=Dienste!#REF!,Dienste!#REF!,IF(H34=Dienste!#REF!,Dienste!#REF!,IF(H34=Dienste!$A$33,Dienste!$C$33,IF(H34=Dienste!$A$34,Dienste!$C$34,IF(H34=Dienste!$A$35,Dienste!$C$35,IF(H34=Dienste!$A$36,Dienste!$C$36,)))))))))))))))))))))))))))))))))))</f>
        <v>#REF!</v>
      </c>
      <c r="BC34" s="27" t="e">
        <f>IF(I34=Dienste!$A$2,Dienste!$C$2,IF(I34=Dienste!$A$3,Dienste!$C$3,IF(I34=Dienste!$A$4,Dienste!$C$4,IF(I34=Dienste!$A$5,Dienste!$C$5,IF(I34=Dienste!$A$6,Dienste!$C$6,IF(I34=Dienste!$A$7,Dienste!$C$7,IF(I34=Dienste!$A$8,Dienste!$C$8,IF(I34=Dienste!$A$9,Dienste!$C$9,IF(I34=Dienste!$A$10,Dienste!$C$10,IF(I34=Dienste!$A$11,Dienste!$C$11,IF(I34=Dienste!$A$12,Dienste!$C$12,IF(I34=Dienste!$A$13,Dienste!$C$13,IF(I34=Dienste!$A$14,Dienste!$C$14,IF(I34=Dienste!$A$15,Dienste!$C$15,IF(I34=Dienste!$A$16,Dienste!$C$16,IF(I34=Dienste!$A$17,Dienste!$C$17,IF(I34=Dienste!$A$18,Dienste!$C$18,IF(I34=Dienste!$A$19,Dienste!$C$19,IF(I34=Dienste!$A$20,Dienste!$C$20,IF(I34=Dienste!$A$21,Dienste!$C$21,IF(I34=Dienste!$A$22,Dienste!$C$22,IF(I34=Dienste!$A$23,Dienste!$C$23,IF(I34=Dienste!$A$24,Dienste!$C$24,IF(I34=Dienste!$A$25,Dienste!$C$25,IF(I34=Dienste!$A$26,Dienste!$C$26,IF(I34=Dienste!$A$27,Dienste!$C$27,IF(I34=Dienste!$A$28,Dienste!$C$28,IF(I34=Dienste!#REF!,Dienste!#REF!,IF(I34=Dienste!#REF!,Dienste!#REF!,IF(I34=Dienste!#REF!,Dienste!#REF!,IF(I34=Dienste!#REF!,Dienste!#REF!,IF(I34=Dienste!$A$33,Dienste!$C$33,IF(I34=Dienste!$A$34,Dienste!$C$34,IF(I34=Dienste!$A$35,Dienste!$C$35,IF(I34=Dienste!$A$36,Dienste!$C$36,)))))))))))))))))))))))))))))))))))</f>
        <v>#REF!</v>
      </c>
      <c r="BD34" s="27" t="e">
        <f>IF(J34=Dienste!$A$2,Dienste!$C$2,IF(J34=Dienste!$A$3,Dienste!$C$3,IF(J34=Dienste!$A$4,Dienste!$C$4,IF(J34=Dienste!$A$5,Dienste!$C$5,IF(J34=Dienste!$A$6,Dienste!$C$6,IF(J34=Dienste!$A$7,Dienste!$C$7,IF(J34=Dienste!$A$8,Dienste!$C$8,IF(J34=Dienste!$A$9,Dienste!$C$9,IF(J34=Dienste!$A$10,Dienste!$C$10,IF(J34=Dienste!$A$11,Dienste!$C$11,IF(J34=Dienste!$A$12,Dienste!$C$12,IF(J34=Dienste!$A$13,Dienste!$C$13,IF(J34=Dienste!$A$14,Dienste!$C$14,IF(J34=Dienste!$A$15,Dienste!$C$15,IF(J34=Dienste!$A$16,Dienste!$C$16,IF(J34=Dienste!$A$17,Dienste!$C$17,IF(J34=Dienste!$A$18,Dienste!$C$18,IF(J34=Dienste!$A$19,Dienste!$C$19,IF(J34=Dienste!$A$20,Dienste!$C$20,IF(J34=Dienste!$A$21,Dienste!$C$21,IF(J34=Dienste!$A$22,Dienste!$C$22,IF(J34=Dienste!$A$23,Dienste!$C$23,IF(J34=Dienste!$A$24,Dienste!$C$24,IF(J34=Dienste!$A$25,Dienste!$C$25,IF(J34=Dienste!$A$26,Dienste!$C$26,IF(J34=Dienste!$A$27,Dienste!$C$27,IF(J34=Dienste!$A$28,Dienste!$C$28,IF(J34=Dienste!#REF!,Dienste!#REF!,IF(J34=Dienste!#REF!,Dienste!#REF!,IF(J34=Dienste!#REF!,Dienste!#REF!,IF(J34=Dienste!#REF!,Dienste!#REF!,IF(J34=Dienste!$A$33,Dienste!$C$33,IF(J34=Dienste!$A$34,Dienste!$C$34,IF(J34=Dienste!$A$35,Dienste!$C$35,IF(J34=Dienste!$A$36,Dienste!$C$36,)))))))))))))))))))))))))))))))))))</f>
        <v>#REF!</v>
      </c>
      <c r="BE34" s="27" t="e">
        <f>IF(K34=Dienste!$A$2,Dienste!$C$2,IF(K34=Dienste!$A$3,Dienste!$C$3,IF(K34=Dienste!$A$4,Dienste!$C$4,IF(K34=Dienste!$A$5,Dienste!$C$5,IF(K34=Dienste!$A$6,Dienste!$C$6,IF(K34=Dienste!$A$7,Dienste!$C$7,IF(K34=Dienste!$A$8,Dienste!$C$8,IF(K34=Dienste!$A$9,Dienste!$C$9,IF(K34=Dienste!$A$10,Dienste!$C$10,IF(K34=Dienste!$A$11,Dienste!$C$11,IF(K34=Dienste!$A$12,Dienste!$C$12,IF(K34=Dienste!$A$13,Dienste!$C$13,IF(K34=Dienste!$A$14,Dienste!$C$14,IF(K34=Dienste!$A$15,Dienste!$C$15,IF(K34=Dienste!$A$16,Dienste!$C$16,IF(K34=Dienste!$A$17,Dienste!$C$17,IF(K34=Dienste!$A$18,Dienste!$C$18,IF(K34=Dienste!$A$19,Dienste!$C$19,IF(K34=Dienste!$A$20,Dienste!$C$20,IF(K34=Dienste!$A$21,Dienste!$C$21,IF(K34=Dienste!$A$22,Dienste!$C$22,IF(K34=Dienste!$A$23,Dienste!$C$23,IF(K34=Dienste!$A$24,Dienste!$C$24,IF(K34=Dienste!$A$25,Dienste!$C$25,IF(K34=Dienste!$A$26,Dienste!$C$26,IF(K34=Dienste!$A$27,Dienste!$C$27,IF(K34=Dienste!$A$28,Dienste!$C$28,IF(K34=Dienste!#REF!,Dienste!#REF!,IF(K34=Dienste!#REF!,Dienste!#REF!,IF(K34=Dienste!#REF!,Dienste!#REF!,IF(K34=Dienste!#REF!,Dienste!#REF!,IF(K34=Dienste!$A$33,Dienste!$C$33,IF(K34=Dienste!$A$34,Dienste!$C$34,IF(K34=Dienste!$A$35,Dienste!$C$35,IF(K34=Dienste!$A$36,Dienste!$C$36,)))))))))))))))))))))))))))))))))))</f>
        <v>#REF!</v>
      </c>
      <c r="BF34" s="27" t="e">
        <f>IF(L34=Dienste!$A$2,Dienste!$C$2,IF(L34=Dienste!$A$3,Dienste!$C$3,IF(L34=Dienste!$A$4,Dienste!$C$4,IF(L34=Dienste!$A$5,Dienste!$C$5,IF(L34=Dienste!$A$6,Dienste!$C$6,IF(L34=Dienste!$A$7,Dienste!$C$7,IF(L34=Dienste!$A$8,Dienste!$C$8,IF(L34=Dienste!$A$9,Dienste!$C$9,IF(L34=Dienste!$A$10,Dienste!$C$10,IF(L34=Dienste!$A$11,Dienste!$C$11,IF(L34=Dienste!$A$12,Dienste!$C$12,IF(L34=Dienste!$A$13,Dienste!$C$13,IF(L34=Dienste!$A$14,Dienste!$C$14,IF(L34=Dienste!$A$15,Dienste!$C$15,IF(L34=Dienste!$A$16,Dienste!$C$16,IF(L34=Dienste!$A$17,Dienste!$C$17,IF(L34=Dienste!$A$18,Dienste!$C$18,IF(L34=Dienste!$A$19,Dienste!$C$19,IF(L34=Dienste!$A$20,Dienste!$C$20,IF(L34=Dienste!$A$21,Dienste!$C$21,IF(L34=Dienste!$A$22,Dienste!$C$22,IF(L34=Dienste!$A$23,Dienste!$C$23,IF(L34=Dienste!$A$24,Dienste!$C$24,IF(L34=Dienste!$A$25,Dienste!$C$25,IF(L34=Dienste!$A$26,Dienste!$C$26,IF(L34=Dienste!$A$27,Dienste!$C$27,IF(L34=Dienste!$A$28,Dienste!$C$28,IF(L34=Dienste!#REF!,Dienste!#REF!,IF(L34=Dienste!#REF!,Dienste!#REF!,IF(L34=Dienste!#REF!,Dienste!#REF!,IF(L34=Dienste!#REF!,Dienste!#REF!,IF(L34=Dienste!$A$33,Dienste!$C$33,IF(L34=Dienste!$A$34,Dienste!$C$34,IF(L34=Dienste!$A$35,Dienste!$C$35,IF(L34=Dienste!$A$36,Dienste!$C$36,)))))))))))))))))))))))))))))))))))</f>
        <v>#REF!</v>
      </c>
      <c r="BG34" s="27" t="e">
        <f>IF(M34=Dienste!$A$2,Dienste!$C$2,IF(M34=Dienste!$A$3,Dienste!$C$3,IF(M34=Dienste!$A$4,Dienste!$C$4,IF(M34=Dienste!$A$5,Dienste!$C$5,IF(M34=Dienste!$A$6,Dienste!$C$6,IF(M34=Dienste!$A$7,Dienste!$C$7,IF(M34=Dienste!$A$8,Dienste!$C$8,IF(M34=Dienste!$A$9,Dienste!$C$9,IF(M34=Dienste!$A$10,Dienste!$C$10,IF(M34=Dienste!$A$11,Dienste!$C$11,IF(M34=Dienste!$A$12,Dienste!$C$12,IF(M34=Dienste!$A$13,Dienste!$C$13,IF(M34=Dienste!$A$14,Dienste!$C$14,IF(M34=Dienste!$A$15,Dienste!$C$15,IF(M34=Dienste!$A$16,Dienste!$C$16,IF(M34=Dienste!$A$17,Dienste!$C$17,IF(M34=Dienste!$A$18,Dienste!$C$18,IF(M34=Dienste!$A$19,Dienste!$C$19,IF(M34=Dienste!$A$20,Dienste!$C$20,IF(M34=Dienste!$A$21,Dienste!$C$21,IF(M34=Dienste!$A$22,Dienste!$C$22,IF(M34=Dienste!$A$23,Dienste!$C$23,IF(M34=Dienste!$A$24,Dienste!$C$24,IF(M34=Dienste!$A$25,Dienste!$C$25,IF(M34=Dienste!$A$26,Dienste!$C$26,IF(M34=Dienste!$A$27,Dienste!$C$27,IF(M34=Dienste!$A$28,Dienste!$C$28,IF(M34=Dienste!#REF!,Dienste!#REF!,IF(M34=Dienste!#REF!,Dienste!#REF!,IF(M34=Dienste!#REF!,Dienste!#REF!,IF(M34=Dienste!#REF!,Dienste!#REF!,IF(M34=Dienste!$A$33,Dienste!$C$33,IF(M34=Dienste!$A$34,Dienste!$C$34,IF(M34=Dienste!$A$35,Dienste!$C$35,IF(M34=Dienste!$A$36,Dienste!$C$36,)))))))))))))))))))))))))))))))))))</f>
        <v>#REF!</v>
      </c>
      <c r="BH34" s="27" t="e">
        <f>IF(N34=Dienste!$A$2,Dienste!$C$2,IF(N34=Dienste!$A$3,Dienste!$C$3,IF(N34=Dienste!$A$4,Dienste!$C$4,IF(N34=Dienste!$A$5,Dienste!$C$5,IF(N34=Dienste!$A$6,Dienste!$C$6,IF(N34=Dienste!$A$7,Dienste!$C$7,IF(N34=Dienste!$A$8,Dienste!$C$8,IF(N34=Dienste!$A$9,Dienste!$C$9,IF(N34=Dienste!$A$10,Dienste!$C$10,IF(N34=Dienste!$A$11,Dienste!$C$11,IF(N34=Dienste!$A$12,Dienste!$C$12,IF(N34=Dienste!$A$13,Dienste!$C$13,IF(N34=Dienste!$A$14,Dienste!$C$14,IF(N34=Dienste!$A$15,Dienste!$C$15,IF(N34=Dienste!$A$16,Dienste!$C$16,IF(N34=Dienste!$A$17,Dienste!$C$17,IF(N34=Dienste!$A$18,Dienste!$C$18,IF(N34=Dienste!$A$19,Dienste!$C$19,IF(N34=Dienste!$A$20,Dienste!$C$20,IF(N34=Dienste!$A$21,Dienste!$C$21,IF(N34=Dienste!$A$22,Dienste!$C$22,IF(N34=Dienste!$A$23,Dienste!$C$23,IF(N34=Dienste!$A$24,Dienste!$C$24,IF(N34=Dienste!$A$25,Dienste!$C$25,IF(N34=Dienste!$A$26,Dienste!$C$26,IF(N34=Dienste!$A$27,Dienste!$C$27,IF(N34=Dienste!$A$28,Dienste!$C$28,IF(N34=Dienste!#REF!,Dienste!#REF!,IF(N34=Dienste!#REF!,Dienste!#REF!,IF(N34=Dienste!#REF!,Dienste!#REF!,IF(N34=Dienste!#REF!,Dienste!#REF!,IF(N34=Dienste!$A$33,Dienste!$C$33,IF(N34=Dienste!$A$34,Dienste!$C$34,IF(N34=Dienste!$A$35,Dienste!$C$35,IF(N34=Dienste!$A$36,Dienste!$C$36,)))))))))))))))))))))))))))))))))))</f>
        <v>#REF!</v>
      </c>
      <c r="BI34" s="27" t="e">
        <f>IF(O34=Dienste!$A$2,Dienste!$C$2,IF(O34=Dienste!$A$3,Dienste!$C$3,IF(O34=Dienste!$A$4,Dienste!$C$4,IF(O34=Dienste!$A$5,Dienste!$C$5,IF(O34=Dienste!$A$6,Dienste!$C$6,IF(O34=Dienste!$A$7,Dienste!$C$7,IF(O34=Dienste!$A$8,Dienste!$C$8,IF(O34=Dienste!$A$9,Dienste!$C$9,IF(O34=Dienste!$A$10,Dienste!$C$10,IF(O34=Dienste!$A$11,Dienste!$C$11,IF(O34=Dienste!$A$12,Dienste!$C$12,IF(O34=Dienste!$A$13,Dienste!$C$13,IF(O34=Dienste!$A$14,Dienste!$C$14,IF(O34=Dienste!$A$15,Dienste!$C$15,IF(O34=Dienste!$A$16,Dienste!$C$16,IF(O34=Dienste!$A$17,Dienste!$C$17,IF(O34=Dienste!$A$18,Dienste!$C$18,IF(O34=Dienste!$A$19,Dienste!$C$19,IF(O34=Dienste!$A$20,Dienste!$C$20,IF(O34=Dienste!$A$21,Dienste!$C$21,IF(O34=Dienste!$A$22,Dienste!$C$22,IF(O34=Dienste!$A$23,Dienste!$C$23,IF(O34=Dienste!$A$24,Dienste!$C$24,IF(O34=Dienste!$A$25,Dienste!$C$25,IF(O34=Dienste!$A$26,Dienste!$C$26,IF(O34=Dienste!$A$27,Dienste!$C$27,IF(O34=Dienste!$A$28,Dienste!$C$28,IF(O34=Dienste!#REF!,Dienste!#REF!,IF(O34=Dienste!#REF!,Dienste!#REF!,IF(O34=Dienste!#REF!,Dienste!#REF!,IF(O34=Dienste!#REF!,Dienste!#REF!,IF(O34=Dienste!$A$33,Dienste!$C$33,IF(O34=Dienste!$A$34,Dienste!$C$34,IF(O34=Dienste!$A$35,Dienste!$C$35,IF(O34=Dienste!$A$36,Dienste!$C$36,)))))))))))))))))))))))))))))))))))</f>
        <v>#REF!</v>
      </c>
      <c r="BJ34" s="27" t="e">
        <f>IF(P34=Dienste!$A$2,Dienste!$C$2,IF(P34=Dienste!$A$3,Dienste!$C$3,IF(P34=Dienste!$A$4,Dienste!$C$4,IF(P34=Dienste!$A$5,Dienste!$C$5,IF(P34=Dienste!$A$6,Dienste!$C$6,IF(P34=Dienste!$A$7,Dienste!$C$7,IF(P34=Dienste!$A$8,Dienste!$C$8,IF(P34=Dienste!$A$9,Dienste!$C$9,IF(P34=Dienste!$A$10,Dienste!$C$10,IF(P34=Dienste!$A$11,Dienste!$C$11,IF(P34=Dienste!$A$12,Dienste!$C$12,IF(P34=Dienste!$A$13,Dienste!$C$13,IF(P34=Dienste!$A$14,Dienste!$C$14,IF(P34=Dienste!$A$15,Dienste!$C$15,IF(P34=Dienste!$A$16,Dienste!$C$16,IF(P34=Dienste!$A$17,Dienste!$C$17,IF(P34=Dienste!$A$18,Dienste!$C$18,IF(P34=Dienste!$A$19,Dienste!$C$19,IF(P34=Dienste!$A$20,Dienste!$C$20,IF(P34=Dienste!$A$21,Dienste!$C$21,IF(P34=Dienste!$A$22,Dienste!$C$22,IF(P34=Dienste!$A$23,Dienste!$C$23,IF(P34=Dienste!$A$24,Dienste!$C$24,IF(P34=Dienste!$A$25,Dienste!$C$25,IF(P34=Dienste!$A$26,Dienste!$C$26,IF(P34=Dienste!$A$27,Dienste!$C$27,IF(P34=Dienste!$A$28,Dienste!$C$28,IF(P34=Dienste!#REF!,Dienste!#REF!,IF(P34=Dienste!#REF!,Dienste!#REF!,IF(P34=Dienste!#REF!,Dienste!#REF!,IF(P34=Dienste!#REF!,Dienste!#REF!,IF(P34=Dienste!$A$33,Dienste!$C$33,IF(P34=Dienste!$A$34,Dienste!$C$34,IF(P34=Dienste!$A$35,Dienste!$C$35,IF(P34=Dienste!$A$36,Dienste!$C$36,)))))))))))))))))))))))))))))))))))</f>
        <v>#REF!</v>
      </c>
      <c r="BK34" s="27" t="e">
        <f>IF(Q34=Dienste!$A$2,Dienste!$C$2,IF(Q34=Dienste!$A$3,Dienste!$C$3,IF(Q34=Dienste!$A$4,Dienste!$C$4,IF(Q34=Dienste!$A$5,Dienste!$C$5,IF(Q34=Dienste!$A$6,Dienste!$C$6,IF(Q34=Dienste!$A$7,Dienste!$C$7,IF(Q34=Dienste!$A$8,Dienste!$C$8,IF(Q34=Dienste!$A$9,Dienste!$C$9,IF(Q34=Dienste!$A$10,Dienste!$C$10,IF(Q34=Dienste!$A$11,Dienste!$C$11,IF(Q34=Dienste!$A$12,Dienste!$C$12,IF(Q34=Dienste!$A$13,Dienste!$C$13,IF(Q34=Dienste!$A$14,Dienste!$C$14,IF(Q34=Dienste!$A$15,Dienste!$C$15,IF(Q34=Dienste!$A$16,Dienste!$C$16,IF(Q34=Dienste!$A$17,Dienste!$C$17,IF(Q34=Dienste!$A$18,Dienste!$C$18,IF(Q34=Dienste!$A$19,Dienste!$C$19,IF(Q34=Dienste!$A$20,Dienste!$C$20,IF(Q34=Dienste!$A$21,Dienste!$C$21,IF(Q34=Dienste!$A$22,Dienste!$C$22,IF(Q34=Dienste!$A$23,Dienste!$C$23,IF(Q34=Dienste!$A$24,Dienste!$C$24,IF(Q34=Dienste!$A$25,Dienste!$C$25,IF(Q34=Dienste!$A$26,Dienste!$C$26,IF(Q34=Dienste!$A$27,Dienste!$C$27,IF(Q34=Dienste!$A$28,Dienste!$C$28,IF(Q34=Dienste!#REF!,Dienste!#REF!,IF(Q34=Dienste!#REF!,Dienste!#REF!,IF(Q34=Dienste!#REF!,Dienste!#REF!,IF(Q34=Dienste!#REF!,Dienste!#REF!,IF(Q34=Dienste!$A$33,Dienste!$C$33,IF(Q34=Dienste!$A$34,Dienste!$C$34,IF(Q34=Dienste!$A$35,Dienste!$C$35,IF(Q34=Dienste!$A$36,Dienste!$C$36,)))))))))))))))))))))))))))))))))))</f>
        <v>#REF!</v>
      </c>
      <c r="BL34" s="27" t="e">
        <f>IF(R34=Dienste!$A$2,Dienste!$C$2,IF(R34=Dienste!$A$3,Dienste!$C$3,IF(R34=Dienste!$A$4,Dienste!$C$4,IF(R34=Dienste!$A$5,Dienste!$C$5,IF(R34=Dienste!$A$6,Dienste!$C$6,IF(R34=Dienste!$A$7,Dienste!$C$7,IF(R34=Dienste!$A$8,Dienste!$C$8,IF(R34=Dienste!$A$9,Dienste!$C$9,IF(R34=Dienste!$A$10,Dienste!$C$10,IF(R34=Dienste!$A$11,Dienste!$C$11,IF(R34=Dienste!$A$12,Dienste!$C$12,IF(R34=Dienste!$A$13,Dienste!$C$13,IF(R34=Dienste!$A$14,Dienste!$C$14,IF(R34=Dienste!$A$15,Dienste!$C$15,IF(R34=Dienste!$A$16,Dienste!$C$16,IF(R34=Dienste!$A$17,Dienste!$C$17,IF(R34=Dienste!$A$18,Dienste!$C$18,IF(R34=Dienste!$A$19,Dienste!$C$19,IF(R34=Dienste!$A$20,Dienste!$C$20,IF(R34=Dienste!$A$21,Dienste!$C$21,IF(R34=Dienste!$A$22,Dienste!$C$22,IF(R34=Dienste!$A$23,Dienste!$C$23,IF(R34=Dienste!$A$24,Dienste!$C$24,IF(R34=Dienste!$A$25,Dienste!$C$25,IF(R34=Dienste!$A$26,Dienste!$C$26,IF(R34=Dienste!$A$27,Dienste!$C$27,IF(R34=Dienste!$A$28,Dienste!$C$28,IF(R34=Dienste!#REF!,Dienste!#REF!,IF(R34=Dienste!#REF!,Dienste!#REF!,IF(R34=Dienste!#REF!,Dienste!#REF!,IF(R34=Dienste!#REF!,Dienste!#REF!,IF(R34=Dienste!$A$33,Dienste!$C$33,IF(R34=Dienste!$A$34,Dienste!$C$34,IF(R34=Dienste!$A$35,Dienste!$C$35,IF(R34=Dienste!$A$36,Dienste!$C$36,)))))))))))))))))))))))))))))))))))</f>
        <v>#REF!</v>
      </c>
      <c r="BM34" s="27" t="e">
        <f>IF(S34=Dienste!$A$2,Dienste!$C$2,IF(S34=Dienste!$A$3,Dienste!$C$3,IF(S34=Dienste!$A$4,Dienste!$C$4,IF(S34=Dienste!$A$5,Dienste!$C$5,IF(S34=Dienste!$A$6,Dienste!$C$6,IF(S34=Dienste!$A$7,Dienste!$C$7,IF(S34=Dienste!$A$8,Dienste!$C$8,IF(S34=Dienste!$A$9,Dienste!$C$9,IF(S34=Dienste!$A$10,Dienste!$C$10,IF(S34=Dienste!$A$11,Dienste!$C$11,IF(S34=Dienste!$A$12,Dienste!$C$12,IF(S34=Dienste!$A$13,Dienste!$C$13,IF(S34=Dienste!$A$14,Dienste!$C$14,IF(S34=Dienste!$A$15,Dienste!$C$15,IF(S34=Dienste!$A$16,Dienste!$C$16,IF(S34=Dienste!$A$17,Dienste!$C$17,IF(S34=Dienste!$A$18,Dienste!$C$18,IF(S34=Dienste!$A$19,Dienste!$C$19,IF(S34=Dienste!$A$20,Dienste!$C$20,IF(S34=Dienste!$A$21,Dienste!$C$21,IF(S34=Dienste!$A$22,Dienste!$C$22,IF(S34=Dienste!$A$23,Dienste!$C$23,IF(S34=Dienste!$A$24,Dienste!$C$24,IF(S34=Dienste!$A$25,Dienste!$C$25,IF(S34=Dienste!$A$26,Dienste!$C$26,IF(S34=Dienste!$A$27,Dienste!$C$27,IF(S34=Dienste!$A$28,Dienste!$C$28,IF(S34=Dienste!#REF!,Dienste!#REF!,IF(S34=Dienste!#REF!,Dienste!#REF!,IF(S34=Dienste!#REF!,Dienste!#REF!,IF(S34=Dienste!#REF!,Dienste!#REF!,IF(S34=Dienste!$A$33,Dienste!$C$33,IF(S34=Dienste!$A$34,Dienste!$C$34,IF(S34=Dienste!$A$35,Dienste!$C$35,IF(S34=Dienste!$A$36,Dienste!$C$36,)))))))))))))))))))))))))))))))))))</f>
        <v>#REF!</v>
      </c>
      <c r="BN34" s="27" t="e">
        <f>IF(T34=Dienste!$A$2,Dienste!$C$2,IF(T34=Dienste!$A$3,Dienste!$C$3,IF(T34=Dienste!$A$4,Dienste!$C$4,IF(T34=Dienste!$A$5,Dienste!$C$5,IF(T34=Dienste!$A$6,Dienste!$C$6,IF(T34=Dienste!$A$7,Dienste!$C$7,IF(T34=Dienste!$A$8,Dienste!$C$8,IF(T34=Dienste!$A$9,Dienste!$C$9,IF(T34=Dienste!$A$10,Dienste!$C$10,IF(T34=Dienste!$A$11,Dienste!$C$11,IF(T34=Dienste!$A$12,Dienste!$C$12,IF(T34=Dienste!$A$13,Dienste!$C$13,IF(T34=Dienste!$A$14,Dienste!$C$14,IF(T34=Dienste!$A$15,Dienste!$C$15,IF(T34=Dienste!$A$16,Dienste!$C$16,IF(T34=Dienste!$A$17,Dienste!$C$17,IF(T34=Dienste!$A$18,Dienste!$C$18,IF(T34=Dienste!$A$19,Dienste!$C$19,IF(T34=Dienste!$A$20,Dienste!$C$20,IF(T34=Dienste!$A$21,Dienste!$C$21,IF(T34=Dienste!$A$22,Dienste!$C$22,IF(T34=Dienste!$A$23,Dienste!$C$23,IF(T34=Dienste!$A$24,Dienste!$C$24,IF(T34=Dienste!$A$25,Dienste!$C$25,IF(T34=Dienste!$A$26,Dienste!$C$26,IF(T34=Dienste!$A$27,Dienste!$C$27,IF(T34=Dienste!$A$28,Dienste!$C$28,IF(T34=Dienste!#REF!,Dienste!#REF!,IF(T34=Dienste!#REF!,Dienste!#REF!,IF(T34=Dienste!#REF!,Dienste!#REF!,IF(T34=Dienste!#REF!,Dienste!#REF!,IF(T34=Dienste!$A$33,Dienste!$C$33,IF(T34=Dienste!$A$34,Dienste!$C$34,IF(T34=Dienste!$A$35,Dienste!$C$35,IF(T34=Dienste!$A$36,Dienste!$C$36,)))))))))))))))))))))))))))))))))))</f>
        <v>#REF!</v>
      </c>
      <c r="BO34" s="27" t="e">
        <f>IF(U34=Dienste!$A$2,Dienste!$C$2,IF(U34=Dienste!$A$3,Dienste!$C$3,IF(U34=Dienste!$A$4,Dienste!$C$4,IF(U34=Dienste!$A$5,Dienste!$C$5,IF(U34=Dienste!$A$6,Dienste!$C$6,IF(U34=Dienste!$A$7,Dienste!$C$7,IF(U34=Dienste!$A$8,Dienste!$C$8,IF(U34=Dienste!$A$9,Dienste!$C$9,IF(U34=Dienste!$A$10,Dienste!$C$10,IF(U34=Dienste!$A$11,Dienste!$C$11,IF(U34=Dienste!$A$12,Dienste!$C$12,IF(U34=Dienste!$A$13,Dienste!$C$13,IF(U34=Dienste!$A$14,Dienste!$C$14,IF(U34=Dienste!$A$15,Dienste!$C$15,IF(U34=Dienste!$A$16,Dienste!$C$16,IF(U34=Dienste!$A$17,Dienste!$C$17,IF(U34=Dienste!$A$18,Dienste!$C$18,IF(U34=Dienste!$A$19,Dienste!$C$19,IF(U34=Dienste!$A$20,Dienste!$C$20,IF(U34=Dienste!$A$21,Dienste!$C$21,IF(U34=Dienste!$A$22,Dienste!$C$22,IF(U34=Dienste!$A$23,Dienste!$C$23,IF(U34=Dienste!$A$24,Dienste!$C$24,IF(U34=Dienste!$A$25,Dienste!$C$25,IF(U34=Dienste!$A$26,Dienste!$C$26,IF(U34=Dienste!$A$27,Dienste!$C$27,IF(U34=Dienste!$A$28,Dienste!$C$28,IF(U34=Dienste!#REF!,Dienste!#REF!,IF(U34=Dienste!#REF!,Dienste!#REF!,IF(U34=Dienste!#REF!,Dienste!#REF!,IF(U34=Dienste!#REF!,Dienste!#REF!,IF(U34=Dienste!$A$33,Dienste!$C$33,IF(U34=Dienste!$A$34,Dienste!$C$34,IF(U34=Dienste!$A$35,Dienste!$C$35,IF(U34=Dienste!$A$36,Dienste!$C$36,)))))))))))))))))))))))))))))))))))</f>
        <v>#REF!</v>
      </c>
      <c r="BP34" s="27" t="e">
        <f>IF(V34=Dienste!$A$2,Dienste!$C$2,IF(V34=Dienste!$A$3,Dienste!$C$3,IF(V34=Dienste!$A$4,Dienste!$C$4,IF(V34=Dienste!$A$5,Dienste!$C$5,IF(V34=Dienste!$A$6,Dienste!$C$6,IF(V34=Dienste!$A$7,Dienste!$C$7,IF(V34=Dienste!$A$8,Dienste!$C$8,IF(V34=Dienste!$A$9,Dienste!$C$9,IF(V34=Dienste!$A$10,Dienste!$C$10,IF(V34=Dienste!$A$11,Dienste!$C$11,IF(V34=Dienste!$A$12,Dienste!$C$12,IF(V34=Dienste!$A$13,Dienste!$C$13,IF(V34=Dienste!$A$14,Dienste!$C$14,IF(V34=Dienste!$A$15,Dienste!$C$15,IF(V34=Dienste!$A$16,Dienste!$C$16,IF(V34=Dienste!$A$17,Dienste!$C$17,IF(V34=Dienste!$A$18,Dienste!$C$18,IF(V34=Dienste!$A$19,Dienste!$C$19,IF(V34=Dienste!$A$20,Dienste!$C$20,IF(V34=Dienste!$A$21,Dienste!$C$21,IF(V34=Dienste!$A$22,Dienste!$C$22,IF(V34=Dienste!$A$23,Dienste!$C$23,IF(V34=Dienste!$A$24,Dienste!$C$24,IF(V34=Dienste!$A$25,Dienste!$C$25,IF(V34=Dienste!$A$26,Dienste!$C$26,IF(V34=Dienste!$A$27,Dienste!$C$27,IF(V34=Dienste!$A$28,Dienste!$C$28,IF(V34=Dienste!#REF!,Dienste!#REF!,IF(V34=Dienste!#REF!,Dienste!#REF!,IF(V34=Dienste!#REF!,Dienste!#REF!,IF(V34=Dienste!#REF!,Dienste!#REF!,IF(V34=Dienste!$A$33,Dienste!$C$33,IF(V34=Dienste!$A$34,Dienste!$C$34,IF(V34=Dienste!$A$35,Dienste!$C$35,IF(V34=Dienste!$A$36,Dienste!$C$36,)))))))))))))))))))))))))))))))))))</f>
        <v>#REF!</v>
      </c>
      <c r="BQ34" s="27" t="e">
        <f>IF(W34=Dienste!$A$2,Dienste!$C$2,IF(W34=Dienste!$A$3,Dienste!$C$3,IF(W34=Dienste!$A$4,Dienste!$C$4,IF(W34=Dienste!$A$5,Dienste!$C$5,IF(W34=Dienste!$A$6,Dienste!$C$6,IF(W34=Dienste!$A$7,Dienste!$C$7,IF(W34=Dienste!$A$8,Dienste!$C$8,IF(W34=Dienste!$A$9,Dienste!$C$9,IF(W34=Dienste!$A$10,Dienste!$C$10,IF(W34=Dienste!$A$11,Dienste!$C$11,IF(W34=Dienste!$A$12,Dienste!$C$12,IF(W34=Dienste!$A$13,Dienste!$C$13,IF(W34=Dienste!$A$14,Dienste!$C$14,IF(W34=Dienste!$A$15,Dienste!$C$15,IF(W34=Dienste!$A$16,Dienste!$C$16,IF(W34=Dienste!$A$17,Dienste!$C$17,IF(W34=Dienste!$A$18,Dienste!$C$18,IF(W34=Dienste!$A$19,Dienste!$C$19,IF(W34=Dienste!$A$20,Dienste!$C$20,IF(W34=Dienste!$A$21,Dienste!$C$21,IF(W34=Dienste!$A$22,Dienste!$C$22,IF(W34=Dienste!$A$23,Dienste!$C$23,IF(W34=Dienste!$A$24,Dienste!$C$24,IF(W34=Dienste!$A$25,Dienste!$C$25,IF(W34=Dienste!$A$26,Dienste!$C$26,IF(W34=Dienste!$A$27,Dienste!$C$27,IF(W34=Dienste!$A$28,Dienste!$C$28,IF(W34=Dienste!#REF!,Dienste!#REF!,IF(W34=Dienste!#REF!,Dienste!#REF!,IF(W34=Dienste!#REF!,Dienste!#REF!,IF(W34=Dienste!#REF!,Dienste!#REF!,IF(W34=Dienste!$A$33,Dienste!$C$33,IF(W34=Dienste!$A$34,Dienste!$C$34,IF(W34=Dienste!$A$35,Dienste!$C$35,IF(W34=Dienste!$A$36,Dienste!$C$36,)))))))))))))))))))))))))))))))))))</f>
        <v>#REF!</v>
      </c>
      <c r="BR34" s="27" t="e">
        <f>IF(X34=Dienste!$A$2,Dienste!$C$2,IF(X34=Dienste!$A$3,Dienste!$C$3,IF(X34=Dienste!$A$4,Dienste!$C$4,IF(X34=Dienste!$A$5,Dienste!$C$5,IF(X34=Dienste!$A$6,Dienste!$C$6,IF(X34=Dienste!$A$7,Dienste!$C$7,IF(X34=Dienste!$A$8,Dienste!$C$8,IF(X34=Dienste!$A$9,Dienste!$C$9,IF(X34=Dienste!$A$10,Dienste!$C$10,IF(X34=Dienste!$A$11,Dienste!$C$11,IF(X34=Dienste!$A$12,Dienste!$C$12,IF(X34=Dienste!$A$13,Dienste!$C$13,IF(X34=Dienste!$A$14,Dienste!$C$14,IF(X34=Dienste!$A$15,Dienste!$C$15,IF(X34=Dienste!$A$16,Dienste!$C$16,IF(X34=Dienste!$A$17,Dienste!$C$17,IF(X34=Dienste!$A$18,Dienste!$C$18,IF(X34=Dienste!$A$19,Dienste!$C$19,IF(X34=Dienste!$A$20,Dienste!$C$20,IF(X34=Dienste!$A$21,Dienste!$C$21,IF(X34=Dienste!$A$22,Dienste!$C$22,IF(X34=Dienste!$A$23,Dienste!$C$23,IF(X34=Dienste!$A$24,Dienste!$C$24,IF(X34=Dienste!$A$25,Dienste!$C$25,IF(X34=Dienste!$A$26,Dienste!$C$26,IF(X34=Dienste!$A$27,Dienste!$C$27,IF(X34=Dienste!$A$28,Dienste!$C$28,IF(X34=Dienste!#REF!,Dienste!#REF!,IF(X34=Dienste!#REF!,Dienste!#REF!,IF(X34=Dienste!#REF!,Dienste!#REF!,IF(X34=Dienste!#REF!,Dienste!#REF!,IF(X34=Dienste!$A$33,Dienste!$C$33,IF(X34=Dienste!$A$34,Dienste!$C$34,IF(X34=Dienste!$A$35,Dienste!$C$35,IF(X34=Dienste!$A$36,Dienste!$C$36,)))))))))))))))))))))))))))))))))))</f>
        <v>#REF!</v>
      </c>
      <c r="BS34" s="27" t="e">
        <f>IF(Y34=Dienste!$A$2,Dienste!$C$2,IF(Y34=Dienste!$A$3,Dienste!$C$3,IF(Y34=Dienste!$A$4,Dienste!$C$4,IF(Y34=Dienste!$A$5,Dienste!$C$5,IF(Y34=Dienste!$A$6,Dienste!$C$6,IF(Y34=Dienste!$A$7,Dienste!$C$7,IF(Y34=Dienste!$A$8,Dienste!$C$8,IF(Y34=Dienste!$A$9,Dienste!$C$9,IF(Y34=Dienste!$A$10,Dienste!$C$10,IF(Y34=Dienste!$A$11,Dienste!$C$11,IF(Y34=Dienste!$A$12,Dienste!$C$12,IF(Y34=Dienste!$A$13,Dienste!$C$13,IF(Y34=Dienste!$A$14,Dienste!$C$14,IF(Y34=Dienste!$A$15,Dienste!$C$15,IF(Y34=Dienste!$A$16,Dienste!$C$16,IF(Y34=Dienste!$A$17,Dienste!$C$17,IF(Y34=Dienste!$A$18,Dienste!$C$18,IF(Y34=Dienste!$A$19,Dienste!$C$19,IF(Y34=Dienste!$A$20,Dienste!$C$20,IF(Y34=Dienste!$A$21,Dienste!$C$21,IF(Y34=Dienste!$A$22,Dienste!$C$22,IF(Y34=Dienste!$A$23,Dienste!$C$23,IF(Y34=Dienste!$A$24,Dienste!$C$24,IF(Y34=Dienste!$A$25,Dienste!$C$25,IF(Y34=Dienste!$A$26,Dienste!$C$26,IF(Y34=Dienste!$A$27,Dienste!$C$27,IF(Y34=Dienste!$A$28,Dienste!$C$28,IF(Y34=Dienste!#REF!,Dienste!#REF!,IF(Y34=Dienste!#REF!,Dienste!#REF!,IF(Y34=Dienste!#REF!,Dienste!#REF!,IF(Y34=Dienste!#REF!,Dienste!#REF!,IF(Y34=Dienste!$A$33,Dienste!$C$33,IF(Y34=Dienste!$A$34,Dienste!$C$34,IF(Y34=Dienste!$A$35,Dienste!$C$35,IF(Y34=Dienste!$A$36,Dienste!$C$36,)))))))))))))))))))))))))))))))))))</f>
        <v>#REF!</v>
      </c>
      <c r="BT34" s="27" t="e">
        <f>IF(Z34=Dienste!$A$2,Dienste!$C$2,IF(Z34=Dienste!$A$3,Dienste!$C$3,IF(Z34=Dienste!$A$4,Dienste!$C$4,IF(Z34=Dienste!$A$5,Dienste!$C$5,IF(Z34=Dienste!$A$6,Dienste!$C$6,IF(Z34=Dienste!$A$7,Dienste!$C$7,IF(Z34=Dienste!$A$8,Dienste!$C$8,IF(Z34=Dienste!$A$9,Dienste!$C$9,IF(Z34=Dienste!$A$10,Dienste!$C$10,IF(Z34=Dienste!$A$11,Dienste!$C$11,IF(Z34=Dienste!$A$12,Dienste!$C$12,IF(Z34=Dienste!$A$13,Dienste!$C$13,IF(Z34=Dienste!$A$14,Dienste!$C$14,IF(Z34=Dienste!$A$15,Dienste!$C$15,IF(Z34=Dienste!$A$16,Dienste!$C$16,IF(Z34=Dienste!$A$17,Dienste!$C$17,IF(Z34=Dienste!$A$18,Dienste!$C$18,IF(Z34=Dienste!$A$19,Dienste!$C$19,IF(Z34=Dienste!$A$20,Dienste!$C$20,IF(Z34=Dienste!$A$21,Dienste!$C$21,IF(Z34=Dienste!$A$22,Dienste!$C$22,IF(Z34=Dienste!$A$23,Dienste!$C$23,IF(Z34=Dienste!$A$24,Dienste!$C$24,IF(Z34=Dienste!$A$25,Dienste!$C$25,IF(Z34=Dienste!$A$26,Dienste!$C$26,IF(Z34=Dienste!$A$27,Dienste!$C$27,IF(Z34=Dienste!$A$28,Dienste!$C$28,IF(Z34=Dienste!#REF!,Dienste!#REF!,IF(Z34=Dienste!#REF!,Dienste!#REF!,IF(Z34=Dienste!#REF!,Dienste!#REF!,IF(Z34=Dienste!#REF!,Dienste!#REF!,IF(Z34=Dienste!$A$33,Dienste!$C$33,IF(Z34=Dienste!$A$34,Dienste!$C$34,IF(Z34=Dienste!$A$35,Dienste!$C$35,IF(Z34=Dienste!$A$36,Dienste!$C$36,)))))))))))))))))))))))))))))))))))</f>
        <v>#REF!</v>
      </c>
      <c r="BU34" s="27" t="e">
        <f>IF(AA34=Dienste!$A$2,Dienste!$C$2,IF(AA34=Dienste!$A$3,Dienste!$C$3,IF(AA34=Dienste!$A$4,Dienste!$C$4,IF(AA34=Dienste!$A$5,Dienste!$C$5,IF(AA34=Dienste!$A$6,Dienste!$C$6,IF(AA34=Dienste!$A$7,Dienste!$C$7,IF(AA34=Dienste!$A$8,Dienste!$C$8,IF(AA34=Dienste!$A$9,Dienste!$C$9,IF(AA34=Dienste!$A$10,Dienste!$C$10,IF(AA34=Dienste!$A$11,Dienste!$C$11,IF(AA34=Dienste!$A$12,Dienste!$C$12,IF(AA34=Dienste!$A$13,Dienste!$C$13,IF(AA34=Dienste!$A$14,Dienste!$C$14,IF(AA34=Dienste!$A$15,Dienste!$C$15,IF(AA34=Dienste!$A$16,Dienste!$C$16,IF(AA34=Dienste!$A$17,Dienste!$C$17,IF(AA34=Dienste!$A$18,Dienste!$C$18,IF(AA34=Dienste!$A$19,Dienste!$C$19,IF(AA34=Dienste!$A$20,Dienste!$C$20,IF(AA34=Dienste!$A$21,Dienste!$C$21,IF(AA34=Dienste!$A$22,Dienste!$C$22,IF(AA34=Dienste!$A$23,Dienste!$C$23,IF(AA34=Dienste!$A$24,Dienste!$C$24,IF(AA34=Dienste!$A$25,Dienste!$C$25,IF(AA34=Dienste!$A$26,Dienste!$C$26,IF(AA34=Dienste!$A$27,Dienste!$C$27,IF(AA34=Dienste!$A$28,Dienste!$C$28,IF(AA34=Dienste!#REF!,Dienste!#REF!,IF(AA34=Dienste!#REF!,Dienste!#REF!,IF(AA34=Dienste!#REF!,Dienste!#REF!,IF(AA34=Dienste!#REF!,Dienste!#REF!,IF(AA34=Dienste!$A$33,Dienste!$C$33,IF(AA34=Dienste!$A$34,Dienste!$C$34,IF(AA34=Dienste!$A$35,Dienste!$C$35,IF(AA34=Dienste!$A$36,Dienste!$C$36,)))))))))))))))))))))))))))))))))))</f>
        <v>#REF!</v>
      </c>
      <c r="BV34" s="27" t="e">
        <f>IF(AB34=Dienste!$A$2,Dienste!$C$2,IF(AB34=Dienste!$A$3,Dienste!$C$3,IF(AB34=Dienste!$A$4,Dienste!$C$4,IF(AB34=Dienste!$A$5,Dienste!$C$5,IF(AB34=Dienste!$A$6,Dienste!$C$6,IF(AB34=Dienste!$A$7,Dienste!$C$7,IF(AB34=Dienste!$A$8,Dienste!$C$8,IF(AB34=Dienste!$A$9,Dienste!$C$9,IF(AB34=Dienste!$A$10,Dienste!$C$10,IF(AB34=Dienste!$A$11,Dienste!$C$11,IF(AB34=Dienste!$A$12,Dienste!$C$12,IF(AB34=Dienste!$A$13,Dienste!$C$13,IF(AB34=Dienste!$A$14,Dienste!$C$14,IF(AB34=Dienste!$A$15,Dienste!$C$15,IF(AB34=Dienste!$A$16,Dienste!$C$16,IF(AB34=Dienste!$A$17,Dienste!$C$17,IF(AB34=Dienste!$A$18,Dienste!$C$18,IF(AB34=Dienste!$A$19,Dienste!$C$19,IF(AB34=Dienste!$A$20,Dienste!$C$20,IF(AB34=Dienste!$A$21,Dienste!$C$21,IF(AB34=Dienste!$A$22,Dienste!$C$22,IF(AB34=Dienste!$A$23,Dienste!$C$23,IF(AB34=Dienste!$A$24,Dienste!$C$24,IF(AB34=Dienste!$A$25,Dienste!$C$25,IF(AB34=Dienste!$A$26,Dienste!$C$26,IF(AB34=Dienste!$A$27,Dienste!$C$27,IF(AB34=Dienste!$A$28,Dienste!$C$28,IF(AB34=Dienste!#REF!,Dienste!#REF!,IF(AB34=Dienste!#REF!,Dienste!#REF!,IF(AB34=Dienste!#REF!,Dienste!#REF!,IF(AB34=Dienste!#REF!,Dienste!#REF!,IF(AB34=Dienste!$A$33,Dienste!$C$33,IF(AB34=Dienste!$A$34,Dienste!$C$34,IF(AB34=Dienste!$A$35,Dienste!$C$35,IF(AB34=Dienste!$A$36,Dienste!$C$36,)))))))))))))))))))))))))))))))))))</f>
        <v>#REF!</v>
      </c>
      <c r="BW34" s="27" t="e">
        <f>IF(AC34=Dienste!$A$2,Dienste!$C$2,IF(AC34=Dienste!$A$3,Dienste!$C$3,IF(AC34=Dienste!$A$4,Dienste!$C$4,IF(AC34=Dienste!$A$5,Dienste!$C$5,IF(AC34=Dienste!$A$6,Dienste!$C$6,IF(AC34=Dienste!$A$7,Dienste!$C$7,IF(AC34=Dienste!$A$8,Dienste!$C$8,IF(AC34=Dienste!$A$9,Dienste!$C$9,IF(AC34=Dienste!$A$10,Dienste!$C$10,IF(AC34=Dienste!$A$11,Dienste!$C$11,IF(AC34=Dienste!$A$12,Dienste!$C$12,IF(AC34=Dienste!$A$13,Dienste!$C$13,IF(AC34=Dienste!$A$14,Dienste!$C$14,IF(AC34=Dienste!$A$15,Dienste!$C$15,IF(AC34=Dienste!$A$16,Dienste!$C$16,IF(AC34=Dienste!$A$17,Dienste!$C$17,IF(AC34=Dienste!$A$18,Dienste!$C$18,IF(AC34=Dienste!$A$19,Dienste!$C$19,IF(AC34=Dienste!$A$20,Dienste!$C$20,IF(AC34=Dienste!$A$21,Dienste!$C$21,IF(AC34=Dienste!$A$22,Dienste!$C$22,IF(AC34=Dienste!$A$23,Dienste!$C$23,IF(AC34=Dienste!$A$24,Dienste!$C$24,IF(AC34=Dienste!$A$25,Dienste!$C$25,IF(AC34=Dienste!$A$26,Dienste!$C$26,IF(AC34=Dienste!$A$27,Dienste!$C$27,IF(AC34=Dienste!$A$28,Dienste!$C$28,IF(AC34=Dienste!#REF!,Dienste!#REF!,IF(AC34=Dienste!#REF!,Dienste!#REF!,IF(AC34=Dienste!#REF!,Dienste!#REF!,IF(AC34=Dienste!#REF!,Dienste!#REF!,IF(AC34=Dienste!$A$33,Dienste!$C$33,IF(AC34=Dienste!$A$34,Dienste!$C$34,IF(AC34=Dienste!$A$35,Dienste!$C$35,IF(AC34=Dienste!$A$36,Dienste!$C$36,)))))))))))))))))))))))))))))))))))</f>
        <v>#REF!</v>
      </c>
      <c r="BX34" s="27" t="e">
        <f>IF(AD34=Dienste!$A$2,Dienste!$C$2,IF(AD34=Dienste!$A$3,Dienste!$C$3,IF(AD34=Dienste!$A$4,Dienste!$C$4,IF(AD34=Dienste!$A$5,Dienste!$C$5,IF(AD34=Dienste!$A$6,Dienste!$C$6,IF(AD34=Dienste!$A$7,Dienste!$C$7,IF(AD34=Dienste!$A$8,Dienste!$C$8,IF(AD34=Dienste!$A$9,Dienste!$C$9,IF(AD34=Dienste!$A$10,Dienste!$C$10,IF(AD34=Dienste!$A$11,Dienste!$C$11,IF(AD34=Dienste!$A$12,Dienste!$C$12,IF(AD34=Dienste!$A$13,Dienste!$C$13,IF(AD34=Dienste!$A$14,Dienste!$C$14,IF(AD34=Dienste!$A$15,Dienste!$C$15,IF(AD34=Dienste!$A$16,Dienste!$C$16,IF(AD34=Dienste!$A$17,Dienste!$C$17,IF(AD34=Dienste!$A$18,Dienste!$C$18,IF(AD34=Dienste!$A$19,Dienste!$C$19,IF(AD34=Dienste!$A$20,Dienste!$C$20,IF(AD34=Dienste!$A$21,Dienste!$C$21,IF(AD34=Dienste!$A$22,Dienste!$C$22,IF(AD34=Dienste!$A$23,Dienste!$C$23,IF(AD34=Dienste!$A$24,Dienste!$C$24,IF(AD34=Dienste!$A$25,Dienste!$C$25,IF(AD34=Dienste!$A$26,Dienste!$C$26,IF(AD34=Dienste!$A$27,Dienste!$C$27,IF(AD34=Dienste!$A$28,Dienste!$C$28,IF(AD34=Dienste!#REF!,Dienste!#REF!,IF(AD34=Dienste!#REF!,Dienste!#REF!,IF(AD34=Dienste!#REF!,Dienste!#REF!,IF(AD34=Dienste!#REF!,Dienste!#REF!,IF(AD34=Dienste!$A$33,Dienste!$C$33,IF(AD34=Dienste!$A$34,Dienste!$C$34,IF(AD34=Dienste!$A$35,Dienste!$C$35,IF(AD34=Dienste!$A$36,Dienste!$C$36,)))))))))))))))))))))))))))))))))))</f>
        <v>#REF!</v>
      </c>
      <c r="BY34" s="27" t="e">
        <f>IF(AE34=Dienste!$A$2,Dienste!$C$2,IF(AE34=Dienste!$A$3,Dienste!$C$3,IF(AE34=Dienste!$A$4,Dienste!$C$4,IF(AE34=Dienste!$A$5,Dienste!$C$5,IF(AE34=Dienste!$A$6,Dienste!$C$6,IF(AE34=Dienste!$A$7,Dienste!$C$7,IF(AE34=Dienste!$A$8,Dienste!$C$8,IF(AE34=Dienste!$A$9,Dienste!$C$9,IF(AE34=Dienste!$A$10,Dienste!$C$10,IF(AE34=Dienste!$A$11,Dienste!$C$11,IF(AE34=Dienste!$A$12,Dienste!$C$12,IF(AE34=Dienste!$A$13,Dienste!$C$13,IF(AE34=Dienste!$A$14,Dienste!$C$14,IF(AE34=Dienste!$A$15,Dienste!$C$15,IF(AE34=Dienste!$A$16,Dienste!$C$16,IF(AE34=Dienste!$A$17,Dienste!$C$17,IF(AE34=Dienste!$A$18,Dienste!$C$18,IF(AE34=Dienste!$A$19,Dienste!$C$19,IF(AE34=Dienste!$A$20,Dienste!$C$20,IF(AE34=Dienste!$A$21,Dienste!$C$21,IF(AE34=Dienste!$A$22,Dienste!$C$22,IF(AE34=Dienste!$A$23,Dienste!$C$23,IF(AE34=Dienste!$A$24,Dienste!$C$24,IF(AE34=Dienste!$A$25,Dienste!$C$25,IF(AE34=Dienste!$A$26,Dienste!$C$26,IF(AE34=Dienste!$A$27,Dienste!$C$27,IF(AE34=Dienste!$A$28,Dienste!$C$28,IF(AE34=Dienste!#REF!,Dienste!#REF!,IF(AE34=Dienste!#REF!,Dienste!#REF!,IF(AE34=Dienste!#REF!,Dienste!#REF!,IF(AE34=Dienste!#REF!,Dienste!#REF!,IF(AE34=Dienste!$A$33,Dienste!$C$33,IF(AE34=Dienste!$A$34,Dienste!$C$34,IF(AE34=Dienste!$A$35,Dienste!$C$35,IF(AE34=Dienste!$A$36,Dienste!$C$36,)))))))))))))))))))))))))))))))))))</f>
        <v>#REF!</v>
      </c>
      <c r="BZ34" s="27" t="e">
        <f>IF(AF34=Dienste!$A$2,Dienste!$C$2,IF(AF34=Dienste!$A$3,Dienste!$C$3,IF(AF34=Dienste!$A$4,Dienste!$C$4,IF(AF34=Dienste!$A$5,Dienste!$C$5,IF(AF34=Dienste!$A$6,Dienste!$C$6,IF(AF34=Dienste!$A$7,Dienste!$C$7,IF(AF34=Dienste!$A$8,Dienste!$C$8,IF(AF34=Dienste!$A$9,Dienste!$C$9,IF(AF34=Dienste!$A$10,Dienste!$C$10,IF(AF34=Dienste!$A$11,Dienste!$C$11,IF(AF34=Dienste!$A$12,Dienste!$C$12,IF(AF34=Dienste!$A$13,Dienste!$C$13,IF(AF34=Dienste!$A$14,Dienste!$C$14,IF(AF34=Dienste!$A$15,Dienste!$C$15,IF(AF34=Dienste!$A$16,Dienste!$C$16,IF(AF34=Dienste!$A$17,Dienste!$C$17,IF(AF34=Dienste!$A$18,Dienste!$C$18,IF(AF34=Dienste!$A$19,Dienste!$C$19,IF(AF34=Dienste!$A$20,Dienste!$C$20,IF(AF34=Dienste!$A$21,Dienste!$C$21,IF(AF34=Dienste!$A$22,Dienste!$C$22,IF(AF34=Dienste!$A$23,Dienste!$C$23,IF(AF34=Dienste!$A$24,Dienste!$C$24,IF(AF34=Dienste!$A$25,Dienste!$C$25,IF(AF34=Dienste!$A$26,Dienste!$C$26,IF(AF34=Dienste!$A$27,Dienste!$C$27,IF(AF34=Dienste!$A$28,Dienste!$C$28,IF(AF34=Dienste!#REF!,Dienste!#REF!,IF(AF34=Dienste!#REF!,Dienste!#REF!,IF(AF34=Dienste!#REF!,Dienste!#REF!,IF(AF34=Dienste!#REF!,Dienste!#REF!,IF(AF34=Dienste!$A$33,Dienste!$C$33,IF(AF34=Dienste!$A$34,Dienste!$C$34,IF(AF34=Dienste!$A$35,Dienste!$C$35,IF(AF34=Dienste!$A$36,Dienste!$C$36,)))))))))))))))))))))))))))))))))))</f>
        <v>#REF!</v>
      </c>
      <c r="CA34" s="27" t="e">
        <f>IF(AG34=Dienste!$A$2,Dienste!$C$2,IF(AG34=Dienste!$A$3,Dienste!$C$3,IF(AG34=Dienste!$A$4,Dienste!$C$4,IF(AG34=Dienste!$A$5,Dienste!$C$5,IF(AG34=Dienste!$A$6,Dienste!$C$6,IF(AG34=Dienste!$A$7,Dienste!$C$7,IF(AG34=Dienste!$A$8,Dienste!$C$8,IF(AG34=Dienste!$A$9,Dienste!$C$9,IF(AG34=Dienste!$A$10,Dienste!$C$10,IF(AG34=Dienste!$A$11,Dienste!$C$11,IF(AG34=Dienste!$A$12,Dienste!$C$12,IF(AG34=Dienste!$A$13,Dienste!$C$13,IF(AG34=Dienste!$A$14,Dienste!$C$14,IF(AG34=Dienste!$A$15,Dienste!$C$15,IF(AG34=Dienste!$A$16,Dienste!$C$16,IF(AG34=Dienste!$A$17,Dienste!$C$17,IF(AG34=Dienste!$A$18,Dienste!$C$18,IF(AG34=Dienste!$A$19,Dienste!$C$19,IF(AG34=Dienste!$A$20,Dienste!$C$20,IF(AG34=Dienste!$A$21,Dienste!$C$21,IF(AG34=Dienste!$A$22,Dienste!$C$22,IF(AG34=Dienste!$A$23,Dienste!$C$23,IF(AG34=Dienste!$A$24,Dienste!$C$24,IF(AG34=Dienste!$A$25,Dienste!$C$25,IF(AG34=Dienste!$A$26,Dienste!$C$26,IF(AG34=Dienste!$A$27,Dienste!$C$27,IF(AG34=Dienste!$A$28,Dienste!$C$28,IF(AG34=Dienste!#REF!,Dienste!#REF!,IF(AG34=Dienste!#REF!,Dienste!#REF!,IF(AG34=Dienste!#REF!,Dienste!#REF!,IF(AG34=Dienste!#REF!,Dienste!#REF!,IF(AG34=Dienste!$A$33,Dienste!$C$33,IF(AG34=Dienste!$A$34,Dienste!$C$34,IF(AG34=Dienste!$A$35,Dienste!$C$35,IF(AG34=Dienste!$A$36,Dienste!$C$36,)))))))))))))))))))))))))))))))))))</f>
        <v>#REF!</v>
      </c>
      <c r="CB34" s="27" t="e">
        <f>IF(AH34=Dienste!$A$2,Dienste!$C$2,IF(AH34=Dienste!$A$3,Dienste!$C$3,IF(AH34=Dienste!$A$4,Dienste!$C$4,IF(AH34=Dienste!$A$5,Dienste!$C$5,IF(AH34=Dienste!$A$6,Dienste!$C$6,IF(AH34=Dienste!$A$7,Dienste!$C$7,IF(AH34=Dienste!$A$8,Dienste!$C$8,IF(AH34=Dienste!$A$9,Dienste!$C$9,IF(AH34=Dienste!$A$10,Dienste!$C$10,IF(AH34=Dienste!$A$11,Dienste!$C$11,IF(AH34=Dienste!$A$12,Dienste!$C$12,IF(AH34=Dienste!$A$13,Dienste!$C$13,IF(AH34=Dienste!$A$14,Dienste!$C$14,IF(AH34=Dienste!$A$15,Dienste!$C$15,IF(AH34=Dienste!$A$16,Dienste!$C$16,IF(AH34=Dienste!$A$17,Dienste!$C$17,IF(AH34=Dienste!$A$18,Dienste!$C$18,IF(AH34=Dienste!$A$19,Dienste!$C$19,IF(AH34=Dienste!$A$20,Dienste!$C$20,IF(AH34=Dienste!$A$21,Dienste!$C$21,IF(AH34=Dienste!$A$22,Dienste!$C$22,IF(AH34=Dienste!$A$23,Dienste!$C$23,IF(AH34=Dienste!$A$24,Dienste!$C$24,IF(AH34=Dienste!$A$25,Dienste!$C$25,IF(AH34=Dienste!$A$26,Dienste!$C$26,IF(AH34=Dienste!$A$27,Dienste!$C$27,IF(AH34=Dienste!$A$28,Dienste!$C$28,IF(AH34=Dienste!#REF!,Dienste!#REF!,IF(AH34=Dienste!#REF!,Dienste!#REF!,IF(AH34=Dienste!#REF!,Dienste!#REF!,IF(AH34=Dienste!#REF!,Dienste!#REF!,IF(AH34=Dienste!$A$33,Dienste!$C$33,IF(AH34=Dienste!$A$34,Dienste!$C$34,IF(AH34=Dienste!$A$35,Dienste!$C$35,IF(AH34=Dienste!$A$36,Dienste!$C$36,)))))))))))))))))))))))))))))))))))</f>
        <v>#REF!</v>
      </c>
      <c r="CC34" s="27" t="e">
        <f>IF(AI34=Dienste!$A$2,Dienste!$C$2,IF(AI34=Dienste!$A$3,Dienste!$C$3,IF(AI34=Dienste!$A$4,Dienste!$C$4,IF(AI34=Dienste!$A$5,Dienste!$C$5,IF(AI34=Dienste!$A$6,Dienste!$C$6,IF(AI34=Dienste!$A$7,Dienste!$C$7,IF(AI34=Dienste!$A$8,Dienste!$C$8,IF(AI34=Dienste!$A$9,Dienste!$C$9,IF(AI34=Dienste!$A$10,Dienste!$C$10,IF(AI34=Dienste!$A$11,Dienste!$C$11,IF(AI34=Dienste!$A$12,Dienste!$C$12,IF(AI34=Dienste!$A$13,Dienste!$C$13,IF(AI34=Dienste!$A$14,Dienste!$C$14,IF(AI34=Dienste!$A$15,Dienste!$C$15,IF(AI34=Dienste!$A$16,Dienste!$C$16,IF(AI34=Dienste!$A$17,Dienste!$C$17,IF(AI34=Dienste!$A$18,Dienste!$C$18,IF(AI34=Dienste!$A$19,Dienste!$C$19,IF(AI34=Dienste!$A$20,Dienste!$C$20,IF(AI34=Dienste!$A$21,Dienste!$C$21,IF(AI34=Dienste!$A$22,Dienste!$C$22,IF(AI34=Dienste!$A$23,Dienste!$C$23,IF(AI34=Dienste!$A$24,Dienste!$C$24,IF(AI34=Dienste!$A$25,Dienste!$C$25,IF(AI34=Dienste!$A$26,Dienste!$C$26,IF(AI34=Dienste!$A$27,Dienste!$C$27,IF(AI34=Dienste!$A$28,Dienste!$C$28,IF(AI34=Dienste!#REF!,Dienste!#REF!,IF(AI34=Dienste!#REF!,Dienste!#REF!,IF(AI34=Dienste!#REF!,Dienste!#REF!,IF(AI34=Dienste!#REF!,Dienste!#REF!,IF(AI34=Dienste!$A$33,Dienste!$C$33,IF(AI34=Dienste!$A$34,Dienste!$C$34,IF(AI34=Dienste!$A$35,Dienste!$C$35,IF(AI34=Dienste!$A$36,Dienste!$C$36,)))))))))))))))))))))))))))))))))))</f>
        <v>#REF!</v>
      </c>
    </row>
    <row r="35" spans="1:81" x14ac:dyDescent="0.25">
      <c r="A35" s="174"/>
      <c r="B35" s="175"/>
      <c r="C35" s="176"/>
      <c r="D35" s="177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4"/>
      <c r="AK35" s="152"/>
      <c r="AL35" s="154"/>
      <c r="AM35" s="152"/>
      <c r="AN35" s="152"/>
      <c r="AO35" s="154"/>
      <c r="AP35" s="152"/>
      <c r="AQ35" s="153"/>
      <c r="AR35" s="154"/>
      <c r="AS35" s="152"/>
      <c r="AT35" s="153"/>
      <c r="AU35" s="27" t="e">
        <f t="shared" si="2"/>
        <v>#REF!</v>
      </c>
      <c r="AV35" s="27" t="e">
        <f t="shared" si="0"/>
        <v>#REF!</v>
      </c>
      <c r="AW35" s="58" t="e">
        <f t="shared" si="1"/>
        <v>#REF!</v>
      </c>
      <c r="AY35" s="27" t="e">
        <f>IF(E35=Dienste!$A$2,Dienste!$C$2,IF(E35=Dienste!$A$3,Dienste!$C$3,IF(E35=Dienste!$A$4,Dienste!$C$4,IF(E35=Dienste!$A$5,Dienste!$C$5,IF(E35=Dienste!$A$6,Dienste!$C$6,IF(E35=Dienste!$A$7,Dienste!$C$7,IF(E35=Dienste!$A$8,Dienste!$C$8,IF(E35=Dienste!$A$9,Dienste!$C$9,IF(E35=Dienste!$A$10,Dienste!$C$10,IF(E35=Dienste!$A$11,Dienste!$C$11,IF(E35=Dienste!$A$12,Dienste!$C$12,IF(E35=Dienste!$A$13,Dienste!$C$13,IF(E35=Dienste!$A$14,Dienste!$C$14,IF(E35=Dienste!$A$15,Dienste!$C$15,IF(E35=Dienste!$A$16,Dienste!$C$16,IF(E35=Dienste!$A$17,Dienste!$C$17,IF(E35=Dienste!$A$18,Dienste!$C$18,IF(E35=Dienste!$A$19,Dienste!$C$19,IF(E35=Dienste!$A$20,Dienste!$C$20,IF(E35=Dienste!$A$21,Dienste!$C$21,IF(E35=Dienste!$A$22,Dienste!$C$22,IF(E35=Dienste!$A$23,Dienste!$C$23,IF(E35=Dienste!$A$24,Dienste!$C$24,IF(E35=Dienste!$A$25,Dienste!$C$25,IF(E35=Dienste!$A$26,Dienste!$C$26,IF(E35=Dienste!$A$27,Dienste!$C$27,IF(E35=Dienste!$A$28,Dienste!$C$28,IF(E35=Dienste!#REF!,Dienste!#REF!,IF(E35=Dienste!#REF!,Dienste!#REF!,IF(E35=Dienste!#REF!,Dienste!#REF!,IF(E35=Dienste!#REF!,Dienste!#REF!,IF(E35=Dienste!$A$33,Dienste!$C$33,IF(E35=Dienste!$A$34,Dienste!$C$34,IF(E35=Dienste!$A$35,Dienste!$C$35,IF(E35=Dienste!$A$36,Dienste!$C$36,)))))))))))))))))))))))))))))))))))</f>
        <v>#REF!</v>
      </c>
      <c r="AZ35" s="27" t="e">
        <f>IF(F35=Dienste!$A$2,Dienste!$C$2,IF(F35=Dienste!$A$3,Dienste!$C$3,IF(F35=Dienste!$A$4,Dienste!$C$4,IF(F35=Dienste!$A$5,Dienste!$C$5,IF(F35=Dienste!$A$6,Dienste!$C$6,IF(F35=Dienste!$A$7,Dienste!$C$7,IF(F35=Dienste!$A$8,Dienste!$C$8,IF(F35=Dienste!$A$9,Dienste!$C$9,IF(F35=Dienste!$A$10,Dienste!$C$10,IF(F35=Dienste!$A$11,Dienste!$C$11,IF(F35=Dienste!$A$12,Dienste!$C$12,IF(F35=Dienste!$A$13,Dienste!$C$13,IF(F35=Dienste!$A$14,Dienste!$C$14,IF(F35=Dienste!$A$15,Dienste!$C$15,IF(F35=Dienste!$A$16,Dienste!$C$16,IF(F35=Dienste!$A$17,Dienste!$C$17,IF(F35=Dienste!$A$18,Dienste!$C$18,IF(F35=Dienste!$A$19,Dienste!$C$19,IF(F35=Dienste!$A$20,Dienste!$C$20,IF(F35=Dienste!$A$21,Dienste!$C$21,IF(F35=Dienste!$A$22,Dienste!$C$22,IF(F35=Dienste!$A$23,Dienste!$C$23,IF(F35=Dienste!$A$24,Dienste!$C$24,IF(F35=Dienste!$A$25,Dienste!$C$25,IF(F35=Dienste!$A$26,Dienste!$C$26,IF(F35=Dienste!$A$27,Dienste!$C$27,IF(F35=Dienste!$A$28,Dienste!$C$28,IF(F35=Dienste!#REF!,Dienste!#REF!,IF(F35=Dienste!#REF!,Dienste!#REF!,IF(F35=Dienste!#REF!,Dienste!#REF!,IF(F35=Dienste!#REF!,Dienste!#REF!,IF(F35=Dienste!$A$33,Dienste!$C$33,IF(F35=Dienste!$A$34,Dienste!$C$34,IF(F35=Dienste!$A$35,Dienste!$C$35,IF(F35=Dienste!$A$36,Dienste!$C$36,)))))))))))))))))))))))))))))))))))</f>
        <v>#REF!</v>
      </c>
      <c r="BA35" s="27" t="e">
        <f>IF(G35=Dienste!$A$2,Dienste!$C$2,IF(G35=Dienste!$A$3,Dienste!$C$3,IF(G35=Dienste!$A$4,Dienste!$C$4,IF(G35=Dienste!$A$5,Dienste!$C$5,IF(G35=Dienste!$A$6,Dienste!$C$6,IF(G35=Dienste!$A$7,Dienste!$C$7,IF(G35=Dienste!$A$8,Dienste!$C$8,IF(G35=Dienste!$A$9,Dienste!$C$9,IF(G35=Dienste!$A$10,Dienste!$C$10,IF(G35=Dienste!$A$11,Dienste!$C$11,IF(G35=Dienste!$A$12,Dienste!$C$12,IF(G35=Dienste!$A$13,Dienste!$C$13,IF(G35=Dienste!$A$14,Dienste!$C$14,IF(G35=Dienste!$A$15,Dienste!$C$15,IF(G35=Dienste!$A$16,Dienste!$C$16,IF(G35=Dienste!$A$17,Dienste!$C$17,IF(G35=Dienste!$A$18,Dienste!$C$18,IF(G35=Dienste!$A$19,Dienste!$C$19,IF(G35=Dienste!$A$20,Dienste!$C$20,IF(G35=Dienste!$A$21,Dienste!$C$21,IF(G35=Dienste!$A$22,Dienste!$C$22,IF(G35=Dienste!$A$23,Dienste!$C$23,IF(G35=Dienste!$A$24,Dienste!$C$24,IF(G35=Dienste!$A$25,Dienste!$C$25,IF(G35=Dienste!$A$26,Dienste!$C$26,IF(G35=Dienste!$A$27,Dienste!$C$27,IF(G35=Dienste!$A$28,Dienste!$C$28,IF(G35=Dienste!#REF!,Dienste!#REF!,IF(G35=Dienste!#REF!,Dienste!#REF!,IF(G35=Dienste!#REF!,Dienste!#REF!,IF(G35=Dienste!#REF!,Dienste!#REF!,IF(G35=Dienste!$A$33,Dienste!$C$33,IF(G35=Dienste!$A$34,Dienste!$C$34,IF(G35=Dienste!$A$35,Dienste!$C$35,IF(G35=Dienste!$A$36,Dienste!$C$36,)))))))))))))))))))))))))))))))))))</f>
        <v>#REF!</v>
      </c>
      <c r="BB35" s="27" t="e">
        <f>IF(H35=Dienste!$A$2,Dienste!$C$2,IF(H35=Dienste!$A$3,Dienste!$C$3,IF(H35=Dienste!$A$4,Dienste!$C$4,IF(H35=Dienste!$A$5,Dienste!$C$5,IF(H35=Dienste!$A$6,Dienste!$C$6,IF(H35=Dienste!$A$7,Dienste!$C$7,IF(H35=Dienste!$A$8,Dienste!$C$8,IF(H35=Dienste!$A$9,Dienste!$C$9,IF(H35=Dienste!$A$10,Dienste!$C$10,IF(H35=Dienste!$A$11,Dienste!$C$11,IF(H35=Dienste!$A$12,Dienste!$C$12,IF(H35=Dienste!$A$13,Dienste!$C$13,IF(H35=Dienste!$A$14,Dienste!$C$14,IF(H35=Dienste!$A$15,Dienste!$C$15,IF(H35=Dienste!$A$16,Dienste!$C$16,IF(H35=Dienste!$A$17,Dienste!$C$17,IF(H35=Dienste!$A$18,Dienste!$C$18,IF(H35=Dienste!$A$19,Dienste!$C$19,IF(H35=Dienste!$A$20,Dienste!$C$20,IF(H35=Dienste!$A$21,Dienste!$C$21,IF(H35=Dienste!$A$22,Dienste!$C$22,IF(H35=Dienste!$A$23,Dienste!$C$23,IF(H35=Dienste!$A$24,Dienste!$C$24,IF(H35=Dienste!$A$25,Dienste!$C$25,IF(H35=Dienste!$A$26,Dienste!$C$26,IF(H35=Dienste!$A$27,Dienste!$C$27,IF(H35=Dienste!$A$28,Dienste!$C$28,IF(H35=Dienste!#REF!,Dienste!#REF!,IF(H35=Dienste!#REF!,Dienste!#REF!,IF(H35=Dienste!#REF!,Dienste!#REF!,IF(H35=Dienste!#REF!,Dienste!#REF!,IF(H35=Dienste!$A$33,Dienste!$C$33,IF(H35=Dienste!$A$34,Dienste!$C$34,IF(H35=Dienste!$A$35,Dienste!$C$35,IF(H35=Dienste!$A$36,Dienste!$C$36,)))))))))))))))))))))))))))))))))))</f>
        <v>#REF!</v>
      </c>
      <c r="BC35" s="27" t="e">
        <f>IF(I35=Dienste!$A$2,Dienste!$C$2,IF(I35=Dienste!$A$3,Dienste!$C$3,IF(I35=Dienste!$A$4,Dienste!$C$4,IF(I35=Dienste!$A$5,Dienste!$C$5,IF(I35=Dienste!$A$6,Dienste!$C$6,IF(I35=Dienste!$A$7,Dienste!$C$7,IF(I35=Dienste!$A$8,Dienste!$C$8,IF(I35=Dienste!$A$9,Dienste!$C$9,IF(I35=Dienste!$A$10,Dienste!$C$10,IF(I35=Dienste!$A$11,Dienste!$C$11,IF(I35=Dienste!$A$12,Dienste!$C$12,IF(I35=Dienste!$A$13,Dienste!$C$13,IF(I35=Dienste!$A$14,Dienste!$C$14,IF(I35=Dienste!$A$15,Dienste!$C$15,IF(I35=Dienste!$A$16,Dienste!$C$16,IF(I35=Dienste!$A$17,Dienste!$C$17,IF(I35=Dienste!$A$18,Dienste!$C$18,IF(I35=Dienste!$A$19,Dienste!$C$19,IF(I35=Dienste!$A$20,Dienste!$C$20,IF(I35=Dienste!$A$21,Dienste!$C$21,IF(I35=Dienste!$A$22,Dienste!$C$22,IF(I35=Dienste!$A$23,Dienste!$C$23,IF(I35=Dienste!$A$24,Dienste!$C$24,IF(I35=Dienste!$A$25,Dienste!$C$25,IF(I35=Dienste!$A$26,Dienste!$C$26,IF(I35=Dienste!$A$27,Dienste!$C$27,IF(I35=Dienste!$A$28,Dienste!$C$28,IF(I35=Dienste!#REF!,Dienste!#REF!,IF(I35=Dienste!#REF!,Dienste!#REF!,IF(I35=Dienste!#REF!,Dienste!#REF!,IF(I35=Dienste!#REF!,Dienste!#REF!,IF(I35=Dienste!$A$33,Dienste!$C$33,IF(I35=Dienste!$A$34,Dienste!$C$34,IF(I35=Dienste!$A$35,Dienste!$C$35,IF(I35=Dienste!$A$36,Dienste!$C$36,)))))))))))))))))))))))))))))))))))</f>
        <v>#REF!</v>
      </c>
      <c r="BD35" s="27" t="e">
        <f>IF(J35=Dienste!$A$2,Dienste!$C$2,IF(J35=Dienste!$A$3,Dienste!$C$3,IF(J35=Dienste!$A$4,Dienste!$C$4,IF(J35=Dienste!$A$5,Dienste!$C$5,IF(J35=Dienste!$A$6,Dienste!$C$6,IF(J35=Dienste!$A$7,Dienste!$C$7,IF(J35=Dienste!$A$8,Dienste!$C$8,IF(J35=Dienste!$A$9,Dienste!$C$9,IF(J35=Dienste!$A$10,Dienste!$C$10,IF(J35=Dienste!$A$11,Dienste!$C$11,IF(J35=Dienste!$A$12,Dienste!$C$12,IF(J35=Dienste!$A$13,Dienste!$C$13,IF(J35=Dienste!$A$14,Dienste!$C$14,IF(J35=Dienste!$A$15,Dienste!$C$15,IF(J35=Dienste!$A$16,Dienste!$C$16,IF(J35=Dienste!$A$17,Dienste!$C$17,IF(J35=Dienste!$A$18,Dienste!$C$18,IF(J35=Dienste!$A$19,Dienste!$C$19,IF(J35=Dienste!$A$20,Dienste!$C$20,IF(J35=Dienste!$A$21,Dienste!$C$21,IF(J35=Dienste!$A$22,Dienste!$C$22,IF(J35=Dienste!$A$23,Dienste!$C$23,IF(J35=Dienste!$A$24,Dienste!$C$24,IF(J35=Dienste!$A$25,Dienste!$C$25,IF(J35=Dienste!$A$26,Dienste!$C$26,IF(J35=Dienste!$A$27,Dienste!$C$27,IF(J35=Dienste!$A$28,Dienste!$C$28,IF(J35=Dienste!#REF!,Dienste!#REF!,IF(J35=Dienste!#REF!,Dienste!#REF!,IF(J35=Dienste!#REF!,Dienste!#REF!,IF(J35=Dienste!#REF!,Dienste!#REF!,IF(J35=Dienste!$A$33,Dienste!$C$33,IF(J35=Dienste!$A$34,Dienste!$C$34,IF(J35=Dienste!$A$35,Dienste!$C$35,IF(J35=Dienste!$A$36,Dienste!$C$36,)))))))))))))))))))))))))))))))))))</f>
        <v>#REF!</v>
      </c>
      <c r="BE35" s="27" t="e">
        <f>IF(K35=Dienste!$A$2,Dienste!$C$2,IF(K35=Dienste!$A$3,Dienste!$C$3,IF(K35=Dienste!$A$4,Dienste!$C$4,IF(K35=Dienste!$A$5,Dienste!$C$5,IF(K35=Dienste!$A$6,Dienste!$C$6,IF(K35=Dienste!$A$7,Dienste!$C$7,IF(K35=Dienste!$A$8,Dienste!$C$8,IF(K35=Dienste!$A$9,Dienste!$C$9,IF(K35=Dienste!$A$10,Dienste!$C$10,IF(K35=Dienste!$A$11,Dienste!$C$11,IF(K35=Dienste!$A$12,Dienste!$C$12,IF(K35=Dienste!$A$13,Dienste!$C$13,IF(K35=Dienste!$A$14,Dienste!$C$14,IF(K35=Dienste!$A$15,Dienste!$C$15,IF(K35=Dienste!$A$16,Dienste!$C$16,IF(K35=Dienste!$A$17,Dienste!$C$17,IF(K35=Dienste!$A$18,Dienste!$C$18,IF(K35=Dienste!$A$19,Dienste!$C$19,IF(K35=Dienste!$A$20,Dienste!$C$20,IF(K35=Dienste!$A$21,Dienste!$C$21,IF(K35=Dienste!$A$22,Dienste!$C$22,IF(K35=Dienste!$A$23,Dienste!$C$23,IF(K35=Dienste!$A$24,Dienste!$C$24,IF(K35=Dienste!$A$25,Dienste!$C$25,IF(K35=Dienste!$A$26,Dienste!$C$26,IF(K35=Dienste!$A$27,Dienste!$C$27,IF(K35=Dienste!$A$28,Dienste!$C$28,IF(K35=Dienste!#REF!,Dienste!#REF!,IF(K35=Dienste!#REF!,Dienste!#REF!,IF(K35=Dienste!#REF!,Dienste!#REF!,IF(K35=Dienste!#REF!,Dienste!#REF!,IF(K35=Dienste!$A$33,Dienste!$C$33,IF(K35=Dienste!$A$34,Dienste!$C$34,IF(K35=Dienste!$A$35,Dienste!$C$35,IF(K35=Dienste!$A$36,Dienste!$C$36,)))))))))))))))))))))))))))))))))))</f>
        <v>#REF!</v>
      </c>
      <c r="BF35" s="27" t="e">
        <f>IF(L35=Dienste!$A$2,Dienste!$C$2,IF(L35=Dienste!$A$3,Dienste!$C$3,IF(L35=Dienste!$A$4,Dienste!$C$4,IF(L35=Dienste!$A$5,Dienste!$C$5,IF(L35=Dienste!$A$6,Dienste!$C$6,IF(L35=Dienste!$A$7,Dienste!$C$7,IF(L35=Dienste!$A$8,Dienste!$C$8,IF(L35=Dienste!$A$9,Dienste!$C$9,IF(L35=Dienste!$A$10,Dienste!$C$10,IF(L35=Dienste!$A$11,Dienste!$C$11,IF(L35=Dienste!$A$12,Dienste!$C$12,IF(L35=Dienste!$A$13,Dienste!$C$13,IF(L35=Dienste!$A$14,Dienste!$C$14,IF(L35=Dienste!$A$15,Dienste!$C$15,IF(L35=Dienste!$A$16,Dienste!$C$16,IF(L35=Dienste!$A$17,Dienste!$C$17,IF(L35=Dienste!$A$18,Dienste!$C$18,IF(L35=Dienste!$A$19,Dienste!$C$19,IF(L35=Dienste!$A$20,Dienste!$C$20,IF(L35=Dienste!$A$21,Dienste!$C$21,IF(L35=Dienste!$A$22,Dienste!$C$22,IF(L35=Dienste!$A$23,Dienste!$C$23,IF(L35=Dienste!$A$24,Dienste!$C$24,IF(L35=Dienste!$A$25,Dienste!$C$25,IF(L35=Dienste!$A$26,Dienste!$C$26,IF(L35=Dienste!$A$27,Dienste!$C$27,IF(L35=Dienste!$A$28,Dienste!$C$28,IF(L35=Dienste!#REF!,Dienste!#REF!,IF(L35=Dienste!#REF!,Dienste!#REF!,IF(L35=Dienste!#REF!,Dienste!#REF!,IF(L35=Dienste!#REF!,Dienste!#REF!,IF(L35=Dienste!$A$33,Dienste!$C$33,IF(L35=Dienste!$A$34,Dienste!$C$34,IF(L35=Dienste!$A$35,Dienste!$C$35,IF(L35=Dienste!$A$36,Dienste!$C$36,)))))))))))))))))))))))))))))))))))</f>
        <v>#REF!</v>
      </c>
      <c r="BG35" s="27" t="e">
        <f>IF(M35=Dienste!$A$2,Dienste!$C$2,IF(M35=Dienste!$A$3,Dienste!$C$3,IF(M35=Dienste!$A$4,Dienste!$C$4,IF(M35=Dienste!$A$5,Dienste!$C$5,IF(M35=Dienste!$A$6,Dienste!$C$6,IF(M35=Dienste!$A$7,Dienste!$C$7,IF(M35=Dienste!$A$8,Dienste!$C$8,IF(M35=Dienste!$A$9,Dienste!$C$9,IF(M35=Dienste!$A$10,Dienste!$C$10,IF(M35=Dienste!$A$11,Dienste!$C$11,IF(M35=Dienste!$A$12,Dienste!$C$12,IF(M35=Dienste!$A$13,Dienste!$C$13,IF(M35=Dienste!$A$14,Dienste!$C$14,IF(M35=Dienste!$A$15,Dienste!$C$15,IF(M35=Dienste!$A$16,Dienste!$C$16,IF(M35=Dienste!$A$17,Dienste!$C$17,IF(M35=Dienste!$A$18,Dienste!$C$18,IF(M35=Dienste!$A$19,Dienste!$C$19,IF(M35=Dienste!$A$20,Dienste!$C$20,IF(M35=Dienste!$A$21,Dienste!$C$21,IF(M35=Dienste!$A$22,Dienste!$C$22,IF(M35=Dienste!$A$23,Dienste!$C$23,IF(M35=Dienste!$A$24,Dienste!$C$24,IF(M35=Dienste!$A$25,Dienste!$C$25,IF(M35=Dienste!$A$26,Dienste!$C$26,IF(M35=Dienste!$A$27,Dienste!$C$27,IF(M35=Dienste!$A$28,Dienste!$C$28,IF(M35=Dienste!#REF!,Dienste!#REF!,IF(M35=Dienste!#REF!,Dienste!#REF!,IF(M35=Dienste!#REF!,Dienste!#REF!,IF(M35=Dienste!#REF!,Dienste!#REF!,IF(M35=Dienste!$A$33,Dienste!$C$33,IF(M35=Dienste!$A$34,Dienste!$C$34,IF(M35=Dienste!$A$35,Dienste!$C$35,IF(M35=Dienste!$A$36,Dienste!$C$36,)))))))))))))))))))))))))))))))))))</f>
        <v>#REF!</v>
      </c>
      <c r="BH35" s="27" t="e">
        <f>IF(N35=Dienste!$A$2,Dienste!$C$2,IF(N35=Dienste!$A$3,Dienste!$C$3,IF(N35=Dienste!$A$4,Dienste!$C$4,IF(N35=Dienste!$A$5,Dienste!$C$5,IF(N35=Dienste!$A$6,Dienste!$C$6,IF(N35=Dienste!$A$7,Dienste!$C$7,IF(N35=Dienste!$A$8,Dienste!$C$8,IF(N35=Dienste!$A$9,Dienste!$C$9,IF(N35=Dienste!$A$10,Dienste!$C$10,IF(N35=Dienste!$A$11,Dienste!$C$11,IF(N35=Dienste!$A$12,Dienste!$C$12,IF(N35=Dienste!$A$13,Dienste!$C$13,IF(N35=Dienste!$A$14,Dienste!$C$14,IF(N35=Dienste!$A$15,Dienste!$C$15,IF(N35=Dienste!$A$16,Dienste!$C$16,IF(N35=Dienste!$A$17,Dienste!$C$17,IF(N35=Dienste!$A$18,Dienste!$C$18,IF(N35=Dienste!$A$19,Dienste!$C$19,IF(N35=Dienste!$A$20,Dienste!$C$20,IF(N35=Dienste!$A$21,Dienste!$C$21,IF(N35=Dienste!$A$22,Dienste!$C$22,IF(N35=Dienste!$A$23,Dienste!$C$23,IF(N35=Dienste!$A$24,Dienste!$C$24,IF(N35=Dienste!$A$25,Dienste!$C$25,IF(N35=Dienste!$A$26,Dienste!$C$26,IF(N35=Dienste!$A$27,Dienste!$C$27,IF(N35=Dienste!$A$28,Dienste!$C$28,IF(N35=Dienste!#REF!,Dienste!#REF!,IF(N35=Dienste!#REF!,Dienste!#REF!,IF(N35=Dienste!#REF!,Dienste!#REF!,IF(N35=Dienste!#REF!,Dienste!#REF!,IF(N35=Dienste!$A$33,Dienste!$C$33,IF(N35=Dienste!$A$34,Dienste!$C$34,IF(N35=Dienste!$A$35,Dienste!$C$35,IF(N35=Dienste!$A$36,Dienste!$C$36,)))))))))))))))))))))))))))))))))))</f>
        <v>#REF!</v>
      </c>
      <c r="BI35" s="27" t="e">
        <f>IF(O35=Dienste!$A$2,Dienste!$C$2,IF(O35=Dienste!$A$3,Dienste!$C$3,IF(O35=Dienste!$A$4,Dienste!$C$4,IF(O35=Dienste!$A$5,Dienste!$C$5,IF(O35=Dienste!$A$6,Dienste!$C$6,IF(O35=Dienste!$A$7,Dienste!$C$7,IF(O35=Dienste!$A$8,Dienste!$C$8,IF(O35=Dienste!$A$9,Dienste!$C$9,IF(O35=Dienste!$A$10,Dienste!$C$10,IF(O35=Dienste!$A$11,Dienste!$C$11,IF(O35=Dienste!$A$12,Dienste!$C$12,IF(O35=Dienste!$A$13,Dienste!$C$13,IF(O35=Dienste!$A$14,Dienste!$C$14,IF(O35=Dienste!$A$15,Dienste!$C$15,IF(O35=Dienste!$A$16,Dienste!$C$16,IF(O35=Dienste!$A$17,Dienste!$C$17,IF(O35=Dienste!$A$18,Dienste!$C$18,IF(O35=Dienste!$A$19,Dienste!$C$19,IF(O35=Dienste!$A$20,Dienste!$C$20,IF(O35=Dienste!$A$21,Dienste!$C$21,IF(O35=Dienste!$A$22,Dienste!$C$22,IF(O35=Dienste!$A$23,Dienste!$C$23,IF(O35=Dienste!$A$24,Dienste!$C$24,IF(O35=Dienste!$A$25,Dienste!$C$25,IF(O35=Dienste!$A$26,Dienste!$C$26,IF(O35=Dienste!$A$27,Dienste!$C$27,IF(O35=Dienste!$A$28,Dienste!$C$28,IF(O35=Dienste!#REF!,Dienste!#REF!,IF(O35=Dienste!#REF!,Dienste!#REF!,IF(O35=Dienste!#REF!,Dienste!#REF!,IF(O35=Dienste!#REF!,Dienste!#REF!,IF(O35=Dienste!$A$33,Dienste!$C$33,IF(O35=Dienste!$A$34,Dienste!$C$34,IF(O35=Dienste!$A$35,Dienste!$C$35,IF(O35=Dienste!$A$36,Dienste!$C$36,)))))))))))))))))))))))))))))))))))</f>
        <v>#REF!</v>
      </c>
      <c r="BJ35" s="27" t="e">
        <f>IF(P35=Dienste!$A$2,Dienste!$C$2,IF(P35=Dienste!$A$3,Dienste!$C$3,IF(P35=Dienste!$A$4,Dienste!$C$4,IF(P35=Dienste!$A$5,Dienste!$C$5,IF(P35=Dienste!$A$6,Dienste!$C$6,IF(P35=Dienste!$A$7,Dienste!$C$7,IF(P35=Dienste!$A$8,Dienste!$C$8,IF(P35=Dienste!$A$9,Dienste!$C$9,IF(P35=Dienste!$A$10,Dienste!$C$10,IF(P35=Dienste!$A$11,Dienste!$C$11,IF(P35=Dienste!$A$12,Dienste!$C$12,IF(P35=Dienste!$A$13,Dienste!$C$13,IF(P35=Dienste!$A$14,Dienste!$C$14,IF(P35=Dienste!$A$15,Dienste!$C$15,IF(P35=Dienste!$A$16,Dienste!$C$16,IF(P35=Dienste!$A$17,Dienste!$C$17,IF(P35=Dienste!$A$18,Dienste!$C$18,IF(P35=Dienste!$A$19,Dienste!$C$19,IF(P35=Dienste!$A$20,Dienste!$C$20,IF(P35=Dienste!$A$21,Dienste!$C$21,IF(P35=Dienste!$A$22,Dienste!$C$22,IF(P35=Dienste!$A$23,Dienste!$C$23,IF(P35=Dienste!$A$24,Dienste!$C$24,IF(P35=Dienste!$A$25,Dienste!$C$25,IF(P35=Dienste!$A$26,Dienste!$C$26,IF(P35=Dienste!$A$27,Dienste!$C$27,IF(P35=Dienste!$A$28,Dienste!$C$28,IF(P35=Dienste!#REF!,Dienste!#REF!,IF(P35=Dienste!#REF!,Dienste!#REF!,IF(P35=Dienste!#REF!,Dienste!#REF!,IF(P35=Dienste!#REF!,Dienste!#REF!,IF(P35=Dienste!$A$33,Dienste!$C$33,IF(P35=Dienste!$A$34,Dienste!$C$34,IF(P35=Dienste!$A$35,Dienste!$C$35,IF(P35=Dienste!$A$36,Dienste!$C$36,)))))))))))))))))))))))))))))))))))</f>
        <v>#REF!</v>
      </c>
      <c r="BK35" s="27" t="e">
        <f>IF(Q35=Dienste!$A$2,Dienste!$C$2,IF(Q35=Dienste!$A$3,Dienste!$C$3,IF(Q35=Dienste!$A$4,Dienste!$C$4,IF(Q35=Dienste!$A$5,Dienste!$C$5,IF(Q35=Dienste!$A$6,Dienste!$C$6,IF(Q35=Dienste!$A$7,Dienste!$C$7,IF(Q35=Dienste!$A$8,Dienste!$C$8,IF(Q35=Dienste!$A$9,Dienste!$C$9,IF(Q35=Dienste!$A$10,Dienste!$C$10,IF(Q35=Dienste!$A$11,Dienste!$C$11,IF(Q35=Dienste!$A$12,Dienste!$C$12,IF(Q35=Dienste!$A$13,Dienste!$C$13,IF(Q35=Dienste!$A$14,Dienste!$C$14,IF(Q35=Dienste!$A$15,Dienste!$C$15,IF(Q35=Dienste!$A$16,Dienste!$C$16,IF(Q35=Dienste!$A$17,Dienste!$C$17,IF(Q35=Dienste!$A$18,Dienste!$C$18,IF(Q35=Dienste!$A$19,Dienste!$C$19,IF(Q35=Dienste!$A$20,Dienste!$C$20,IF(Q35=Dienste!$A$21,Dienste!$C$21,IF(Q35=Dienste!$A$22,Dienste!$C$22,IF(Q35=Dienste!$A$23,Dienste!$C$23,IF(Q35=Dienste!$A$24,Dienste!$C$24,IF(Q35=Dienste!$A$25,Dienste!$C$25,IF(Q35=Dienste!$A$26,Dienste!$C$26,IF(Q35=Dienste!$A$27,Dienste!$C$27,IF(Q35=Dienste!$A$28,Dienste!$C$28,IF(Q35=Dienste!#REF!,Dienste!#REF!,IF(Q35=Dienste!#REF!,Dienste!#REF!,IF(Q35=Dienste!#REF!,Dienste!#REF!,IF(Q35=Dienste!#REF!,Dienste!#REF!,IF(Q35=Dienste!$A$33,Dienste!$C$33,IF(Q35=Dienste!$A$34,Dienste!$C$34,IF(Q35=Dienste!$A$35,Dienste!$C$35,IF(Q35=Dienste!$A$36,Dienste!$C$36,)))))))))))))))))))))))))))))))))))</f>
        <v>#REF!</v>
      </c>
      <c r="BL35" s="27" t="e">
        <f>IF(R35=Dienste!$A$2,Dienste!$C$2,IF(R35=Dienste!$A$3,Dienste!$C$3,IF(R35=Dienste!$A$4,Dienste!$C$4,IF(R35=Dienste!$A$5,Dienste!$C$5,IF(R35=Dienste!$A$6,Dienste!$C$6,IF(R35=Dienste!$A$7,Dienste!$C$7,IF(R35=Dienste!$A$8,Dienste!$C$8,IF(R35=Dienste!$A$9,Dienste!$C$9,IF(R35=Dienste!$A$10,Dienste!$C$10,IF(R35=Dienste!$A$11,Dienste!$C$11,IF(R35=Dienste!$A$12,Dienste!$C$12,IF(R35=Dienste!$A$13,Dienste!$C$13,IF(R35=Dienste!$A$14,Dienste!$C$14,IF(R35=Dienste!$A$15,Dienste!$C$15,IF(R35=Dienste!$A$16,Dienste!$C$16,IF(R35=Dienste!$A$17,Dienste!$C$17,IF(R35=Dienste!$A$18,Dienste!$C$18,IF(R35=Dienste!$A$19,Dienste!$C$19,IF(R35=Dienste!$A$20,Dienste!$C$20,IF(R35=Dienste!$A$21,Dienste!$C$21,IF(R35=Dienste!$A$22,Dienste!$C$22,IF(R35=Dienste!$A$23,Dienste!$C$23,IF(R35=Dienste!$A$24,Dienste!$C$24,IF(R35=Dienste!$A$25,Dienste!$C$25,IF(R35=Dienste!$A$26,Dienste!$C$26,IF(R35=Dienste!$A$27,Dienste!$C$27,IF(R35=Dienste!$A$28,Dienste!$C$28,IF(R35=Dienste!#REF!,Dienste!#REF!,IF(R35=Dienste!#REF!,Dienste!#REF!,IF(R35=Dienste!#REF!,Dienste!#REF!,IF(R35=Dienste!#REF!,Dienste!#REF!,IF(R35=Dienste!$A$33,Dienste!$C$33,IF(R35=Dienste!$A$34,Dienste!$C$34,IF(R35=Dienste!$A$35,Dienste!$C$35,IF(R35=Dienste!$A$36,Dienste!$C$36,)))))))))))))))))))))))))))))))))))</f>
        <v>#REF!</v>
      </c>
      <c r="BM35" s="27" t="e">
        <f>IF(S35=Dienste!$A$2,Dienste!$C$2,IF(S35=Dienste!$A$3,Dienste!$C$3,IF(S35=Dienste!$A$4,Dienste!$C$4,IF(S35=Dienste!$A$5,Dienste!$C$5,IF(S35=Dienste!$A$6,Dienste!$C$6,IF(S35=Dienste!$A$7,Dienste!$C$7,IF(S35=Dienste!$A$8,Dienste!$C$8,IF(S35=Dienste!$A$9,Dienste!$C$9,IF(S35=Dienste!$A$10,Dienste!$C$10,IF(S35=Dienste!$A$11,Dienste!$C$11,IF(S35=Dienste!$A$12,Dienste!$C$12,IF(S35=Dienste!$A$13,Dienste!$C$13,IF(S35=Dienste!$A$14,Dienste!$C$14,IF(S35=Dienste!$A$15,Dienste!$C$15,IF(S35=Dienste!$A$16,Dienste!$C$16,IF(S35=Dienste!$A$17,Dienste!$C$17,IF(S35=Dienste!$A$18,Dienste!$C$18,IF(S35=Dienste!$A$19,Dienste!$C$19,IF(S35=Dienste!$A$20,Dienste!$C$20,IF(S35=Dienste!$A$21,Dienste!$C$21,IF(S35=Dienste!$A$22,Dienste!$C$22,IF(S35=Dienste!$A$23,Dienste!$C$23,IF(S35=Dienste!$A$24,Dienste!$C$24,IF(S35=Dienste!$A$25,Dienste!$C$25,IF(S35=Dienste!$A$26,Dienste!$C$26,IF(S35=Dienste!$A$27,Dienste!$C$27,IF(S35=Dienste!$A$28,Dienste!$C$28,IF(S35=Dienste!#REF!,Dienste!#REF!,IF(S35=Dienste!#REF!,Dienste!#REF!,IF(S35=Dienste!#REF!,Dienste!#REF!,IF(S35=Dienste!#REF!,Dienste!#REF!,IF(S35=Dienste!$A$33,Dienste!$C$33,IF(S35=Dienste!$A$34,Dienste!$C$34,IF(S35=Dienste!$A$35,Dienste!$C$35,IF(S35=Dienste!$A$36,Dienste!$C$36,)))))))))))))))))))))))))))))))))))</f>
        <v>#REF!</v>
      </c>
      <c r="BN35" s="27" t="e">
        <f>IF(T35=Dienste!$A$2,Dienste!$C$2,IF(T35=Dienste!$A$3,Dienste!$C$3,IF(T35=Dienste!$A$4,Dienste!$C$4,IF(T35=Dienste!$A$5,Dienste!$C$5,IF(T35=Dienste!$A$6,Dienste!$C$6,IF(T35=Dienste!$A$7,Dienste!$C$7,IF(T35=Dienste!$A$8,Dienste!$C$8,IF(T35=Dienste!$A$9,Dienste!$C$9,IF(T35=Dienste!$A$10,Dienste!$C$10,IF(T35=Dienste!$A$11,Dienste!$C$11,IF(T35=Dienste!$A$12,Dienste!$C$12,IF(T35=Dienste!$A$13,Dienste!$C$13,IF(T35=Dienste!$A$14,Dienste!$C$14,IF(T35=Dienste!$A$15,Dienste!$C$15,IF(T35=Dienste!$A$16,Dienste!$C$16,IF(T35=Dienste!$A$17,Dienste!$C$17,IF(T35=Dienste!$A$18,Dienste!$C$18,IF(T35=Dienste!$A$19,Dienste!$C$19,IF(T35=Dienste!$A$20,Dienste!$C$20,IF(T35=Dienste!$A$21,Dienste!$C$21,IF(T35=Dienste!$A$22,Dienste!$C$22,IF(T35=Dienste!$A$23,Dienste!$C$23,IF(T35=Dienste!$A$24,Dienste!$C$24,IF(T35=Dienste!$A$25,Dienste!$C$25,IF(T35=Dienste!$A$26,Dienste!$C$26,IF(T35=Dienste!$A$27,Dienste!$C$27,IF(T35=Dienste!$A$28,Dienste!$C$28,IF(T35=Dienste!#REF!,Dienste!#REF!,IF(T35=Dienste!#REF!,Dienste!#REF!,IF(T35=Dienste!#REF!,Dienste!#REF!,IF(T35=Dienste!#REF!,Dienste!#REF!,IF(T35=Dienste!$A$33,Dienste!$C$33,IF(T35=Dienste!$A$34,Dienste!$C$34,IF(T35=Dienste!$A$35,Dienste!$C$35,IF(T35=Dienste!$A$36,Dienste!$C$36,)))))))))))))))))))))))))))))))))))</f>
        <v>#REF!</v>
      </c>
      <c r="BO35" s="27" t="e">
        <f>IF(U35=Dienste!$A$2,Dienste!$C$2,IF(U35=Dienste!$A$3,Dienste!$C$3,IF(U35=Dienste!$A$4,Dienste!$C$4,IF(U35=Dienste!$A$5,Dienste!$C$5,IF(U35=Dienste!$A$6,Dienste!$C$6,IF(U35=Dienste!$A$7,Dienste!$C$7,IF(U35=Dienste!$A$8,Dienste!$C$8,IF(U35=Dienste!$A$9,Dienste!$C$9,IF(U35=Dienste!$A$10,Dienste!$C$10,IF(U35=Dienste!$A$11,Dienste!$C$11,IF(U35=Dienste!$A$12,Dienste!$C$12,IF(U35=Dienste!$A$13,Dienste!$C$13,IF(U35=Dienste!$A$14,Dienste!$C$14,IF(U35=Dienste!$A$15,Dienste!$C$15,IF(U35=Dienste!$A$16,Dienste!$C$16,IF(U35=Dienste!$A$17,Dienste!$C$17,IF(U35=Dienste!$A$18,Dienste!$C$18,IF(U35=Dienste!$A$19,Dienste!$C$19,IF(U35=Dienste!$A$20,Dienste!$C$20,IF(U35=Dienste!$A$21,Dienste!$C$21,IF(U35=Dienste!$A$22,Dienste!$C$22,IF(U35=Dienste!$A$23,Dienste!$C$23,IF(U35=Dienste!$A$24,Dienste!$C$24,IF(U35=Dienste!$A$25,Dienste!$C$25,IF(U35=Dienste!$A$26,Dienste!$C$26,IF(U35=Dienste!$A$27,Dienste!$C$27,IF(U35=Dienste!$A$28,Dienste!$C$28,IF(U35=Dienste!#REF!,Dienste!#REF!,IF(U35=Dienste!#REF!,Dienste!#REF!,IF(U35=Dienste!#REF!,Dienste!#REF!,IF(U35=Dienste!#REF!,Dienste!#REF!,IF(U35=Dienste!$A$33,Dienste!$C$33,IF(U35=Dienste!$A$34,Dienste!$C$34,IF(U35=Dienste!$A$35,Dienste!$C$35,IF(U35=Dienste!$A$36,Dienste!$C$36,)))))))))))))))))))))))))))))))))))</f>
        <v>#REF!</v>
      </c>
      <c r="BP35" s="27" t="e">
        <f>IF(V35=Dienste!$A$2,Dienste!$C$2,IF(V35=Dienste!$A$3,Dienste!$C$3,IF(V35=Dienste!$A$4,Dienste!$C$4,IF(V35=Dienste!$A$5,Dienste!$C$5,IF(V35=Dienste!$A$6,Dienste!$C$6,IF(V35=Dienste!$A$7,Dienste!$C$7,IF(V35=Dienste!$A$8,Dienste!$C$8,IF(V35=Dienste!$A$9,Dienste!$C$9,IF(V35=Dienste!$A$10,Dienste!$C$10,IF(V35=Dienste!$A$11,Dienste!$C$11,IF(V35=Dienste!$A$12,Dienste!$C$12,IF(V35=Dienste!$A$13,Dienste!$C$13,IF(V35=Dienste!$A$14,Dienste!$C$14,IF(V35=Dienste!$A$15,Dienste!$C$15,IF(V35=Dienste!$A$16,Dienste!$C$16,IF(V35=Dienste!$A$17,Dienste!$C$17,IF(V35=Dienste!$A$18,Dienste!$C$18,IF(V35=Dienste!$A$19,Dienste!$C$19,IF(V35=Dienste!$A$20,Dienste!$C$20,IF(V35=Dienste!$A$21,Dienste!$C$21,IF(V35=Dienste!$A$22,Dienste!$C$22,IF(V35=Dienste!$A$23,Dienste!$C$23,IF(V35=Dienste!$A$24,Dienste!$C$24,IF(V35=Dienste!$A$25,Dienste!$C$25,IF(V35=Dienste!$A$26,Dienste!$C$26,IF(V35=Dienste!$A$27,Dienste!$C$27,IF(V35=Dienste!$A$28,Dienste!$C$28,IF(V35=Dienste!#REF!,Dienste!#REF!,IF(V35=Dienste!#REF!,Dienste!#REF!,IF(V35=Dienste!#REF!,Dienste!#REF!,IF(V35=Dienste!#REF!,Dienste!#REF!,IF(V35=Dienste!$A$33,Dienste!$C$33,IF(V35=Dienste!$A$34,Dienste!$C$34,IF(V35=Dienste!$A$35,Dienste!$C$35,IF(V35=Dienste!$A$36,Dienste!$C$36,)))))))))))))))))))))))))))))))))))</f>
        <v>#REF!</v>
      </c>
      <c r="BQ35" s="27" t="e">
        <f>IF(W35=Dienste!$A$2,Dienste!$C$2,IF(W35=Dienste!$A$3,Dienste!$C$3,IF(W35=Dienste!$A$4,Dienste!$C$4,IF(W35=Dienste!$A$5,Dienste!$C$5,IF(W35=Dienste!$A$6,Dienste!$C$6,IF(W35=Dienste!$A$7,Dienste!$C$7,IF(W35=Dienste!$A$8,Dienste!$C$8,IF(W35=Dienste!$A$9,Dienste!$C$9,IF(W35=Dienste!$A$10,Dienste!$C$10,IF(W35=Dienste!$A$11,Dienste!$C$11,IF(W35=Dienste!$A$12,Dienste!$C$12,IF(W35=Dienste!$A$13,Dienste!$C$13,IF(W35=Dienste!$A$14,Dienste!$C$14,IF(W35=Dienste!$A$15,Dienste!$C$15,IF(W35=Dienste!$A$16,Dienste!$C$16,IF(W35=Dienste!$A$17,Dienste!$C$17,IF(W35=Dienste!$A$18,Dienste!$C$18,IF(W35=Dienste!$A$19,Dienste!$C$19,IF(W35=Dienste!$A$20,Dienste!$C$20,IF(W35=Dienste!$A$21,Dienste!$C$21,IF(W35=Dienste!$A$22,Dienste!$C$22,IF(W35=Dienste!$A$23,Dienste!$C$23,IF(W35=Dienste!$A$24,Dienste!$C$24,IF(W35=Dienste!$A$25,Dienste!$C$25,IF(W35=Dienste!$A$26,Dienste!$C$26,IF(W35=Dienste!$A$27,Dienste!$C$27,IF(W35=Dienste!$A$28,Dienste!$C$28,IF(W35=Dienste!#REF!,Dienste!#REF!,IF(W35=Dienste!#REF!,Dienste!#REF!,IF(W35=Dienste!#REF!,Dienste!#REF!,IF(W35=Dienste!#REF!,Dienste!#REF!,IF(W35=Dienste!$A$33,Dienste!$C$33,IF(W35=Dienste!$A$34,Dienste!$C$34,IF(W35=Dienste!$A$35,Dienste!$C$35,IF(W35=Dienste!$A$36,Dienste!$C$36,)))))))))))))))))))))))))))))))))))</f>
        <v>#REF!</v>
      </c>
      <c r="BR35" s="27" t="e">
        <f>IF(X35=Dienste!$A$2,Dienste!$C$2,IF(X35=Dienste!$A$3,Dienste!$C$3,IF(X35=Dienste!$A$4,Dienste!$C$4,IF(X35=Dienste!$A$5,Dienste!$C$5,IF(X35=Dienste!$A$6,Dienste!$C$6,IF(X35=Dienste!$A$7,Dienste!$C$7,IF(X35=Dienste!$A$8,Dienste!$C$8,IF(X35=Dienste!$A$9,Dienste!$C$9,IF(X35=Dienste!$A$10,Dienste!$C$10,IF(X35=Dienste!$A$11,Dienste!$C$11,IF(X35=Dienste!$A$12,Dienste!$C$12,IF(X35=Dienste!$A$13,Dienste!$C$13,IF(X35=Dienste!$A$14,Dienste!$C$14,IF(X35=Dienste!$A$15,Dienste!$C$15,IF(X35=Dienste!$A$16,Dienste!$C$16,IF(X35=Dienste!$A$17,Dienste!$C$17,IF(X35=Dienste!$A$18,Dienste!$C$18,IF(X35=Dienste!$A$19,Dienste!$C$19,IF(X35=Dienste!$A$20,Dienste!$C$20,IF(X35=Dienste!$A$21,Dienste!$C$21,IF(X35=Dienste!$A$22,Dienste!$C$22,IF(X35=Dienste!$A$23,Dienste!$C$23,IF(X35=Dienste!$A$24,Dienste!$C$24,IF(X35=Dienste!$A$25,Dienste!$C$25,IF(X35=Dienste!$A$26,Dienste!$C$26,IF(X35=Dienste!$A$27,Dienste!$C$27,IF(X35=Dienste!$A$28,Dienste!$C$28,IF(X35=Dienste!#REF!,Dienste!#REF!,IF(X35=Dienste!#REF!,Dienste!#REF!,IF(X35=Dienste!#REF!,Dienste!#REF!,IF(X35=Dienste!#REF!,Dienste!#REF!,IF(X35=Dienste!$A$33,Dienste!$C$33,IF(X35=Dienste!$A$34,Dienste!$C$34,IF(X35=Dienste!$A$35,Dienste!$C$35,IF(X35=Dienste!$A$36,Dienste!$C$36,)))))))))))))))))))))))))))))))))))</f>
        <v>#REF!</v>
      </c>
      <c r="BS35" s="27" t="e">
        <f>IF(Y35=Dienste!$A$2,Dienste!$C$2,IF(Y35=Dienste!$A$3,Dienste!$C$3,IF(Y35=Dienste!$A$4,Dienste!$C$4,IF(Y35=Dienste!$A$5,Dienste!$C$5,IF(Y35=Dienste!$A$6,Dienste!$C$6,IF(Y35=Dienste!$A$7,Dienste!$C$7,IF(Y35=Dienste!$A$8,Dienste!$C$8,IF(Y35=Dienste!$A$9,Dienste!$C$9,IF(Y35=Dienste!$A$10,Dienste!$C$10,IF(Y35=Dienste!$A$11,Dienste!$C$11,IF(Y35=Dienste!$A$12,Dienste!$C$12,IF(Y35=Dienste!$A$13,Dienste!$C$13,IF(Y35=Dienste!$A$14,Dienste!$C$14,IF(Y35=Dienste!$A$15,Dienste!$C$15,IF(Y35=Dienste!$A$16,Dienste!$C$16,IF(Y35=Dienste!$A$17,Dienste!$C$17,IF(Y35=Dienste!$A$18,Dienste!$C$18,IF(Y35=Dienste!$A$19,Dienste!$C$19,IF(Y35=Dienste!$A$20,Dienste!$C$20,IF(Y35=Dienste!$A$21,Dienste!$C$21,IF(Y35=Dienste!$A$22,Dienste!$C$22,IF(Y35=Dienste!$A$23,Dienste!$C$23,IF(Y35=Dienste!$A$24,Dienste!$C$24,IF(Y35=Dienste!$A$25,Dienste!$C$25,IF(Y35=Dienste!$A$26,Dienste!$C$26,IF(Y35=Dienste!$A$27,Dienste!$C$27,IF(Y35=Dienste!$A$28,Dienste!$C$28,IF(Y35=Dienste!#REF!,Dienste!#REF!,IF(Y35=Dienste!#REF!,Dienste!#REF!,IF(Y35=Dienste!#REF!,Dienste!#REF!,IF(Y35=Dienste!#REF!,Dienste!#REF!,IF(Y35=Dienste!$A$33,Dienste!$C$33,IF(Y35=Dienste!$A$34,Dienste!$C$34,IF(Y35=Dienste!$A$35,Dienste!$C$35,IF(Y35=Dienste!$A$36,Dienste!$C$36,)))))))))))))))))))))))))))))))))))</f>
        <v>#REF!</v>
      </c>
      <c r="BT35" s="27" t="e">
        <f>IF(Z35=Dienste!$A$2,Dienste!$C$2,IF(Z35=Dienste!$A$3,Dienste!$C$3,IF(Z35=Dienste!$A$4,Dienste!$C$4,IF(Z35=Dienste!$A$5,Dienste!$C$5,IF(Z35=Dienste!$A$6,Dienste!$C$6,IF(Z35=Dienste!$A$7,Dienste!$C$7,IF(Z35=Dienste!$A$8,Dienste!$C$8,IF(Z35=Dienste!$A$9,Dienste!$C$9,IF(Z35=Dienste!$A$10,Dienste!$C$10,IF(Z35=Dienste!$A$11,Dienste!$C$11,IF(Z35=Dienste!$A$12,Dienste!$C$12,IF(Z35=Dienste!$A$13,Dienste!$C$13,IF(Z35=Dienste!$A$14,Dienste!$C$14,IF(Z35=Dienste!$A$15,Dienste!$C$15,IF(Z35=Dienste!$A$16,Dienste!$C$16,IF(Z35=Dienste!$A$17,Dienste!$C$17,IF(Z35=Dienste!$A$18,Dienste!$C$18,IF(Z35=Dienste!$A$19,Dienste!$C$19,IF(Z35=Dienste!$A$20,Dienste!$C$20,IF(Z35=Dienste!$A$21,Dienste!$C$21,IF(Z35=Dienste!$A$22,Dienste!$C$22,IF(Z35=Dienste!$A$23,Dienste!$C$23,IF(Z35=Dienste!$A$24,Dienste!$C$24,IF(Z35=Dienste!$A$25,Dienste!$C$25,IF(Z35=Dienste!$A$26,Dienste!$C$26,IF(Z35=Dienste!$A$27,Dienste!$C$27,IF(Z35=Dienste!$A$28,Dienste!$C$28,IF(Z35=Dienste!#REF!,Dienste!#REF!,IF(Z35=Dienste!#REF!,Dienste!#REF!,IF(Z35=Dienste!#REF!,Dienste!#REF!,IF(Z35=Dienste!#REF!,Dienste!#REF!,IF(Z35=Dienste!$A$33,Dienste!$C$33,IF(Z35=Dienste!$A$34,Dienste!$C$34,IF(Z35=Dienste!$A$35,Dienste!$C$35,IF(Z35=Dienste!$A$36,Dienste!$C$36,)))))))))))))))))))))))))))))))))))</f>
        <v>#REF!</v>
      </c>
      <c r="BU35" s="27" t="e">
        <f>IF(AA35=Dienste!$A$2,Dienste!$C$2,IF(AA35=Dienste!$A$3,Dienste!$C$3,IF(AA35=Dienste!$A$4,Dienste!$C$4,IF(AA35=Dienste!$A$5,Dienste!$C$5,IF(AA35=Dienste!$A$6,Dienste!$C$6,IF(AA35=Dienste!$A$7,Dienste!$C$7,IF(AA35=Dienste!$A$8,Dienste!$C$8,IF(AA35=Dienste!$A$9,Dienste!$C$9,IF(AA35=Dienste!$A$10,Dienste!$C$10,IF(AA35=Dienste!$A$11,Dienste!$C$11,IF(AA35=Dienste!$A$12,Dienste!$C$12,IF(AA35=Dienste!$A$13,Dienste!$C$13,IF(AA35=Dienste!$A$14,Dienste!$C$14,IF(AA35=Dienste!$A$15,Dienste!$C$15,IF(AA35=Dienste!$A$16,Dienste!$C$16,IF(AA35=Dienste!$A$17,Dienste!$C$17,IF(AA35=Dienste!$A$18,Dienste!$C$18,IF(AA35=Dienste!$A$19,Dienste!$C$19,IF(AA35=Dienste!$A$20,Dienste!$C$20,IF(AA35=Dienste!$A$21,Dienste!$C$21,IF(AA35=Dienste!$A$22,Dienste!$C$22,IF(AA35=Dienste!$A$23,Dienste!$C$23,IF(AA35=Dienste!$A$24,Dienste!$C$24,IF(AA35=Dienste!$A$25,Dienste!$C$25,IF(AA35=Dienste!$A$26,Dienste!$C$26,IF(AA35=Dienste!$A$27,Dienste!$C$27,IF(AA35=Dienste!$A$28,Dienste!$C$28,IF(AA35=Dienste!#REF!,Dienste!#REF!,IF(AA35=Dienste!#REF!,Dienste!#REF!,IF(AA35=Dienste!#REF!,Dienste!#REF!,IF(AA35=Dienste!#REF!,Dienste!#REF!,IF(AA35=Dienste!$A$33,Dienste!$C$33,IF(AA35=Dienste!$A$34,Dienste!$C$34,IF(AA35=Dienste!$A$35,Dienste!$C$35,IF(AA35=Dienste!$A$36,Dienste!$C$36,)))))))))))))))))))))))))))))))))))</f>
        <v>#REF!</v>
      </c>
      <c r="BV35" s="27" t="e">
        <f>IF(AB35=Dienste!$A$2,Dienste!$C$2,IF(AB35=Dienste!$A$3,Dienste!$C$3,IF(AB35=Dienste!$A$4,Dienste!$C$4,IF(AB35=Dienste!$A$5,Dienste!$C$5,IF(AB35=Dienste!$A$6,Dienste!$C$6,IF(AB35=Dienste!$A$7,Dienste!$C$7,IF(AB35=Dienste!$A$8,Dienste!$C$8,IF(AB35=Dienste!$A$9,Dienste!$C$9,IF(AB35=Dienste!$A$10,Dienste!$C$10,IF(AB35=Dienste!$A$11,Dienste!$C$11,IF(AB35=Dienste!$A$12,Dienste!$C$12,IF(AB35=Dienste!$A$13,Dienste!$C$13,IF(AB35=Dienste!$A$14,Dienste!$C$14,IF(AB35=Dienste!$A$15,Dienste!$C$15,IF(AB35=Dienste!$A$16,Dienste!$C$16,IF(AB35=Dienste!$A$17,Dienste!$C$17,IF(AB35=Dienste!$A$18,Dienste!$C$18,IF(AB35=Dienste!$A$19,Dienste!$C$19,IF(AB35=Dienste!$A$20,Dienste!$C$20,IF(AB35=Dienste!$A$21,Dienste!$C$21,IF(AB35=Dienste!$A$22,Dienste!$C$22,IF(AB35=Dienste!$A$23,Dienste!$C$23,IF(AB35=Dienste!$A$24,Dienste!$C$24,IF(AB35=Dienste!$A$25,Dienste!$C$25,IF(AB35=Dienste!$A$26,Dienste!$C$26,IF(AB35=Dienste!$A$27,Dienste!$C$27,IF(AB35=Dienste!$A$28,Dienste!$C$28,IF(AB35=Dienste!#REF!,Dienste!#REF!,IF(AB35=Dienste!#REF!,Dienste!#REF!,IF(AB35=Dienste!#REF!,Dienste!#REF!,IF(AB35=Dienste!#REF!,Dienste!#REF!,IF(AB35=Dienste!$A$33,Dienste!$C$33,IF(AB35=Dienste!$A$34,Dienste!$C$34,IF(AB35=Dienste!$A$35,Dienste!$C$35,IF(AB35=Dienste!$A$36,Dienste!$C$36,)))))))))))))))))))))))))))))))))))</f>
        <v>#REF!</v>
      </c>
      <c r="BW35" s="27" t="e">
        <f>IF(AC35=Dienste!$A$2,Dienste!$C$2,IF(AC35=Dienste!$A$3,Dienste!$C$3,IF(AC35=Dienste!$A$4,Dienste!$C$4,IF(AC35=Dienste!$A$5,Dienste!$C$5,IF(AC35=Dienste!$A$6,Dienste!$C$6,IF(AC35=Dienste!$A$7,Dienste!$C$7,IF(AC35=Dienste!$A$8,Dienste!$C$8,IF(AC35=Dienste!$A$9,Dienste!$C$9,IF(AC35=Dienste!$A$10,Dienste!$C$10,IF(AC35=Dienste!$A$11,Dienste!$C$11,IF(AC35=Dienste!$A$12,Dienste!$C$12,IF(AC35=Dienste!$A$13,Dienste!$C$13,IF(AC35=Dienste!$A$14,Dienste!$C$14,IF(AC35=Dienste!$A$15,Dienste!$C$15,IF(AC35=Dienste!$A$16,Dienste!$C$16,IF(AC35=Dienste!$A$17,Dienste!$C$17,IF(AC35=Dienste!$A$18,Dienste!$C$18,IF(AC35=Dienste!$A$19,Dienste!$C$19,IF(AC35=Dienste!$A$20,Dienste!$C$20,IF(AC35=Dienste!$A$21,Dienste!$C$21,IF(AC35=Dienste!$A$22,Dienste!$C$22,IF(AC35=Dienste!$A$23,Dienste!$C$23,IF(AC35=Dienste!$A$24,Dienste!$C$24,IF(AC35=Dienste!$A$25,Dienste!$C$25,IF(AC35=Dienste!$A$26,Dienste!$C$26,IF(AC35=Dienste!$A$27,Dienste!$C$27,IF(AC35=Dienste!$A$28,Dienste!$C$28,IF(AC35=Dienste!#REF!,Dienste!#REF!,IF(AC35=Dienste!#REF!,Dienste!#REF!,IF(AC35=Dienste!#REF!,Dienste!#REF!,IF(AC35=Dienste!#REF!,Dienste!#REF!,IF(AC35=Dienste!$A$33,Dienste!$C$33,IF(AC35=Dienste!$A$34,Dienste!$C$34,IF(AC35=Dienste!$A$35,Dienste!$C$35,IF(AC35=Dienste!$A$36,Dienste!$C$36,)))))))))))))))))))))))))))))))))))</f>
        <v>#REF!</v>
      </c>
      <c r="BX35" s="27" t="e">
        <f>IF(AD35=Dienste!$A$2,Dienste!$C$2,IF(AD35=Dienste!$A$3,Dienste!$C$3,IF(AD35=Dienste!$A$4,Dienste!$C$4,IF(AD35=Dienste!$A$5,Dienste!$C$5,IF(AD35=Dienste!$A$6,Dienste!$C$6,IF(AD35=Dienste!$A$7,Dienste!$C$7,IF(AD35=Dienste!$A$8,Dienste!$C$8,IF(AD35=Dienste!$A$9,Dienste!$C$9,IF(AD35=Dienste!$A$10,Dienste!$C$10,IF(AD35=Dienste!$A$11,Dienste!$C$11,IF(AD35=Dienste!$A$12,Dienste!$C$12,IF(AD35=Dienste!$A$13,Dienste!$C$13,IF(AD35=Dienste!$A$14,Dienste!$C$14,IF(AD35=Dienste!$A$15,Dienste!$C$15,IF(AD35=Dienste!$A$16,Dienste!$C$16,IF(AD35=Dienste!$A$17,Dienste!$C$17,IF(AD35=Dienste!$A$18,Dienste!$C$18,IF(AD35=Dienste!$A$19,Dienste!$C$19,IF(AD35=Dienste!$A$20,Dienste!$C$20,IF(AD35=Dienste!$A$21,Dienste!$C$21,IF(AD35=Dienste!$A$22,Dienste!$C$22,IF(AD35=Dienste!$A$23,Dienste!$C$23,IF(AD35=Dienste!$A$24,Dienste!$C$24,IF(AD35=Dienste!$A$25,Dienste!$C$25,IF(AD35=Dienste!$A$26,Dienste!$C$26,IF(AD35=Dienste!$A$27,Dienste!$C$27,IF(AD35=Dienste!$A$28,Dienste!$C$28,IF(AD35=Dienste!#REF!,Dienste!#REF!,IF(AD35=Dienste!#REF!,Dienste!#REF!,IF(AD35=Dienste!#REF!,Dienste!#REF!,IF(AD35=Dienste!#REF!,Dienste!#REF!,IF(AD35=Dienste!$A$33,Dienste!$C$33,IF(AD35=Dienste!$A$34,Dienste!$C$34,IF(AD35=Dienste!$A$35,Dienste!$C$35,IF(AD35=Dienste!$A$36,Dienste!$C$36,)))))))))))))))))))))))))))))))))))</f>
        <v>#REF!</v>
      </c>
      <c r="BY35" s="27" t="e">
        <f>IF(AE35=Dienste!$A$2,Dienste!$C$2,IF(AE35=Dienste!$A$3,Dienste!$C$3,IF(AE35=Dienste!$A$4,Dienste!$C$4,IF(AE35=Dienste!$A$5,Dienste!$C$5,IF(AE35=Dienste!$A$6,Dienste!$C$6,IF(AE35=Dienste!$A$7,Dienste!$C$7,IF(AE35=Dienste!$A$8,Dienste!$C$8,IF(AE35=Dienste!$A$9,Dienste!$C$9,IF(AE35=Dienste!$A$10,Dienste!$C$10,IF(AE35=Dienste!$A$11,Dienste!$C$11,IF(AE35=Dienste!$A$12,Dienste!$C$12,IF(AE35=Dienste!$A$13,Dienste!$C$13,IF(AE35=Dienste!$A$14,Dienste!$C$14,IF(AE35=Dienste!$A$15,Dienste!$C$15,IF(AE35=Dienste!$A$16,Dienste!$C$16,IF(AE35=Dienste!$A$17,Dienste!$C$17,IF(AE35=Dienste!$A$18,Dienste!$C$18,IF(AE35=Dienste!$A$19,Dienste!$C$19,IF(AE35=Dienste!$A$20,Dienste!$C$20,IF(AE35=Dienste!$A$21,Dienste!$C$21,IF(AE35=Dienste!$A$22,Dienste!$C$22,IF(AE35=Dienste!$A$23,Dienste!$C$23,IF(AE35=Dienste!$A$24,Dienste!$C$24,IF(AE35=Dienste!$A$25,Dienste!$C$25,IF(AE35=Dienste!$A$26,Dienste!$C$26,IF(AE35=Dienste!$A$27,Dienste!$C$27,IF(AE35=Dienste!$A$28,Dienste!$C$28,IF(AE35=Dienste!#REF!,Dienste!#REF!,IF(AE35=Dienste!#REF!,Dienste!#REF!,IF(AE35=Dienste!#REF!,Dienste!#REF!,IF(AE35=Dienste!#REF!,Dienste!#REF!,IF(AE35=Dienste!$A$33,Dienste!$C$33,IF(AE35=Dienste!$A$34,Dienste!$C$34,IF(AE35=Dienste!$A$35,Dienste!$C$35,IF(AE35=Dienste!$A$36,Dienste!$C$36,)))))))))))))))))))))))))))))))))))</f>
        <v>#REF!</v>
      </c>
      <c r="BZ35" s="27" t="e">
        <f>IF(AF35=Dienste!$A$2,Dienste!$C$2,IF(AF35=Dienste!$A$3,Dienste!$C$3,IF(AF35=Dienste!$A$4,Dienste!$C$4,IF(AF35=Dienste!$A$5,Dienste!$C$5,IF(AF35=Dienste!$A$6,Dienste!$C$6,IF(AF35=Dienste!$A$7,Dienste!$C$7,IF(AF35=Dienste!$A$8,Dienste!$C$8,IF(AF35=Dienste!$A$9,Dienste!$C$9,IF(AF35=Dienste!$A$10,Dienste!$C$10,IF(AF35=Dienste!$A$11,Dienste!$C$11,IF(AF35=Dienste!$A$12,Dienste!$C$12,IF(AF35=Dienste!$A$13,Dienste!$C$13,IF(AF35=Dienste!$A$14,Dienste!$C$14,IF(AF35=Dienste!$A$15,Dienste!$C$15,IF(AF35=Dienste!$A$16,Dienste!$C$16,IF(AF35=Dienste!$A$17,Dienste!$C$17,IF(AF35=Dienste!$A$18,Dienste!$C$18,IF(AF35=Dienste!$A$19,Dienste!$C$19,IF(AF35=Dienste!$A$20,Dienste!$C$20,IF(AF35=Dienste!$A$21,Dienste!$C$21,IF(AF35=Dienste!$A$22,Dienste!$C$22,IF(AF35=Dienste!$A$23,Dienste!$C$23,IF(AF35=Dienste!$A$24,Dienste!$C$24,IF(AF35=Dienste!$A$25,Dienste!$C$25,IF(AF35=Dienste!$A$26,Dienste!$C$26,IF(AF35=Dienste!$A$27,Dienste!$C$27,IF(AF35=Dienste!$A$28,Dienste!$C$28,IF(AF35=Dienste!#REF!,Dienste!#REF!,IF(AF35=Dienste!#REF!,Dienste!#REF!,IF(AF35=Dienste!#REF!,Dienste!#REF!,IF(AF35=Dienste!#REF!,Dienste!#REF!,IF(AF35=Dienste!$A$33,Dienste!$C$33,IF(AF35=Dienste!$A$34,Dienste!$C$34,IF(AF35=Dienste!$A$35,Dienste!$C$35,IF(AF35=Dienste!$A$36,Dienste!$C$36,)))))))))))))))))))))))))))))))))))</f>
        <v>#REF!</v>
      </c>
      <c r="CA35" s="27" t="e">
        <f>IF(AG35=Dienste!$A$2,Dienste!$C$2,IF(AG35=Dienste!$A$3,Dienste!$C$3,IF(AG35=Dienste!$A$4,Dienste!$C$4,IF(AG35=Dienste!$A$5,Dienste!$C$5,IF(AG35=Dienste!$A$6,Dienste!$C$6,IF(AG35=Dienste!$A$7,Dienste!$C$7,IF(AG35=Dienste!$A$8,Dienste!$C$8,IF(AG35=Dienste!$A$9,Dienste!$C$9,IF(AG35=Dienste!$A$10,Dienste!$C$10,IF(AG35=Dienste!$A$11,Dienste!$C$11,IF(AG35=Dienste!$A$12,Dienste!$C$12,IF(AG35=Dienste!$A$13,Dienste!$C$13,IF(AG35=Dienste!$A$14,Dienste!$C$14,IF(AG35=Dienste!$A$15,Dienste!$C$15,IF(AG35=Dienste!$A$16,Dienste!$C$16,IF(AG35=Dienste!$A$17,Dienste!$C$17,IF(AG35=Dienste!$A$18,Dienste!$C$18,IF(AG35=Dienste!$A$19,Dienste!$C$19,IF(AG35=Dienste!$A$20,Dienste!$C$20,IF(AG35=Dienste!$A$21,Dienste!$C$21,IF(AG35=Dienste!$A$22,Dienste!$C$22,IF(AG35=Dienste!$A$23,Dienste!$C$23,IF(AG35=Dienste!$A$24,Dienste!$C$24,IF(AG35=Dienste!$A$25,Dienste!$C$25,IF(AG35=Dienste!$A$26,Dienste!$C$26,IF(AG35=Dienste!$A$27,Dienste!$C$27,IF(AG35=Dienste!$A$28,Dienste!$C$28,IF(AG35=Dienste!#REF!,Dienste!#REF!,IF(AG35=Dienste!#REF!,Dienste!#REF!,IF(AG35=Dienste!#REF!,Dienste!#REF!,IF(AG35=Dienste!#REF!,Dienste!#REF!,IF(AG35=Dienste!$A$33,Dienste!$C$33,IF(AG35=Dienste!$A$34,Dienste!$C$34,IF(AG35=Dienste!$A$35,Dienste!$C$35,IF(AG35=Dienste!$A$36,Dienste!$C$36,)))))))))))))))))))))))))))))))))))</f>
        <v>#REF!</v>
      </c>
      <c r="CB35" s="27" t="e">
        <f>IF(AH35=Dienste!$A$2,Dienste!$C$2,IF(AH35=Dienste!$A$3,Dienste!$C$3,IF(AH35=Dienste!$A$4,Dienste!$C$4,IF(AH35=Dienste!$A$5,Dienste!$C$5,IF(AH35=Dienste!$A$6,Dienste!$C$6,IF(AH35=Dienste!$A$7,Dienste!$C$7,IF(AH35=Dienste!$A$8,Dienste!$C$8,IF(AH35=Dienste!$A$9,Dienste!$C$9,IF(AH35=Dienste!$A$10,Dienste!$C$10,IF(AH35=Dienste!$A$11,Dienste!$C$11,IF(AH35=Dienste!$A$12,Dienste!$C$12,IF(AH35=Dienste!$A$13,Dienste!$C$13,IF(AH35=Dienste!$A$14,Dienste!$C$14,IF(AH35=Dienste!$A$15,Dienste!$C$15,IF(AH35=Dienste!$A$16,Dienste!$C$16,IF(AH35=Dienste!$A$17,Dienste!$C$17,IF(AH35=Dienste!$A$18,Dienste!$C$18,IF(AH35=Dienste!$A$19,Dienste!$C$19,IF(AH35=Dienste!$A$20,Dienste!$C$20,IF(AH35=Dienste!$A$21,Dienste!$C$21,IF(AH35=Dienste!$A$22,Dienste!$C$22,IF(AH35=Dienste!$A$23,Dienste!$C$23,IF(AH35=Dienste!$A$24,Dienste!$C$24,IF(AH35=Dienste!$A$25,Dienste!$C$25,IF(AH35=Dienste!$A$26,Dienste!$C$26,IF(AH35=Dienste!$A$27,Dienste!$C$27,IF(AH35=Dienste!$A$28,Dienste!$C$28,IF(AH35=Dienste!#REF!,Dienste!#REF!,IF(AH35=Dienste!#REF!,Dienste!#REF!,IF(AH35=Dienste!#REF!,Dienste!#REF!,IF(AH35=Dienste!#REF!,Dienste!#REF!,IF(AH35=Dienste!$A$33,Dienste!$C$33,IF(AH35=Dienste!$A$34,Dienste!$C$34,IF(AH35=Dienste!$A$35,Dienste!$C$35,IF(AH35=Dienste!$A$36,Dienste!$C$36,)))))))))))))))))))))))))))))))))))</f>
        <v>#REF!</v>
      </c>
      <c r="CC35" s="27" t="e">
        <f>IF(AI35=Dienste!$A$2,Dienste!$C$2,IF(AI35=Dienste!$A$3,Dienste!$C$3,IF(AI35=Dienste!$A$4,Dienste!$C$4,IF(AI35=Dienste!$A$5,Dienste!$C$5,IF(AI35=Dienste!$A$6,Dienste!$C$6,IF(AI35=Dienste!$A$7,Dienste!$C$7,IF(AI35=Dienste!$A$8,Dienste!$C$8,IF(AI35=Dienste!$A$9,Dienste!$C$9,IF(AI35=Dienste!$A$10,Dienste!$C$10,IF(AI35=Dienste!$A$11,Dienste!$C$11,IF(AI35=Dienste!$A$12,Dienste!$C$12,IF(AI35=Dienste!$A$13,Dienste!$C$13,IF(AI35=Dienste!$A$14,Dienste!$C$14,IF(AI35=Dienste!$A$15,Dienste!$C$15,IF(AI35=Dienste!$A$16,Dienste!$C$16,IF(AI35=Dienste!$A$17,Dienste!$C$17,IF(AI35=Dienste!$A$18,Dienste!$C$18,IF(AI35=Dienste!$A$19,Dienste!$C$19,IF(AI35=Dienste!$A$20,Dienste!$C$20,IF(AI35=Dienste!$A$21,Dienste!$C$21,IF(AI35=Dienste!$A$22,Dienste!$C$22,IF(AI35=Dienste!$A$23,Dienste!$C$23,IF(AI35=Dienste!$A$24,Dienste!$C$24,IF(AI35=Dienste!$A$25,Dienste!$C$25,IF(AI35=Dienste!$A$26,Dienste!$C$26,IF(AI35=Dienste!$A$27,Dienste!$C$27,IF(AI35=Dienste!$A$28,Dienste!$C$28,IF(AI35=Dienste!#REF!,Dienste!#REF!,IF(AI35=Dienste!#REF!,Dienste!#REF!,IF(AI35=Dienste!#REF!,Dienste!#REF!,IF(AI35=Dienste!#REF!,Dienste!#REF!,IF(AI35=Dienste!$A$33,Dienste!$C$33,IF(AI35=Dienste!$A$34,Dienste!$C$34,IF(AI35=Dienste!$A$35,Dienste!$C$35,IF(AI35=Dienste!$A$36,Dienste!$C$36,)))))))))))))))))))))))))))))))))))</f>
        <v>#REF!</v>
      </c>
    </row>
    <row r="36" spans="1:81" hidden="1" x14ac:dyDescent="0.25">
      <c r="A36" s="109"/>
      <c r="B36" s="15"/>
      <c r="C36" s="15"/>
      <c r="D36" s="98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4"/>
      <c r="AK36" s="152"/>
      <c r="AL36" s="154"/>
      <c r="AM36" s="152"/>
      <c r="AN36" s="152"/>
      <c r="AO36" s="154"/>
      <c r="AP36" s="152"/>
      <c r="AQ36" s="153"/>
      <c r="AR36" s="154"/>
      <c r="AS36" s="152"/>
      <c r="AT36" s="153"/>
      <c r="AU36" s="27" t="e">
        <f t="shared" ref="AU36:AU44" si="3">SUM(AY36:CC36)</f>
        <v>#REF!</v>
      </c>
      <c r="AV36" s="27" t="e">
        <f t="shared" ref="AV36:AV37" si="4">AJ36+AW36</f>
        <v>#REF!</v>
      </c>
      <c r="AW36" s="58" t="e">
        <f t="shared" ref="AW36" si="5">AU36-AK36</f>
        <v>#REF!</v>
      </c>
      <c r="AY36" s="27" t="e">
        <f>IF(E36=Dienste!$A$2,Dienste!$C$2,IF(E36=Dienste!$A$3,Dienste!$C$3,IF(E36=Dienste!$A$4,Dienste!$C$4,IF(E36=Dienste!$A$5,Dienste!$C$5,IF(E36=Dienste!$A$6,Dienste!$C$6,IF(E36=Dienste!$A$7,Dienste!$C$7,IF(E36=Dienste!$A$8,Dienste!$C$8,IF(E36=Dienste!$A$9,Dienste!$C$9,IF(E36=Dienste!$A$10,Dienste!$C$10,IF(E36=Dienste!$A$11,Dienste!$C$11,IF(E36=Dienste!$A$12,Dienste!$C$12,IF(E36=Dienste!$A$13,Dienste!$C$13,IF(E36=Dienste!$A$14,Dienste!$C$14,IF(E36=Dienste!$A$15,Dienste!$C$15,IF(E36=Dienste!$A$16,Dienste!$C$16,IF(E36=Dienste!$A$17,Dienste!$C$17,IF(E36=Dienste!$A$18,Dienste!$C$18,IF(E36=Dienste!$A$19,Dienste!$C$19,IF(E36=Dienste!$A$20,Dienste!$C$20,IF(E36=Dienste!$A$21,Dienste!$C$21,IF(E36=Dienste!$A$22,Dienste!$C$22,IF(E36=Dienste!$A$23,Dienste!$C$23,IF(E36=Dienste!$A$24,Dienste!$C$24,IF(E36=Dienste!$A$25,Dienste!$C$25,IF(E36=Dienste!$A$26,Dienste!$C$26,IF(E36=Dienste!$A$27,Dienste!$C$27,IF(E36=Dienste!$A$28,Dienste!$C$28,IF(E36=Dienste!#REF!,Dienste!#REF!,IF(E36=Dienste!#REF!,Dienste!#REF!,IF(E36=Dienste!#REF!,Dienste!#REF!,IF(E36=Dienste!#REF!,Dienste!#REF!,IF(E36=Dienste!$A$33,Dienste!$C$33,IF(E36=Dienste!$A$34,Dienste!$C$34,IF(E36=Dienste!$A$35,Dienste!$C$35,IF(E36=Dienste!$A$36,Dienste!$C$36,)))))))))))))))))))))))))))))))))))</f>
        <v>#REF!</v>
      </c>
      <c r="AZ36" s="27" t="e">
        <f>IF(F36=Dienste!$A$2,Dienste!$C$2,IF(F36=Dienste!$A$3,Dienste!$C$3,IF(F36=Dienste!$A$4,Dienste!$C$4,IF(F36=Dienste!$A$5,Dienste!$C$5,IF(F36=Dienste!$A$6,Dienste!$C$6,IF(F36=Dienste!$A$7,Dienste!$C$7,IF(F36=Dienste!$A$8,Dienste!$C$8,IF(F36=Dienste!$A$9,Dienste!$C$9,IF(F36=Dienste!$A$10,Dienste!$C$10,IF(F36=Dienste!$A$11,Dienste!$C$11,IF(F36=Dienste!$A$12,Dienste!$C$12,IF(F36=Dienste!$A$13,Dienste!$C$13,IF(F36=Dienste!$A$14,Dienste!$C$14,IF(F36=Dienste!$A$15,Dienste!$C$15,IF(F36=Dienste!$A$16,Dienste!$C$16,IF(F36=Dienste!$A$17,Dienste!$C$17,IF(F36=Dienste!$A$18,Dienste!$C$18,IF(F36=Dienste!$A$19,Dienste!$C$19,IF(F36=Dienste!$A$20,Dienste!$C$20,IF(F36=Dienste!$A$21,Dienste!$C$21,IF(F36=Dienste!$A$22,Dienste!$C$22,IF(F36=Dienste!$A$23,Dienste!$C$23,IF(F36=Dienste!$A$24,Dienste!$C$24,IF(F36=Dienste!$A$25,Dienste!$C$25,IF(F36=Dienste!$A$26,Dienste!$C$26,IF(F36=Dienste!$A$27,Dienste!$C$27,IF(F36=Dienste!$A$28,Dienste!$C$28,IF(F36=Dienste!#REF!,Dienste!#REF!,IF(F36=Dienste!#REF!,Dienste!#REF!,IF(F36=Dienste!#REF!,Dienste!#REF!,IF(F36=Dienste!#REF!,Dienste!#REF!,IF(F36=Dienste!$A$33,Dienste!$C$33,IF(F36=Dienste!$A$34,Dienste!$C$34,IF(F36=Dienste!$A$35,Dienste!$C$35,IF(F36=Dienste!$A$36,Dienste!$C$36,)))))))))))))))))))))))))))))))))))</f>
        <v>#REF!</v>
      </c>
      <c r="BA36" s="27" t="e">
        <f>IF(G36=Dienste!$A$2,Dienste!$C$2,IF(G36=Dienste!$A$3,Dienste!$C$3,IF(G36=Dienste!$A$4,Dienste!$C$4,IF(G36=Dienste!$A$5,Dienste!$C$5,IF(G36=Dienste!$A$6,Dienste!$C$6,IF(G36=Dienste!$A$7,Dienste!$C$7,IF(G36=Dienste!$A$8,Dienste!$C$8,IF(G36=Dienste!$A$9,Dienste!$C$9,IF(G36=Dienste!$A$10,Dienste!$C$10,IF(G36=Dienste!$A$11,Dienste!$C$11,IF(G36=Dienste!$A$12,Dienste!$C$12,IF(G36=Dienste!$A$13,Dienste!$C$13,IF(G36=Dienste!$A$14,Dienste!$C$14,IF(G36=Dienste!$A$15,Dienste!$C$15,IF(G36=Dienste!$A$16,Dienste!$C$16,IF(G36=Dienste!$A$17,Dienste!$C$17,IF(G36=Dienste!$A$18,Dienste!$C$18,IF(G36=Dienste!$A$19,Dienste!$C$19,IF(G36=Dienste!$A$20,Dienste!$C$20,IF(G36=Dienste!$A$21,Dienste!$C$21,IF(G36=Dienste!$A$22,Dienste!$C$22,IF(G36=Dienste!$A$23,Dienste!$C$23,IF(G36=Dienste!$A$24,Dienste!$C$24,IF(G36=Dienste!$A$25,Dienste!$C$25,IF(G36=Dienste!$A$26,Dienste!$C$26,IF(G36=Dienste!$A$27,Dienste!$C$27,IF(G36=Dienste!$A$28,Dienste!$C$28,IF(G36=Dienste!#REF!,Dienste!#REF!,IF(G36=Dienste!#REF!,Dienste!#REF!,IF(G36=Dienste!#REF!,Dienste!#REF!,IF(G36=Dienste!#REF!,Dienste!#REF!,IF(G36=Dienste!$A$33,Dienste!$C$33,IF(G36=Dienste!$A$34,Dienste!$C$34,IF(G36=Dienste!$A$35,Dienste!$C$35,IF(G36=Dienste!$A$36,Dienste!$C$36,)))))))))))))))))))))))))))))))))))</f>
        <v>#REF!</v>
      </c>
      <c r="BB36" s="27" t="e">
        <f>IF(H36=Dienste!$A$2,Dienste!$C$2,IF(H36=Dienste!$A$3,Dienste!$C$3,IF(H36=Dienste!$A$4,Dienste!$C$4,IF(H36=Dienste!$A$5,Dienste!$C$5,IF(H36=Dienste!$A$6,Dienste!$C$6,IF(H36=Dienste!$A$7,Dienste!$C$7,IF(H36=Dienste!$A$8,Dienste!$C$8,IF(H36=Dienste!$A$9,Dienste!$C$9,IF(H36=Dienste!$A$10,Dienste!$C$10,IF(H36=Dienste!$A$11,Dienste!$C$11,IF(H36=Dienste!$A$12,Dienste!$C$12,IF(H36=Dienste!$A$13,Dienste!$C$13,IF(H36=Dienste!$A$14,Dienste!$C$14,IF(H36=Dienste!$A$15,Dienste!$C$15,IF(H36=Dienste!$A$16,Dienste!$C$16,IF(H36=Dienste!$A$17,Dienste!$C$17,IF(H36=Dienste!$A$18,Dienste!$C$18,IF(H36=Dienste!$A$19,Dienste!$C$19,IF(H36=Dienste!$A$20,Dienste!$C$20,IF(H36=Dienste!$A$21,Dienste!$C$21,IF(H36=Dienste!$A$22,Dienste!$C$22,IF(H36=Dienste!$A$23,Dienste!$C$23,IF(H36=Dienste!$A$24,Dienste!$C$24,IF(H36=Dienste!$A$25,Dienste!$C$25,IF(H36=Dienste!$A$26,Dienste!$C$26,IF(H36=Dienste!$A$27,Dienste!$C$27,IF(H36=Dienste!$A$28,Dienste!$C$28,IF(H36=Dienste!#REF!,Dienste!#REF!,IF(H36=Dienste!#REF!,Dienste!#REF!,IF(H36=Dienste!#REF!,Dienste!#REF!,IF(H36=Dienste!#REF!,Dienste!#REF!,IF(H36=Dienste!$A$33,Dienste!$C$33,IF(H36=Dienste!$A$34,Dienste!$C$34,IF(H36=Dienste!$A$35,Dienste!$C$35,IF(H36=Dienste!$A$36,Dienste!$C$36,)))))))))))))))))))))))))))))))))))</f>
        <v>#REF!</v>
      </c>
      <c r="BC36" s="27" t="e">
        <f>IF(I36=Dienste!$A$2,Dienste!$C$2,IF(I36=Dienste!$A$3,Dienste!$C$3,IF(I36=Dienste!$A$4,Dienste!$C$4,IF(I36=Dienste!$A$5,Dienste!$C$5,IF(I36=Dienste!$A$6,Dienste!$C$6,IF(I36=Dienste!$A$7,Dienste!$C$7,IF(I36=Dienste!$A$8,Dienste!$C$8,IF(I36=Dienste!$A$9,Dienste!$C$9,IF(I36=Dienste!$A$10,Dienste!$C$10,IF(I36=Dienste!$A$11,Dienste!$C$11,IF(I36=Dienste!$A$12,Dienste!$C$12,IF(I36=Dienste!$A$13,Dienste!$C$13,IF(I36=Dienste!$A$14,Dienste!$C$14,IF(I36=Dienste!$A$15,Dienste!$C$15,IF(I36=Dienste!$A$16,Dienste!$C$16,IF(I36=Dienste!$A$17,Dienste!$C$17,IF(I36=Dienste!$A$18,Dienste!$C$18,IF(I36=Dienste!$A$19,Dienste!$C$19,IF(I36=Dienste!$A$20,Dienste!$C$20,IF(I36=Dienste!$A$21,Dienste!$C$21,IF(I36=Dienste!$A$22,Dienste!$C$22,IF(I36=Dienste!$A$23,Dienste!$C$23,IF(I36=Dienste!$A$24,Dienste!$C$24,IF(I36=Dienste!$A$25,Dienste!$C$25,IF(I36=Dienste!$A$26,Dienste!$C$26,IF(I36=Dienste!$A$27,Dienste!$C$27,IF(I36=Dienste!$A$28,Dienste!$C$28,IF(I36=Dienste!#REF!,Dienste!#REF!,IF(I36=Dienste!#REF!,Dienste!#REF!,IF(I36=Dienste!#REF!,Dienste!#REF!,IF(I36=Dienste!#REF!,Dienste!#REF!,IF(I36=Dienste!$A$33,Dienste!$C$33,IF(I36=Dienste!$A$34,Dienste!$C$34,IF(I36=Dienste!$A$35,Dienste!$C$35,IF(I36=Dienste!$A$36,Dienste!$C$36,)))))))))))))))))))))))))))))))))))</f>
        <v>#REF!</v>
      </c>
      <c r="BD36" s="27" t="e">
        <f>IF(J36=Dienste!$A$2,Dienste!$C$2,IF(J36=Dienste!$A$3,Dienste!$C$3,IF(J36=Dienste!$A$4,Dienste!$C$4,IF(J36=Dienste!$A$5,Dienste!$C$5,IF(J36=Dienste!$A$6,Dienste!$C$6,IF(J36=Dienste!$A$7,Dienste!$C$7,IF(J36=Dienste!$A$8,Dienste!$C$8,IF(J36=Dienste!$A$9,Dienste!$C$9,IF(J36=Dienste!$A$10,Dienste!$C$10,IF(J36=Dienste!$A$11,Dienste!$C$11,IF(J36=Dienste!$A$12,Dienste!$C$12,IF(J36=Dienste!$A$13,Dienste!$C$13,IF(J36=Dienste!$A$14,Dienste!$C$14,IF(J36=Dienste!$A$15,Dienste!$C$15,IF(J36=Dienste!$A$16,Dienste!$C$16,IF(J36=Dienste!$A$17,Dienste!$C$17,IF(J36=Dienste!$A$18,Dienste!$C$18,IF(J36=Dienste!$A$19,Dienste!$C$19,IF(J36=Dienste!$A$20,Dienste!$C$20,IF(J36=Dienste!$A$21,Dienste!$C$21,IF(J36=Dienste!$A$22,Dienste!$C$22,IF(J36=Dienste!$A$23,Dienste!$C$23,IF(J36=Dienste!$A$24,Dienste!$C$24,IF(J36=Dienste!$A$25,Dienste!$C$25,IF(J36=Dienste!$A$26,Dienste!$C$26,IF(J36=Dienste!$A$27,Dienste!$C$27,IF(J36=Dienste!$A$28,Dienste!$C$28,IF(J36=Dienste!#REF!,Dienste!#REF!,IF(J36=Dienste!#REF!,Dienste!#REF!,IF(J36=Dienste!#REF!,Dienste!#REF!,IF(J36=Dienste!#REF!,Dienste!#REF!,IF(J36=Dienste!$A$33,Dienste!$C$33,IF(J36=Dienste!$A$34,Dienste!$C$34,IF(J36=Dienste!$A$35,Dienste!$C$35,IF(J36=Dienste!$A$36,Dienste!$C$36,)))))))))))))))))))))))))))))))))))</f>
        <v>#REF!</v>
      </c>
      <c r="BE36" s="27" t="e">
        <f>IF(K36=Dienste!$A$2,Dienste!$C$2,IF(K36=Dienste!$A$3,Dienste!$C$3,IF(K36=Dienste!$A$4,Dienste!$C$4,IF(K36=Dienste!$A$5,Dienste!$C$5,IF(K36=Dienste!$A$6,Dienste!$C$6,IF(K36=Dienste!$A$7,Dienste!$C$7,IF(K36=Dienste!$A$8,Dienste!$C$8,IF(K36=Dienste!$A$9,Dienste!$C$9,IF(K36=Dienste!$A$10,Dienste!$C$10,IF(K36=Dienste!$A$11,Dienste!$C$11,IF(K36=Dienste!$A$12,Dienste!$C$12,IF(K36=Dienste!$A$13,Dienste!$C$13,IF(K36=Dienste!$A$14,Dienste!$C$14,IF(K36=Dienste!$A$15,Dienste!$C$15,IF(K36=Dienste!$A$16,Dienste!$C$16,IF(K36=Dienste!$A$17,Dienste!$C$17,IF(K36=Dienste!$A$18,Dienste!$C$18,IF(K36=Dienste!$A$19,Dienste!$C$19,IF(K36=Dienste!$A$20,Dienste!$C$20,IF(K36=Dienste!$A$21,Dienste!$C$21,IF(K36=Dienste!$A$22,Dienste!$C$22,IF(K36=Dienste!$A$23,Dienste!$C$23,IF(K36=Dienste!$A$24,Dienste!$C$24,IF(K36=Dienste!$A$25,Dienste!$C$25,IF(K36=Dienste!$A$26,Dienste!$C$26,IF(K36=Dienste!$A$27,Dienste!$C$27,IF(K36=Dienste!$A$28,Dienste!$C$28,IF(K36=Dienste!#REF!,Dienste!#REF!,IF(K36=Dienste!#REF!,Dienste!#REF!,IF(K36=Dienste!#REF!,Dienste!#REF!,IF(K36=Dienste!#REF!,Dienste!#REF!,IF(K36=Dienste!$A$33,Dienste!$C$33,IF(K36=Dienste!$A$34,Dienste!$C$34,IF(K36=Dienste!$A$35,Dienste!$C$35,IF(K36=Dienste!$A$36,Dienste!$C$36,)))))))))))))))))))))))))))))))))))</f>
        <v>#REF!</v>
      </c>
      <c r="BF36" s="27" t="e">
        <f>IF(L36=Dienste!$A$2,Dienste!$C$2,IF(L36=Dienste!$A$3,Dienste!$C$3,IF(L36=Dienste!$A$4,Dienste!$C$4,IF(L36=Dienste!$A$5,Dienste!$C$5,IF(L36=Dienste!$A$6,Dienste!$C$6,IF(L36=Dienste!$A$7,Dienste!$C$7,IF(L36=Dienste!$A$8,Dienste!$C$8,IF(L36=Dienste!$A$9,Dienste!$C$9,IF(L36=Dienste!$A$10,Dienste!$C$10,IF(L36=Dienste!$A$11,Dienste!$C$11,IF(L36=Dienste!$A$12,Dienste!$C$12,IF(L36=Dienste!$A$13,Dienste!$C$13,IF(L36=Dienste!$A$14,Dienste!$C$14,IF(L36=Dienste!$A$15,Dienste!$C$15,IF(L36=Dienste!$A$16,Dienste!$C$16,IF(L36=Dienste!$A$17,Dienste!$C$17,IF(L36=Dienste!$A$18,Dienste!$C$18,IF(L36=Dienste!$A$19,Dienste!$C$19,IF(L36=Dienste!$A$20,Dienste!$C$20,IF(L36=Dienste!$A$21,Dienste!$C$21,IF(L36=Dienste!$A$22,Dienste!$C$22,IF(L36=Dienste!$A$23,Dienste!$C$23,IF(L36=Dienste!$A$24,Dienste!$C$24,IF(L36=Dienste!$A$25,Dienste!$C$25,IF(L36=Dienste!$A$26,Dienste!$C$26,IF(L36=Dienste!$A$27,Dienste!$C$27,IF(L36=Dienste!$A$28,Dienste!$C$28,IF(L36=Dienste!#REF!,Dienste!#REF!,IF(L36=Dienste!#REF!,Dienste!#REF!,IF(L36=Dienste!#REF!,Dienste!#REF!,IF(L36=Dienste!#REF!,Dienste!#REF!,IF(L36=Dienste!$A$33,Dienste!$C$33,IF(L36=Dienste!$A$34,Dienste!$C$34,IF(L36=Dienste!$A$35,Dienste!$C$35,IF(L36=Dienste!$A$36,Dienste!$C$36,)))))))))))))))))))))))))))))))))))</f>
        <v>#REF!</v>
      </c>
      <c r="BG36" s="27" t="e">
        <f>IF(M36=Dienste!$A$2,Dienste!$C$2,IF(M36=Dienste!$A$3,Dienste!$C$3,IF(M36=Dienste!$A$4,Dienste!$C$4,IF(M36=Dienste!$A$5,Dienste!$C$5,IF(M36=Dienste!$A$6,Dienste!$C$6,IF(M36=Dienste!$A$7,Dienste!$C$7,IF(M36=Dienste!$A$8,Dienste!$C$8,IF(M36=Dienste!$A$9,Dienste!$C$9,IF(M36=Dienste!$A$10,Dienste!$C$10,IF(M36=Dienste!$A$11,Dienste!$C$11,IF(M36=Dienste!$A$12,Dienste!$C$12,IF(M36=Dienste!$A$13,Dienste!$C$13,IF(M36=Dienste!$A$14,Dienste!$C$14,IF(M36=Dienste!$A$15,Dienste!$C$15,IF(M36=Dienste!$A$16,Dienste!$C$16,IF(M36=Dienste!$A$17,Dienste!$C$17,IF(M36=Dienste!$A$18,Dienste!$C$18,IF(M36=Dienste!$A$19,Dienste!$C$19,IF(M36=Dienste!$A$20,Dienste!$C$20,IF(M36=Dienste!$A$21,Dienste!$C$21,IF(M36=Dienste!$A$22,Dienste!$C$22,IF(M36=Dienste!$A$23,Dienste!$C$23,IF(M36=Dienste!$A$24,Dienste!$C$24,IF(M36=Dienste!$A$25,Dienste!$C$25,IF(M36=Dienste!$A$26,Dienste!$C$26,IF(M36=Dienste!$A$27,Dienste!$C$27,IF(M36=Dienste!$A$28,Dienste!$C$28,IF(M36=Dienste!#REF!,Dienste!#REF!,IF(M36=Dienste!#REF!,Dienste!#REF!,IF(M36=Dienste!#REF!,Dienste!#REF!,IF(M36=Dienste!#REF!,Dienste!#REF!,IF(M36=Dienste!$A$33,Dienste!$C$33,IF(M36=Dienste!$A$34,Dienste!$C$34,IF(M36=Dienste!$A$35,Dienste!$C$35,IF(M36=Dienste!$A$36,Dienste!$C$36,)))))))))))))))))))))))))))))))))))</f>
        <v>#REF!</v>
      </c>
      <c r="BH36" s="27" t="e">
        <f>IF(N36=Dienste!$A$2,Dienste!$C$2,IF(N36=Dienste!$A$3,Dienste!$C$3,IF(N36=Dienste!$A$4,Dienste!$C$4,IF(N36=Dienste!$A$5,Dienste!$C$5,IF(N36=Dienste!$A$6,Dienste!$C$6,IF(N36=Dienste!$A$7,Dienste!$C$7,IF(N36=Dienste!$A$8,Dienste!$C$8,IF(N36=Dienste!$A$9,Dienste!$C$9,IF(N36=Dienste!$A$10,Dienste!$C$10,IF(N36=Dienste!$A$11,Dienste!$C$11,IF(N36=Dienste!$A$12,Dienste!$C$12,IF(N36=Dienste!$A$13,Dienste!$C$13,IF(N36=Dienste!$A$14,Dienste!$C$14,IF(N36=Dienste!$A$15,Dienste!$C$15,IF(N36=Dienste!$A$16,Dienste!$C$16,IF(N36=Dienste!$A$17,Dienste!$C$17,IF(N36=Dienste!$A$18,Dienste!$C$18,IF(N36=Dienste!$A$19,Dienste!$C$19,IF(N36=Dienste!$A$20,Dienste!$C$20,IF(N36=Dienste!$A$21,Dienste!$C$21,IF(N36=Dienste!$A$22,Dienste!$C$22,IF(N36=Dienste!$A$23,Dienste!$C$23,IF(N36=Dienste!$A$24,Dienste!$C$24,IF(N36=Dienste!$A$25,Dienste!$C$25,IF(N36=Dienste!$A$26,Dienste!$C$26,IF(N36=Dienste!$A$27,Dienste!$C$27,IF(N36=Dienste!$A$28,Dienste!$C$28,IF(N36=Dienste!#REF!,Dienste!#REF!,IF(N36=Dienste!#REF!,Dienste!#REF!,IF(N36=Dienste!#REF!,Dienste!#REF!,IF(N36=Dienste!#REF!,Dienste!#REF!,IF(N36=Dienste!$A$33,Dienste!$C$33,IF(N36=Dienste!$A$34,Dienste!$C$34,IF(N36=Dienste!$A$35,Dienste!$C$35,IF(N36=Dienste!$A$36,Dienste!$C$36,)))))))))))))))))))))))))))))))))))</f>
        <v>#REF!</v>
      </c>
      <c r="BI36" s="27" t="e">
        <f>IF(O36=Dienste!$A$2,Dienste!$C$2,IF(O36=Dienste!$A$3,Dienste!$C$3,IF(O36=Dienste!$A$4,Dienste!$C$4,IF(O36=Dienste!$A$5,Dienste!$C$5,IF(O36=Dienste!$A$6,Dienste!$C$6,IF(O36=Dienste!$A$7,Dienste!$C$7,IF(O36=Dienste!$A$8,Dienste!$C$8,IF(O36=Dienste!$A$9,Dienste!$C$9,IF(O36=Dienste!$A$10,Dienste!$C$10,IF(O36=Dienste!$A$11,Dienste!$C$11,IF(O36=Dienste!$A$12,Dienste!$C$12,IF(O36=Dienste!$A$13,Dienste!$C$13,IF(O36=Dienste!$A$14,Dienste!$C$14,IF(O36=Dienste!$A$15,Dienste!$C$15,IF(O36=Dienste!$A$16,Dienste!$C$16,IF(O36=Dienste!$A$17,Dienste!$C$17,IF(O36=Dienste!$A$18,Dienste!$C$18,IF(O36=Dienste!$A$19,Dienste!$C$19,IF(O36=Dienste!$A$20,Dienste!$C$20,IF(O36=Dienste!$A$21,Dienste!$C$21,IF(O36=Dienste!$A$22,Dienste!$C$22,IF(O36=Dienste!$A$23,Dienste!$C$23,IF(O36=Dienste!$A$24,Dienste!$C$24,IF(O36=Dienste!$A$25,Dienste!$C$25,IF(O36=Dienste!$A$26,Dienste!$C$26,IF(O36=Dienste!$A$27,Dienste!$C$27,IF(O36=Dienste!$A$28,Dienste!$C$28,IF(O36=Dienste!#REF!,Dienste!#REF!,IF(O36=Dienste!#REF!,Dienste!#REF!,IF(O36=Dienste!#REF!,Dienste!#REF!,IF(O36=Dienste!#REF!,Dienste!#REF!,IF(O36=Dienste!$A$33,Dienste!$C$33,IF(O36=Dienste!$A$34,Dienste!$C$34,IF(O36=Dienste!$A$35,Dienste!$C$35,IF(O36=Dienste!$A$36,Dienste!$C$36,)))))))))))))))))))))))))))))))))))</f>
        <v>#REF!</v>
      </c>
      <c r="BJ36" s="27" t="e">
        <f>IF(P36=Dienste!$A$2,Dienste!$C$2,IF(P36=Dienste!$A$3,Dienste!$C$3,IF(P36=Dienste!$A$4,Dienste!$C$4,IF(P36=Dienste!$A$5,Dienste!$C$5,IF(P36=Dienste!$A$6,Dienste!$C$6,IF(P36=Dienste!$A$7,Dienste!$C$7,IF(P36=Dienste!$A$8,Dienste!$C$8,IF(P36=Dienste!$A$9,Dienste!$C$9,IF(P36=Dienste!$A$10,Dienste!$C$10,IF(P36=Dienste!$A$11,Dienste!$C$11,IF(P36=Dienste!$A$12,Dienste!$C$12,IF(P36=Dienste!$A$13,Dienste!$C$13,IF(P36=Dienste!$A$14,Dienste!$C$14,IF(P36=Dienste!$A$15,Dienste!$C$15,IF(P36=Dienste!$A$16,Dienste!$C$16,IF(P36=Dienste!$A$17,Dienste!$C$17,IF(P36=Dienste!$A$18,Dienste!$C$18,IF(P36=Dienste!$A$19,Dienste!$C$19,IF(P36=Dienste!$A$20,Dienste!$C$20,IF(P36=Dienste!$A$21,Dienste!$C$21,IF(P36=Dienste!$A$22,Dienste!$C$22,IF(P36=Dienste!$A$23,Dienste!$C$23,IF(P36=Dienste!$A$24,Dienste!$C$24,IF(P36=Dienste!$A$25,Dienste!$C$25,IF(P36=Dienste!$A$26,Dienste!$C$26,IF(P36=Dienste!$A$27,Dienste!$C$27,IF(P36=Dienste!$A$28,Dienste!$C$28,IF(P36=Dienste!#REF!,Dienste!#REF!,IF(P36=Dienste!#REF!,Dienste!#REF!,IF(P36=Dienste!#REF!,Dienste!#REF!,IF(P36=Dienste!#REF!,Dienste!#REF!,IF(P36=Dienste!$A$33,Dienste!$C$33,IF(P36=Dienste!$A$34,Dienste!$C$34,IF(P36=Dienste!$A$35,Dienste!$C$35,IF(P36=Dienste!$A$36,Dienste!$C$36,)))))))))))))))))))))))))))))))))))</f>
        <v>#REF!</v>
      </c>
      <c r="BK36" s="27" t="e">
        <f>IF(Q36=Dienste!$A$2,Dienste!$C$2,IF(Q36=Dienste!$A$3,Dienste!$C$3,IF(Q36=Dienste!$A$4,Dienste!$C$4,IF(Q36=Dienste!$A$5,Dienste!$C$5,IF(Q36=Dienste!$A$6,Dienste!$C$6,IF(Q36=Dienste!$A$7,Dienste!$C$7,IF(Q36=Dienste!$A$8,Dienste!$C$8,IF(Q36=Dienste!$A$9,Dienste!$C$9,IF(Q36=Dienste!$A$10,Dienste!$C$10,IF(Q36=Dienste!$A$11,Dienste!$C$11,IF(Q36=Dienste!$A$12,Dienste!$C$12,IF(Q36=Dienste!$A$13,Dienste!$C$13,IF(Q36=Dienste!$A$14,Dienste!$C$14,IF(Q36=Dienste!$A$15,Dienste!$C$15,IF(Q36=Dienste!$A$16,Dienste!$C$16,IF(Q36=Dienste!$A$17,Dienste!$C$17,IF(Q36=Dienste!$A$18,Dienste!$C$18,IF(Q36=Dienste!$A$19,Dienste!$C$19,IF(Q36=Dienste!$A$20,Dienste!$C$20,IF(Q36=Dienste!$A$21,Dienste!$C$21,IF(Q36=Dienste!$A$22,Dienste!$C$22,IF(Q36=Dienste!$A$23,Dienste!$C$23,IF(Q36=Dienste!$A$24,Dienste!$C$24,IF(Q36=Dienste!$A$25,Dienste!$C$25,IF(Q36=Dienste!$A$26,Dienste!$C$26,IF(Q36=Dienste!$A$27,Dienste!$C$27,IF(Q36=Dienste!$A$28,Dienste!$C$28,IF(Q36=Dienste!#REF!,Dienste!#REF!,IF(Q36=Dienste!#REF!,Dienste!#REF!,IF(Q36=Dienste!#REF!,Dienste!#REF!,IF(Q36=Dienste!#REF!,Dienste!#REF!,IF(Q36=Dienste!$A$33,Dienste!$C$33,IF(Q36=Dienste!$A$34,Dienste!$C$34,IF(Q36=Dienste!$A$35,Dienste!$C$35,IF(Q36=Dienste!$A$36,Dienste!$C$36,)))))))))))))))))))))))))))))))))))</f>
        <v>#REF!</v>
      </c>
      <c r="BL36" s="27" t="e">
        <f>IF(R36=Dienste!$A$2,Dienste!$C$2,IF(R36=Dienste!$A$3,Dienste!$C$3,IF(R36=Dienste!$A$4,Dienste!$C$4,IF(R36=Dienste!$A$5,Dienste!$C$5,IF(R36=Dienste!$A$6,Dienste!$C$6,IF(R36=Dienste!$A$7,Dienste!$C$7,IF(R36=Dienste!$A$8,Dienste!$C$8,IF(R36=Dienste!$A$9,Dienste!$C$9,IF(R36=Dienste!$A$10,Dienste!$C$10,IF(R36=Dienste!$A$11,Dienste!$C$11,IF(R36=Dienste!$A$12,Dienste!$C$12,IF(R36=Dienste!$A$13,Dienste!$C$13,IF(R36=Dienste!$A$14,Dienste!$C$14,IF(R36=Dienste!$A$15,Dienste!$C$15,IF(R36=Dienste!$A$16,Dienste!$C$16,IF(R36=Dienste!$A$17,Dienste!$C$17,IF(R36=Dienste!$A$18,Dienste!$C$18,IF(R36=Dienste!$A$19,Dienste!$C$19,IF(R36=Dienste!$A$20,Dienste!$C$20,IF(R36=Dienste!$A$21,Dienste!$C$21,IF(R36=Dienste!$A$22,Dienste!$C$22,IF(R36=Dienste!$A$23,Dienste!$C$23,IF(R36=Dienste!$A$24,Dienste!$C$24,IF(R36=Dienste!$A$25,Dienste!$C$25,IF(R36=Dienste!$A$26,Dienste!$C$26,IF(R36=Dienste!$A$27,Dienste!$C$27,IF(R36=Dienste!$A$28,Dienste!$C$28,IF(R36=Dienste!#REF!,Dienste!#REF!,IF(R36=Dienste!#REF!,Dienste!#REF!,IF(R36=Dienste!#REF!,Dienste!#REF!,IF(R36=Dienste!#REF!,Dienste!#REF!,IF(R36=Dienste!$A$33,Dienste!$C$33,IF(R36=Dienste!$A$34,Dienste!$C$34,IF(R36=Dienste!$A$35,Dienste!$C$35,IF(R36=Dienste!$A$36,Dienste!$C$36,)))))))))))))))))))))))))))))))))))</f>
        <v>#REF!</v>
      </c>
      <c r="BM36" s="27" t="e">
        <f>IF(S36=Dienste!$A$2,Dienste!$C$2,IF(S36=Dienste!$A$3,Dienste!$C$3,IF(S36=Dienste!$A$4,Dienste!$C$4,IF(S36=Dienste!$A$5,Dienste!$C$5,IF(S36=Dienste!$A$6,Dienste!$C$6,IF(S36=Dienste!$A$7,Dienste!$C$7,IF(S36=Dienste!$A$8,Dienste!$C$8,IF(S36=Dienste!$A$9,Dienste!$C$9,IF(S36=Dienste!$A$10,Dienste!$C$10,IF(S36=Dienste!$A$11,Dienste!$C$11,IF(S36=Dienste!$A$12,Dienste!$C$12,IF(S36=Dienste!$A$13,Dienste!$C$13,IF(S36=Dienste!$A$14,Dienste!$C$14,IF(S36=Dienste!$A$15,Dienste!$C$15,IF(S36=Dienste!$A$16,Dienste!$C$16,IF(S36=Dienste!$A$17,Dienste!$C$17,IF(S36=Dienste!$A$18,Dienste!$C$18,IF(S36=Dienste!$A$19,Dienste!$C$19,IF(S36=Dienste!$A$20,Dienste!$C$20,IF(S36=Dienste!$A$21,Dienste!$C$21,IF(S36=Dienste!$A$22,Dienste!$C$22,IF(S36=Dienste!$A$23,Dienste!$C$23,IF(S36=Dienste!$A$24,Dienste!$C$24,IF(S36=Dienste!$A$25,Dienste!$C$25,IF(S36=Dienste!$A$26,Dienste!$C$26,IF(S36=Dienste!$A$27,Dienste!$C$27,IF(S36=Dienste!$A$28,Dienste!$C$28,IF(S36=Dienste!#REF!,Dienste!#REF!,IF(S36=Dienste!#REF!,Dienste!#REF!,IF(S36=Dienste!#REF!,Dienste!#REF!,IF(S36=Dienste!#REF!,Dienste!#REF!,IF(S36=Dienste!$A$33,Dienste!$C$33,IF(S36=Dienste!$A$34,Dienste!$C$34,IF(S36=Dienste!$A$35,Dienste!$C$35,IF(S36=Dienste!$A$36,Dienste!$C$36,)))))))))))))))))))))))))))))))))))</f>
        <v>#REF!</v>
      </c>
      <c r="BN36" s="27" t="e">
        <f>IF(T36=Dienste!$A$2,Dienste!$C$2,IF(T36=Dienste!$A$3,Dienste!$C$3,IF(T36=Dienste!$A$4,Dienste!$C$4,IF(T36=Dienste!$A$5,Dienste!$C$5,IF(T36=Dienste!$A$6,Dienste!$C$6,IF(T36=Dienste!$A$7,Dienste!$C$7,IF(T36=Dienste!$A$8,Dienste!$C$8,IF(T36=Dienste!$A$9,Dienste!$C$9,IF(T36=Dienste!$A$10,Dienste!$C$10,IF(T36=Dienste!$A$11,Dienste!$C$11,IF(T36=Dienste!$A$12,Dienste!$C$12,IF(T36=Dienste!$A$13,Dienste!$C$13,IF(T36=Dienste!$A$14,Dienste!$C$14,IF(T36=Dienste!$A$15,Dienste!$C$15,IF(T36=Dienste!$A$16,Dienste!$C$16,IF(T36=Dienste!$A$17,Dienste!$C$17,IF(T36=Dienste!$A$18,Dienste!$C$18,IF(T36=Dienste!$A$19,Dienste!$C$19,IF(T36=Dienste!$A$20,Dienste!$C$20,IF(T36=Dienste!$A$21,Dienste!$C$21,IF(T36=Dienste!$A$22,Dienste!$C$22,IF(T36=Dienste!$A$23,Dienste!$C$23,IF(T36=Dienste!$A$24,Dienste!$C$24,IF(T36=Dienste!$A$25,Dienste!$C$25,IF(T36=Dienste!$A$26,Dienste!$C$26,IF(T36=Dienste!$A$27,Dienste!$C$27,IF(T36=Dienste!$A$28,Dienste!$C$28,IF(T36=Dienste!#REF!,Dienste!#REF!,IF(T36=Dienste!#REF!,Dienste!#REF!,IF(T36=Dienste!#REF!,Dienste!#REF!,IF(T36=Dienste!#REF!,Dienste!#REF!,IF(T36=Dienste!$A$33,Dienste!$C$33,IF(T36=Dienste!$A$34,Dienste!$C$34,IF(T36=Dienste!$A$35,Dienste!$C$35,IF(T36=Dienste!$A$36,Dienste!$C$36,)))))))))))))))))))))))))))))))))))</f>
        <v>#REF!</v>
      </c>
      <c r="BO36" s="27" t="e">
        <f>IF(U36=Dienste!$A$2,Dienste!$C$2,IF(U36=Dienste!$A$3,Dienste!$C$3,IF(U36=Dienste!$A$4,Dienste!$C$4,IF(U36=Dienste!$A$5,Dienste!$C$5,IF(U36=Dienste!$A$6,Dienste!$C$6,IF(U36=Dienste!$A$7,Dienste!$C$7,IF(U36=Dienste!$A$8,Dienste!$C$8,IF(U36=Dienste!$A$9,Dienste!$C$9,IF(U36=Dienste!$A$10,Dienste!$C$10,IF(U36=Dienste!$A$11,Dienste!$C$11,IF(U36=Dienste!$A$12,Dienste!$C$12,IF(U36=Dienste!$A$13,Dienste!$C$13,IF(U36=Dienste!$A$14,Dienste!$C$14,IF(U36=Dienste!$A$15,Dienste!$C$15,IF(U36=Dienste!$A$16,Dienste!$C$16,IF(U36=Dienste!$A$17,Dienste!$C$17,IF(U36=Dienste!$A$18,Dienste!$C$18,IF(U36=Dienste!$A$19,Dienste!$C$19,IF(U36=Dienste!$A$20,Dienste!$C$20,IF(U36=Dienste!$A$21,Dienste!$C$21,IF(U36=Dienste!$A$22,Dienste!$C$22,IF(U36=Dienste!$A$23,Dienste!$C$23,IF(U36=Dienste!$A$24,Dienste!$C$24,IF(U36=Dienste!$A$25,Dienste!$C$25,IF(U36=Dienste!$A$26,Dienste!$C$26,IF(U36=Dienste!$A$27,Dienste!$C$27,IF(U36=Dienste!$A$28,Dienste!$C$28,IF(U36=Dienste!#REF!,Dienste!#REF!,IF(U36=Dienste!#REF!,Dienste!#REF!,IF(U36=Dienste!#REF!,Dienste!#REF!,IF(U36=Dienste!#REF!,Dienste!#REF!,IF(U36=Dienste!$A$33,Dienste!$C$33,IF(U36=Dienste!$A$34,Dienste!$C$34,IF(U36=Dienste!$A$35,Dienste!$C$35,IF(U36=Dienste!$A$36,Dienste!$C$36,)))))))))))))))))))))))))))))))))))</f>
        <v>#REF!</v>
      </c>
      <c r="BP36" s="27" t="e">
        <f>IF(V36=Dienste!$A$2,Dienste!$C$2,IF(V36=Dienste!$A$3,Dienste!$C$3,IF(V36=Dienste!$A$4,Dienste!$C$4,IF(V36=Dienste!$A$5,Dienste!$C$5,IF(V36=Dienste!$A$6,Dienste!$C$6,IF(V36=Dienste!$A$7,Dienste!$C$7,IF(V36=Dienste!$A$8,Dienste!$C$8,IF(V36=Dienste!$A$9,Dienste!$C$9,IF(V36=Dienste!$A$10,Dienste!$C$10,IF(V36=Dienste!$A$11,Dienste!$C$11,IF(V36=Dienste!$A$12,Dienste!$C$12,IF(V36=Dienste!$A$13,Dienste!$C$13,IF(V36=Dienste!$A$14,Dienste!$C$14,IF(V36=Dienste!$A$15,Dienste!$C$15,IF(V36=Dienste!$A$16,Dienste!$C$16,IF(V36=Dienste!$A$17,Dienste!$C$17,IF(V36=Dienste!$A$18,Dienste!$C$18,IF(V36=Dienste!$A$19,Dienste!$C$19,IF(V36=Dienste!$A$20,Dienste!$C$20,IF(V36=Dienste!$A$21,Dienste!$C$21,IF(V36=Dienste!$A$22,Dienste!$C$22,IF(V36=Dienste!$A$23,Dienste!$C$23,IF(V36=Dienste!$A$24,Dienste!$C$24,IF(V36=Dienste!$A$25,Dienste!$C$25,IF(V36=Dienste!$A$26,Dienste!$C$26,IF(V36=Dienste!$A$27,Dienste!$C$27,IF(V36=Dienste!$A$28,Dienste!$C$28,IF(V36=Dienste!#REF!,Dienste!#REF!,IF(V36=Dienste!#REF!,Dienste!#REF!,IF(V36=Dienste!#REF!,Dienste!#REF!,IF(V36=Dienste!#REF!,Dienste!#REF!,IF(V36=Dienste!$A$33,Dienste!$C$33,IF(V36=Dienste!$A$34,Dienste!$C$34,IF(V36=Dienste!$A$35,Dienste!$C$35,IF(V36=Dienste!$A$36,Dienste!$C$36,)))))))))))))))))))))))))))))))))))</f>
        <v>#REF!</v>
      </c>
      <c r="BQ36" s="27" t="e">
        <f>IF(W36=Dienste!$A$2,Dienste!$C$2,IF(W36=Dienste!$A$3,Dienste!$C$3,IF(W36=Dienste!$A$4,Dienste!$C$4,IF(W36=Dienste!$A$5,Dienste!$C$5,IF(W36=Dienste!$A$6,Dienste!$C$6,IF(W36=Dienste!$A$7,Dienste!$C$7,IF(W36=Dienste!$A$8,Dienste!$C$8,IF(W36=Dienste!$A$9,Dienste!$C$9,IF(W36=Dienste!$A$10,Dienste!$C$10,IF(W36=Dienste!$A$11,Dienste!$C$11,IF(W36=Dienste!$A$12,Dienste!$C$12,IF(W36=Dienste!$A$13,Dienste!$C$13,IF(W36=Dienste!$A$14,Dienste!$C$14,IF(W36=Dienste!$A$15,Dienste!$C$15,IF(W36=Dienste!$A$16,Dienste!$C$16,IF(W36=Dienste!$A$17,Dienste!$C$17,IF(W36=Dienste!$A$18,Dienste!$C$18,IF(W36=Dienste!$A$19,Dienste!$C$19,IF(W36=Dienste!$A$20,Dienste!$C$20,IF(W36=Dienste!$A$21,Dienste!$C$21,IF(W36=Dienste!$A$22,Dienste!$C$22,IF(W36=Dienste!$A$23,Dienste!$C$23,IF(W36=Dienste!$A$24,Dienste!$C$24,IF(W36=Dienste!$A$25,Dienste!$C$25,IF(W36=Dienste!$A$26,Dienste!$C$26,IF(W36=Dienste!$A$27,Dienste!$C$27,IF(W36=Dienste!$A$28,Dienste!$C$28,IF(W36=Dienste!#REF!,Dienste!#REF!,IF(W36=Dienste!#REF!,Dienste!#REF!,IF(W36=Dienste!#REF!,Dienste!#REF!,IF(W36=Dienste!#REF!,Dienste!#REF!,IF(W36=Dienste!$A$33,Dienste!$C$33,IF(W36=Dienste!$A$34,Dienste!$C$34,IF(W36=Dienste!$A$35,Dienste!$C$35,IF(W36=Dienste!$A$36,Dienste!$C$36,)))))))))))))))))))))))))))))))))))</f>
        <v>#REF!</v>
      </c>
      <c r="BR36" s="27" t="e">
        <f>IF(X36=Dienste!$A$2,Dienste!$C$2,IF(X36=Dienste!$A$3,Dienste!$C$3,IF(X36=Dienste!$A$4,Dienste!$C$4,IF(X36=Dienste!$A$5,Dienste!$C$5,IF(X36=Dienste!$A$6,Dienste!$C$6,IF(X36=Dienste!$A$7,Dienste!$C$7,IF(X36=Dienste!$A$8,Dienste!$C$8,IF(X36=Dienste!$A$9,Dienste!$C$9,IF(X36=Dienste!$A$10,Dienste!$C$10,IF(X36=Dienste!$A$11,Dienste!$C$11,IF(X36=Dienste!$A$12,Dienste!$C$12,IF(X36=Dienste!$A$13,Dienste!$C$13,IF(X36=Dienste!$A$14,Dienste!$C$14,IF(X36=Dienste!$A$15,Dienste!$C$15,IF(X36=Dienste!$A$16,Dienste!$C$16,IF(X36=Dienste!$A$17,Dienste!$C$17,IF(X36=Dienste!$A$18,Dienste!$C$18,IF(X36=Dienste!$A$19,Dienste!$C$19,IF(X36=Dienste!$A$20,Dienste!$C$20,IF(X36=Dienste!$A$21,Dienste!$C$21,IF(X36=Dienste!$A$22,Dienste!$C$22,IF(X36=Dienste!$A$23,Dienste!$C$23,IF(X36=Dienste!$A$24,Dienste!$C$24,IF(X36=Dienste!$A$25,Dienste!$C$25,IF(X36=Dienste!$A$26,Dienste!$C$26,IF(X36=Dienste!$A$27,Dienste!$C$27,IF(X36=Dienste!$A$28,Dienste!$C$28,IF(X36=Dienste!#REF!,Dienste!#REF!,IF(X36=Dienste!#REF!,Dienste!#REF!,IF(X36=Dienste!#REF!,Dienste!#REF!,IF(X36=Dienste!#REF!,Dienste!#REF!,IF(X36=Dienste!$A$33,Dienste!$C$33,IF(X36=Dienste!$A$34,Dienste!$C$34,IF(X36=Dienste!$A$35,Dienste!$C$35,IF(X36=Dienste!$A$36,Dienste!$C$36,)))))))))))))))))))))))))))))))))))</f>
        <v>#REF!</v>
      </c>
      <c r="BS36" s="27" t="e">
        <f>IF(Y36=Dienste!$A$2,Dienste!$C$2,IF(Y36=Dienste!$A$3,Dienste!$C$3,IF(Y36=Dienste!$A$4,Dienste!$C$4,IF(Y36=Dienste!$A$5,Dienste!$C$5,IF(Y36=Dienste!$A$6,Dienste!$C$6,IF(Y36=Dienste!$A$7,Dienste!$C$7,IF(Y36=Dienste!$A$8,Dienste!$C$8,IF(Y36=Dienste!$A$9,Dienste!$C$9,IF(Y36=Dienste!$A$10,Dienste!$C$10,IF(Y36=Dienste!$A$11,Dienste!$C$11,IF(Y36=Dienste!$A$12,Dienste!$C$12,IF(Y36=Dienste!$A$13,Dienste!$C$13,IF(Y36=Dienste!$A$14,Dienste!$C$14,IF(Y36=Dienste!$A$15,Dienste!$C$15,IF(Y36=Dienste!$A$16,Dienste!$C$16,IF(Y36=Dienste!$A$17,Dienste!$C$17,IF(Y36=Dienste!$A$18,Dienste!$C$18,IF(Y36=Dienste!$A$19,Dienste!$C$19,IF(Y36=Dienste!$A$20,Dienste!$C$20,IF(Y36=Dienste!$A$21,Dienste!$C$21,IF(Y36=Dienste!$A$22,Dienste!$C$22,IF(Y36=Dienste!$A$23,Dienste!$C$23,IF(Y36=Dienste!$A$24,Dienste!$C$24,IF(Y36=Dienste!$A$25,Dienste!$C$25,IF(Y36=Dienste!$A$26,Dienste!$C$26,IF(Y36=Dienste!$A$27,Dienste!$C$27,IF(Y36=Dienste!$A$28,Dienste!$C$28,IF(Y36=Dienste!#REF!,Dienste!#REF!,IF(Y36=Dienste!#REF!,Dienste!#REF!,IF(Y36=Dienste!#REF!,Dienste!#REF!,IF(Y36=Dienste!#REF!,Dienste!#REF!,IF(Y36=Dienste!$A$33,Dienste!$C$33,IF(Y36=Dienste!$A$34,Dienste!$C$34,IF(Y36=Dienste!$A$35,Dienste!$C$35,IF(Y36=Dienste!$A$36,Dienste!$C$36,)))))))))))))))))))))))))))))))))))</f>
        <v>#REF!</v>
      </c>
      <c r="BT36" s="27" t="e">
        <f>IF(Z36=Dienste!$A$2,Dienste!$C$2,IF(Z36=Dienste!$A$3,Dienste!$C$3,IF(Z36=Dienste!$A$4,Dienste!$C$4,IF(Z36=Dienste!$A$5,Dienste!$C$5,IF(Z36=Dienste!$A$6,Dienste!$C$6,IF(Z36=Dienste!$A$7,Dienste!$C$7,IF(Z36=Dienste!$A$8,Dienste!$C$8,IF(Z36=Dienste!$A$9,Dienste!$C$9,IF(Z36=Dienste!$A$10,Dienste!$C$10,IF(Z36=Dienste!$A$11,Dienste!$C$11,IF(Z36=Dienste!$A$12,Dienste!$C$12,IF(Z36=Dienste!$A$13,Dienste!$C$13,IF(Z36=Dienste!$A$14,Dienste!$C$14,IF(Z36=Dienste!$A$15,Dienste!$C$15,IF(Z36=Dienste!$A$16,Dienste!$C$16,IF(Z36=Dienste!$A$17,Dienste!$C$17,IF(Z36=Dienste!$A$18,Dienste!$C$18,IF(Z36=Dienste!$A$19,Dienste!$C$19,IF(Z36=Dienste!$A$20,Dienste!$C$20,IF(Z36=Dienste!$A$21,Dienste!$C$21,IF(Z36=Dienste!$A$22,Dienste!$C$22,IF(Z36=Dienste!$A$23,Dienste!$C$23,IF(Z36=Dienste!$A$24,Dienste!$C$24,IF(Z36=Dienste!$A$25,Dienste!$C$25,IF(Z36=Dienste!$A$26,Dienste!$C$26,IF(Z36=Dienste!$A$27,Dienste!$C$27,IF(Z36=Dienste!$A$28,Dienste!$C$28,IF(Z36=Dienste!#REF!,Dienste!#REF!,IF(Z36=Dienste!#REF!,Dienste!#REF!,IF(Z36=Dienste!#REF!,Dienste!#REF!,IF(Z36=Dienste!#REF!,Dienste!#REF!,IF(Z36=Dienste!$A$33,Dienste!$C$33,IF(Z36=Dienste!$A$34,Dienste!$C$34,IF(Z36=Dienste!$A$35,Dienste!$C$35,IF(Z36=Dienste!$A$36,Dienste!$C$36,)))))))))))))))))))))))))))))))))))</f>
        <v>#REF!</v>
      </c>
      <c r="BU36" s="27" t="e">
        <f>IF(AA36=Dienste!$A$2,Dienste!$C$2,IF(AA36=Dienste!$A$3,Dienste!$C$3,IF(AA36=Dienste!$A$4,Dienste!$C$4,IF(AA36=Dienste!$A$5,Dienste!$C$5,IF(AA36=Dienste!$A$6,Dienste!$C$6,IF(AA36=Dienste!$A$7,Dienste!$C$7,IF(AA36=Dienste!$A$8,Dienste!$C$8,IF(AA36=Dienste!$A$9,Dienste!$C$9,IF(AA36=Dienste!$A$10,Dienste!$C$10,IF(AA36=Dienste!$A$11,Dienste!$C$11,IF(AA36=Dienste!$A$12,Dienste!$C$12,IF(AA36=Dienste!$A$13,Dienste!$C$13,IF(AA36=Dienste!$A$14,Dienste!$C$14,IF(AA36=Dienste!$A$15,Dienste!$C$15,IF(AA36=Dienste!$A$16,Dienste!$C$16,IF(AA36=Dienste!$A$17,Dienste!$C$17,IF(AA36=Dienste!$A$18,Dienste!$C$18,IF(AA36=Dienste!$A$19,Dienste!$C$19,IF(AA36=Dienste!$A$20,Dienste!$C$20,IF(AA36=Dienste!$A$21,Dienste!$C$21,IF(AA36=Dienste!$A$22,Dienste!$C$22,IF(AA36=Dienste!$A$23,Dienste!$C$23,IF(AA36=Dienste!$A$24,Dienste!$C$24,IF(AA36=Dienste!$A$25,Dienste!$C$25,IF(AA36=Dienste!$A$26,Dienste!$C$26,IF(AA36=Dienste!$A$27,Dienste!$C$27,IF(AA36=Dienste!$A$28,Dienste!$C$28,IF(AA36=Dienste!#REF!,Dienste!#REF!,IF(AA36=Dienste!#REF!,Dienste!#REF!,IF(AA36=Dienste!#REF!,Dienste!#REF!,IF(AA36=Dienste!#REF!,Dienste!#REF!,IF(AA36=Dienste!$A$33,Dienste!$C$33,IF(AA36=Dienste!$A$34,Dienste!$C$34,IF(AA36=Dienste!$A$35,Dienste!$C$35,IF(AA36=Dienste!$A$36,Dienste!$C$36,)))))))))))))))))))))))))))))))))))</f>
        <v>#REF!</v>
      </c>
      <c r="BV36" s="27" t="e">
        <f>IF(AB36=Dienste!$A$2,Dienste!$C$2,IF(AB36=Dienste!$A$3,Dienste!$C$3,IF(AB36=Dienste!$A$4,Dienste!$C$4,IF(AB36=Dienste!$A$5,Dienste!$C$5,IF(AB36=Dienste!$A$6,Dienste!$C$6,IF(AB36=Dienste!$A$7,Dienste!$C$7,IF(AB36=Dienste!$A$8,Dienste!$C$8,IF(AB36=Dienste!$A$9,Dienste!$C$9,IF(AB36=Dienste!$A$10,Dienste!$C$10,IF(AB36=Dienste!$A$11,Dienste!$C$11,IF(AB36=Dienste!$A$12,Dienste!$C$12,IF(AB36=Dienste!$A$13,Dienste!$C$13,IF(AB36=Dienste!$A$14,Dienste!$C$14,IF(AB36=Dienste!$A$15,Dienste!$C$15,IF(AB36=Dienste!$A$16,Dienste!$C$16,IF(AB36=Dienste!$A$17,Dienste!$C$17,IF(AB36=Dienste!$A$18,Dienste!$C$18,IF(AB36=Dienste!$A$19,Dienste!$C$19,IF(AB36=Dienste!$A$20,Dienste!$C$20,IF(AB36=Dienste!$A$21,Dienste!$C$21,IF(AB36=Dienste!$A$22,Dienste!$C$22,IF(AB36=Dienste!$A$23,Dienste!$C$23,IF(AB36=Dienste!$A$24,Dienste!$C$24,IF(AB36=Dienste!$A$25,Dienste!$C$25,IF(AB36=Dienste!$A$26,Dienste!$C$26,IF(AB36=Dienste!$A$27,Dienste!$C$27,IF(AB36=Dienste!$A$28,Dienste!$C$28,IF(AB36=Dienste!#REF!,Dienste!#REF!,IF(AB36=Dienste!#REF!,Dienste!#REF!,IF(AB36=Dienste!#REF!,Dienste!#REF!,IF(AB36=Dienste!#REF!,Dienste!#REF!,IF(AB36=Dienste!$A$33,Dienste!$C$33,IF(AB36=Dienste!$A$34,Dienste!$C$34,IF(AB36=Dienste!$A$35,Dienste!$C$35,IF(AB36=Dienste!$A$36,Dienste!$C$36,)))))))))))))))))))))))))))))))))))</f>
        <v>#REF!</v>
      </c>
      <c r="BW36" s="27" t="e">
        <f>IF(AC36=Dienste!$A$2,Dienste!$C$2,IF(AC36=Dienste!$A$3,Dienste!$C$3,IF(AC36=Dienste!$A$4,Dienste!$C$4,IF(AC36=Dienste!$A$5,Dienste!$C$5,IF(AC36=Dienste!$A$6,Dienste!$C$6,IF(AC36=Dienste!$A$7,Dienste!$C$7,IF(AC36=Dienste!$A$8,Dienste!$C$8,IF(AC36=Dienste!$A$9,Dienste!$C$9,IF(AC36=Dienste!$A$10,Dienste!$C$10,IF(AC36=Dienste!$A$11,Dienste!$C$11,IF(AC36=Dienste!$A$12,Dienste!$C$12,IF(AC36=Dienste!$A$13,Dienste!$C$13,IF(AC36=Dienste!$A$14,Dienste!$C$14,IF(AC36=Dienste!$A$15,Dienste!$C$15,IF(AC36=Dienste!$A$16,Dienste!$C$16,IF(AC36=Dienste!$A$17,Dienste!$C$17,IF(AC36=Dienste!$A$18,Dienste!$C$18,IF(AC36=Dienste!$A$19,Dienste!$C$19,IF(AC36=Dienste!$A$20,Dienste!$C$20,IF(AC36=Dienste!$A$21,Dienste!$C$21,IF(AC36=Dienste!$A$22,Dienste!$C$22,IF(AC36=Dienste!$A$23,Dienste!$C$23,IF(AC36=Dienste!$A$24,Dienste!$C$24,IF(AC36=Dienste!$A$25,Dienste!$C$25,IF(AC36=Dienste!$A$26,Dienste!$C$26,IF(AC36=Dienste!$A$27,Dienste!$C$27,IF(AC36=Dienste!$A$28,Dienste!$C$28,IF(AC36=Dienste!#REF!,Dienste!#REF!,IF(AC36=Dienste!#REF!,Dienste!#REF!,IF(AC36=Dienste!#REF!,Dienste!#REF!,IF(AC36=Dienste!#REF!,Dienste!#REF!,IF(AC36=Dienste!$A$33,Dienste!$C$33,IF(AC36=Dienste!$A$34,Dienste!$C$34,IF(AC36=Dienste!$A$35,Dienste!$C$35,IF(AC36=Dienste!$A$36,Dienste!$C$36,)))))))))))))))))))))))))))))))))))</f>
        <v>#REF!</v>
      </c>
      <c r="BX36" s="27" t="e">
        <f>IF(AD36=Dienste!$A$2,Dienste!$C$2,IF(AD36=Dienste!$A$3,Dienste!$C$3,IF(AD36=Dienste!$A$4,Dienste!$C$4,IF(AD36=Dienste!$A$5,Dienste!$C$5,IF(AD36=Dienste!$A$6,Dienste!$C$6,IF(AD36=Dienste!$A$7,Dienste!$C$7,IF(AD36=Dienste!$A$8,Dienste!$C$8,IF(AD36=Dienste!$A$9,Dienste!$C$9,IF(AD36=Dienste!$A$10,Dienste!$C$10,IF(AD36=Dienste!$A$11,Dienste!$C$11,IF(AD36=Dienste!$A$12,Dienste!$C$12,IF(AD36=Dienste!$A$13,Dienste!$C$13,IF(AD36=Dienste!$A$14,Dienste!$C$14,IF(AD36=Dienste!$A$15,Dienste!$C$15,IF(AD36=Dienste!$A$16,Dienste!$C$16,IF(AD36=Dienste!$A$17,Dienste!$C$17,IF(AD36=Dienste!$A$18,Dienste!$C$18,IF(AD36=Dienste!$A$19,Dienste!$C$19,IF(AD36=Dienste!$A$20,Dienste!$C$20,IF(AD36=Dienste!$A$21,Dienste!$C$21,IF(AD36=Dienste!$A$22,Dienste!$C$22,IF(AD36=Dienste!$A$23,Dienste!$C$23,IF(AD36=Dienste!$A$24,Dienste!$C$24,IF(AD36=Dienste!$A$25,Dienste!$C$25,IF(AD36=Dienste!$A$26,Dienste!$C$26,IF(AD36=Dienste!$A$27,Dienste!$C$27,IF(AD36=Dienste!$A$28,Dienste!$C$28,IF(AD36=Dienste!#REF!,Dienste!#REF!,IF(AD36=Dienste!#REF!,Dienste!#REF!,IF(AD36=Dienste!#REF!,Dienste!#REF!,IF(AD36=Dienste!#REF!,Dienste!#REF!,IF(AD36=Dienste!$A$33,Dienste!$C$33,IF(AD36=Dienste!$A$34,Dienste!$C$34,IF(AD36=Dienste!$A$35,Dienste!$C$35,IF(AD36=Dienste!$A$36,Dienste!$C$36,)))))))))))))))))))))))))))))))))))</f>
        <v>#REF!</v>
      </c>
      <c r="BY36" s="27" t="e">
        <f>IF(AE36=Dienste!$A$2,Dienste!$C$2,IF(AE36=Dienste!$A$3,Dienste!$C$3,IF(AE36=Dienste!$A$4,Dienste!$C$4,IF(AE36=Dienste!$A$5,Dienste!$C$5,IF(AE36=Dienste!$A$6,Dienste!$C$6,IF(AE36=Dienste!$A$7,Dienste!$C$7,IF(AE36=Dienste!$A$8,Dienste!$C$8,IF(AE36=Dienste!$A$9,Dienste!$C$9,IF(AE36=Dienste!$A$10,Dienste!$C$10,IF(AE36=Dienste!$A$11,Dienste!$C$11,IF(AE36=Dienste!$A$12,Dienste!$C$12,IF(AE36=Dienste!$A$13,Dienste!$C$13,IF(AE36=Dienste!$A$14,Dienste!$C$14,IF(AE36=Dienste!$A$15,Dienste!$C$15,IF(AE36=Dienste!$A$16,Dienste!$C$16,IF(AE36=Dienste!$A$17,Dienste!$C$17,IF(AE36=Dienste!$A$18,Dienste!$C$18,IF(AE36=Dienste!$A$19,Dienste!$C$19,IF(AE36=Dienste!$A$20,Dienste!$C$20,IF(AE36=Dienste!$A$21,Dienste!$C$21,IF(AE36=Dienste!$A$22,Dienste!$C$22,IF(AE36=Dienste!$A$23,Dienste!$C$23,IF(AE36=Dienste!$A$24,Dienste!$C$24,IF(AE36=Dienste!$A$25,Dienste!$C$25,IF(AE36=Dienste!$A$26,Dienste!$C$26,IF(AE36=Dienste!$A$27,Dienste!$C$27,IF(AE36=Dienste!$A$28,Dienste!$C$28,IF(AE36=Dienste!#REF!,Dienste!#REF!,IF(AE36=Dienste!#REF!,Dienste!#REF!,IF(AE36=Dienste!#REF!,Dienste!#REF!,IF(AE36=Dienste!#REF!,Dienste!#REF!,IF(AE36=Dienste!$A$33,Dienste!$C$33,IF(AE36=Dienste!$A$34,Dienste!$C$34,IF(AE36=Dienste!$A$35,Dienste!$C$35,IF(AE36=Dienste!$A$36,Dienste!$C$36,)))))))))))))))))))))))))))))))))))</f>
        <v>#REF!</v>
      </c>
      <c r="BZ36" s="27" t="e">
        <f>IF(AF36=Dienste!$A$2,Dienste!$C$2,IF(AF36=Dienste!$A$3,Dienste!$C$3,IF(AF36=Dienste!$A$4,Dienste!$C$4,IF(AF36=Dienste!$A$5,Dienste!$C$5,IF(AF36=Dienste!$A$6,Dienste!$C$6,IF(AF36=Dienste!$A$7,Dienste!$C$7,IF(AF36=Dienste!$A$8,Dienste!$C$8,IF(AF36=Dienste!$A$9,Dienste!$C$9,IF(AF36=Dienste!$A$10,Dienste!$C$10,IF(AF36=Dienste!$A$11,Dienste!$C$11,IF(AF36=Dienste!$A$12,Dienste!$C$12,IF(AF36=Dienste!$A$13,Dienste!$C$13,IF(AF36=Dienste!$A$14,Dienste!$C$14,IF(AF36=Dienste!$A$15,Dienste!$C$15,IF(AF36=Dienste!$A$16,Dienste!$C$16,IF(AF36=Dienste!$A$17,Dienste!$C$17,IF(AF36=Dienste!$A$18,Dienste!$C$18,IF(AF36=Dienste!$A$19,Dienste!$C$19,IF(AF36=Dienste!$A$20,Dienste!$C$20,IF(AF36=Dienste!$A$21,Dienste!$C$21,IF(AF36=Dienste!$A$22,Dienste!$C$22,IF(AF36=Dienste!$A$23,Dienste!$C$23,IF(AF36=Dienste!$A$24,Dienste!$C$24,IF(AF36=Dienste!$A$25,Dienste!$C$25,IF(AF36=Dienste!$A$26,Dienste!$C$26,IF(AF36=Dienste!$A$27,Dienste!$C$27,IF(AF36=Dienste!$A$28,Dienste!$C$28,IF(AF36=Dienste!#REF!,Dienste!#REF!,IF(AF36=Dienste!#REF!,Dienste!#REF!,IF(AF36=Dienste!#REF!,Dienste!#REF!,IF(AF36=Dienste!#REF!,Dienste!#REF!,IF(AF36=Dienste!$A$33,Dienste!$C$33,IF(AF36=Dienste!$A$34,Dienste!$C$34,IF(AF36=Dienste!$A$35,Dienste!$C$35,IF(AF36=Dienste!$A$36,Dienste!$C$36,)))))))))))))))))))))))))))))))))))</f>
        <v>#REF!</v>
      </c>
      <c r="CA36" s="27" t="e">
        <f>IF(AG36=Dienste!$A$2,Dienste!$C$2,IF(AG36=Dienste!$A$3,Dienste!$C$3,IF(AG36=Dienste!$A$4,Dienste!$C$4,IF(AG36=Dienste!$A$5,Dienste!$C$5,IF(AG36=Dienste!$A$6,Dienste!$C$6,IF(AG36=Dienste!$A$7,Dienste!$C$7,IF(AG36=Dienste!$A$8,Dienste!$C$8,IF(AG36=Dienste!$A$9,Dienste!$C$9,IF(AG36=Dienste!$A$10,Dienste!$C$10,IF(AG36=Dienste!$A$11,Dienste!$C$11,IF(AG36=Dienste!$A$12,Dienste!$C$12,IF(AG36=Dienste!$A$13,Dienste!$C$13,IF(AG36=Dienste!$A$14,Dienste!$C$14,IF(AG36=Dienste!$A$15,Dienste!$C$15,IF(AG36=Dienste!$A$16,Dienste!$C$16,IF(AG36=Dienste!$A$17,Dienste!$C$17,IF(AG36=Dienste!$A$18,Dienste!$C$18,IF(AG36=Dienste!$A$19,Dienste!$C$19,IF(AG36=Dienste!$A$20,Dienste!$C$20,IF(AG36=Dienste!$A$21,Dienste!$C$21,IF(AG36=Dienste!$A$22,Dienste!$C$22,IF(AG36=Dienste!$A$23,Dienste!$C$23,IF(AG36=Dienste!$A$24,Dienste!$C$24,IF(AG36=Dienste!$A$25,Dienste!$C$25,IF(AG36=Dienste!$A$26,Dienste!$C$26,IF(AG36=Dienste!$A$27,Dienste!$C$27,IF(AG36=Dienste!$A$28,Dienste!$C$28,IF(AG36=Dienste!#REF!,Dienste!#REF!,IF(AG36=Dienste!#REF!,Dienste!#REF!,IF(AG36=Dienste!#REF!,Dienste!#REF!,IF(AG36=Dienste!#REF!,Dienste!#REF!,IF(AG36=Dienste!$A$33,Dienste!$C$33,IF(AG36=Dienste!$A$34,Dienste!$C$34,IF(AG36=Dienste!$A$35,Dienste!$C$35,IF(AG36=Dienste!$A$36,Dienste!$C$36,)))))))))))))))))))))))))))))))))))</f>
        <v>#REF!</v>
      </c>
      <c r="CB36" s="27" t="e">
        <f>IF(AH36=Dienste!$A$2,Dienste!$C$2,IF(AH36=Dienste!$A$3,Dienste!$C$3,IF(AH36=Dienste!$A$4,Dienste!$C$4,IF(AH36=Dienste!$A$5,Dienste!$C$5,IF(AH36=Dienste!$A$6,Dienste!$C$6,IF(AH36=Dienste!$A$7,Dienste!$C$7,IF(AH36=Dienste!$A$8,Dienste!$C$8,IF(AH36=Dienste!$A$9,Dienste!$C$9,IF(AH36=Dienste!$A$10,Dienste!$C$10,IF(AH36=Dienste!$A$11,Dienste!$C$11,IF(AH36=Dienste!$A$12,Dienste!$C$12,IF(AH36=Dienste!$A$13,Dienste!$C$13,IF(AH36=Dienste!$A$14,Dienste!$C$14,IF(AH36=Dienste!$A$15,Dienste!$C$15,IF(AH36=Dienste!$A$16,Dienste!$C$16,IF(AH36=Dienste!$A$17,Dienste!$C$17,IF(AH36=Dienste!$A$18,Dienste!$C$18,IF(AH36=Dienste!$A$19,Dienste!$C$19,IF(AH36=Dienste!$A$20,Dienste!$C$20,IF(AH36=Dienste!$A$21,Dienste!$C$21,IF(AH36=Dienste!$A$22,Dienste!$C$22,IF(AH36=Dienste!$A$23,Dienste!$C$23,IF(AH36=Dienste!$A$24,Dienste!$C$24,IF(AH36=Dienste!$A$25,Dienste!$C$25,IF(AH36=Dienste!$A$26,Dienste!$C$26,IF(AH36=Dienste!$A$27,Dienste!$C$27,IF(AH36=Dienste!$A$28,Dienste!$C$28,IF(AH36=Dienste!#REF!,Dienste!#REF!,IF(AH36=Dienste!#REF!,Dienste!#REF!,IF(AH36=Dienste!#REF!,Dienste!#REF!,IF(AH36=Dienste!#REF!,Dienste!#REF!,IF(AH36=Dienste!$A$33,Dienste!$C$33,IF(AH36=Dienste!$A$34,Dienste!$C$34,IF(AH36=Dienste!$A$35,Dienste!$C$35,IF(AH36=Dienste!$A$36,Dienste!$C$36,)))))))))))))))))))))))))))))))))))</f>
        <v>#REF!</v>
      </c>
      <c r="CC36" s="27" t="e">
        <f>IF(AI36=Dienste!$A$2,Dienste!$C$2,IF(AI36=Dienste!$A$3,Dienste!$C$3,IF(AI36=Dienste!$A$4,Dienste!$C$4,IF(AI36=Dienste!$A$5,Dienste!$C$5,IF(AI36=Dienste!$A$6,Dienste!$C$6,IF(AI36=Dienste!$A$7,Dienste!$C$7,IF(AI36=Dienste!$A$8,Dienste!$C$8,IF(AI36=Dienste!$A$9,Dienste!$C$9,IF(AI36=Dienste!$A$10,Dienste!$C$10,IF(AI36=Dienste!$A$11,Dienste!$C$11,IF(AI36=Dienste!$A$12,Dienste!$C$12,IF(AI36=Dienste!$A$13,Dienste!$C$13,IF(AI36=Dienste!$A$14,Dienste!$C$14,IF(AI36=Dienste!$A$15,Dienste!$C$15,IF(AI36=Dienste!$A$16,Dienste!$C$16,IF(AI36=Dienste!$A$17,Dienste!$C$17,IF(AI36=Dienste!$A$18,Dienste!$C$18,IF(AI36=Dienste!$A$19,Dienste!$C$19,IF(AI36=Dienste!$A$20,Dienste!$C$20,IF(AI36=Dienste!$A$21,Dienste!$C$21,IF(AI36=Dienste!$A$22,Dienste!$C$22,IF(AI36=Dienste!$A$23,Dienste!$C$23,IF(AI36=Dienste!$A$24,Dienste!$C$24,IF(AI36=Dienste!$A$25,Dienste!$C$25,IF(AI36=Dienste!$A$26,Dienste!$C$26,IF(AI36=Dienste!$A$27,Dienste!$C$27,IF(AI36=Dienste!$A$28,Dienste!$C$28,IF(AI36=Dienste!#REF!,Dienste!#REF!,IF(AI36=Dienste!#REF!,Dienste!#REF!,IF(AI36=Dienste!#REF!,Dienste!#REF!,IF(AI36=Dienste!#REF!,Dienste!#REF!,IF(AI36=Dienste!$A$33,Dienste!$C$33,IF(AI36=Dienste!$A$34,Dienste!$C$34,IF(AI36=Dienste!$A$35,Dienste!$C$35,IF(AI36=Dienste!$A$36,Dienste!$C$36,)))))))))))))))))))))))))))))))))))</f>
        <v>#REF!</v>
      </c>
    </row>
    <row r="37" spans="1:81" hidden="1" x14ac:dyDescent="0.25">
      <c r="A37" s="109"/>
      <c r="B37" s="15"/>
      <c r="C37" s="15"/>
      <c r="D37" s="98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4"/>
      <c r="AK37" s="152"/>
      <c r="AL37" s="154"/>
      <c r="AM37" s="152"/>
      <c r="AN37" s="152"/>
      <c r="AO37" s="154"/>
      <c r="AP37" s="152"/>
      <c r="AQ37" s="153"/>
      <c r="AR37" s="154"/>
      <c r="AS37" s="152"/>
      <c r="AT37" s="153"/>
      <c r="AU37" s="27" t="e">
        <f t="shared" si="3"/>
        <v>#REF!</v>
      </c>
      <c r="AV37" s="27" t="e">
        <f t="shared" si="4"/>
        <v>#REF!</v>
      </c>
      <c r="AW37" s="58" t="e">
        <f t="shared" ref="AW37:AW44" si="6">AU37-AH37</f>
        <v>#REF!</v>
      </c>
      <c r="AY37" s="27" t="e">
        <f>IF(E37=Dienste!$A$2,Dienste!$C$2,IF(E37=Dienste!$A$3,Dienste!$C$3,IF(E37=Dienste!$A$4,Dienste!$C$4,IF(E37=Dienste!$A$5,Dienste!$C$5,IF(E37=Dienste!$A$6,Dienste!$C$6,IF(E37=Dienste!$A$7,Dienste!$C$7,IF(E37=Dienste!$A$8,Dienste!$C$8,IF(E37=Dienste!$A$9,Dienste!$C$9,IF(E37=Dienste!$A$10,Dienste!$C$10,IF(E37=Dienste!$A$11,Dienste!$C$11,IF(E37=Dienste!$A$12,Dienste!$C$12,IF(E37=Dienste!$A$13,Dienste!$C$13,IF(E37=Dienste!$A$14,Dienste!$C$14,IF(E37=Dienste!$A$15,Dienste!$C$15,IF(E37=Dienste!$A$16,Dienste!$C$16,IF(E37=Dienste!$A$17,Dienste!$C$17,IF(E37=Dienste!$A$18,Dienste!$C$18,IF(E37=Dienste!$A$19,Dienste!$C$19,IF(E37=Dienste!$A$20,Dienste!$C$20,IF(E37=Dienste!$A$21,Dienste!$C$21,IF(E37=Dienste!$A$22,Dienste!$C$22,IF(E37=Dienste!$A$23,Dienste!$C$23,IF(E37=Dienste!$A$24,Dienste!$C$24,IF(E37=Dienste!$A$25,Dienste!$C$25,IF(E37=Dienste!$A$26,Dienste!$C$26,IF(E37=Dienste!$A$27,Dienste!$C$27,IF(E37=Dienste!$A$28,Dienste!$C$28,IF(E37=Dienste!#REF!,Dienste!#REF!,IF(E37=Dienste!#REF!,Dienste!#REF!,IF(E37=Dienste!#REF!,Dienste!#REF!,IF(E37=Dienste!#REF!,Dienste!#REF!,IF(E37=Dienste!$A$33,Dienste!$C$33,IF(E37=Dienste!$A$34,Dienste!$C$34,IF(E37=Dienste!$A$35,Dienste!$C$35,IF(E37=Dienste!$A$36,Dienste!$C$36,)))))))))))))))))))))))))))))))))))</f>
        <v>#REF!</v>
      </c>
      <c r="AZ37" s="27" t="e">
        <f>IF(F37=Dienste!$A$2,Dienste!$C$2,IF(F37=Dienste!$A$3,Dienste!$C$3,IF(F37=Dienste!$A$4,Dienste!$C$4,IF(F37=Dienste!$A$5,Dienste!$C$5,IF(F37=Dienste!$A$6,Dienste!$C$6,IF(F37=Dienste!$A$7,Dienste!$C$7,IF(F37=Dienste!$A$8,Dienste!$C$8,IF(F37=Dienste!$A$9,Dienste!$C$9,IF(F37=Dienste!$A$10,Dienste!$C$10,IF(F37=Dienste!$A$11,Dienste!$C$11,IF(F37=Dienste!$A$12,Dienste!$C$12,IF(F37=Dienste!$A$13,Dienste!$C$13,IF(F37=Dienste!$A$14,Dienste!$C$14,IF(F37=Dienste!$A$15,Dienste!$C$15,IF(F37=Dienste!$A$16,Dienste!$C$16,IF(F37=Dienste!$A$17,Dienste!$C$17,IF(F37=Dienste!$A$18,Dienste!$C$18,IF(F37=Dienste!$A$19,Dienste!$C$19,IF(F37=Dienste!$A$20,Dienste!$C$20,IF(F37=Dienste!$A$21,Dienste!$C$21,IF(F37=Dienste!$A$22,Dienste!$C$22,IF(F37=Dienste!$A$23,Dienste!$C$23,IF(F37=Dienste!$A$24,Dienste!$C$24,IF(F37=Dienste!$A$25,Dienste!$C$25,IF(F37=Dienste!$A$26,Dienste!$C$26,IF(F37=Dienste!$A$27,Dienste!$C$27,IF(F37=Dienste!$A$28,Dienste!$C$28,IF(F37=Dienste!#REF!,Dienste!#REF!,IF(F37=Dienste!#REF!,Dienste!#REF!,IF(F37=Dienste!#REF!,Dienste!#REF!,IF(F37=Dienste!#REF!,Dienste!#REF!,IF(F37=Dienste!$A$33,Dienste!$C$33,IF(F37=Dienste!$A$34,Dienste!$C$34,IF(F37=Dienste!$A$35,Dienste!$C$35,IF(F37=Dienste!$A$36,Dienste!$C$36,)))))))))))))))))))))))))))))))))))</f>
        <v>#REF!</v>
      </c>
      <c r="BA37" s="27" t="e">
        <f>IF(G37=Dienste!$A$2,Dienste!$C$2,IF(G37=Dienste!$A$3,Dienste!$C$3,IF(G37=Dienste!$A$4,Dienste!$C$4,IF(G37=Dienste!$A$5,Dienste!$C$5,IF(G37=Dienste!$A$6,Dienste!$C$6,IF(G37=Dienste!$A$7,Dienste!$C$7,IF(G37=Dienste!$A$8,Dienste!$C$8,IF(G37=Dienste!$A$9,Dienste!$C$9,IF(G37=Dienste!$A$10,Dienste!$C$10,IF(G37=Dienste!$A$11,Dienste!$C$11,IF(G37=Dienste!$A$12,Dienste!$C$12,IF(G37=Dienste!$A$13,Dienste!$C$13,IF(G37=Dienste!$A$14,Dienste!$C$14,IF(G37=Dienste!$A$15,Dienste!$C$15,IF(G37=Dienste!$A$16,Dienste!$C$16,IF(G37=Dienste!$A$17,Dienste!$C$17,IF(G37=Dienste!$A$18,Dienste!$C$18,IF(G37=Dienste!$A$19,Dienste!$C$19,IF(G37=Dienste!$A$20,Dienste!$C$20,IF(G37=Dienste!$A$21,Dienste!$C$21,IF(G37=Dienste!$A$22,Dienste!$C$22,IF(G37=Dienste!$A$23,Dienste!$C$23,IF(G37=Dienste!$A$24,Dienste!$C$24,IF(G37=Dienste!$A$25,Dienste!$C$25,IF(G37=Dienste!$A$26,Dienste!$C$26,IF(G37=Dienste!$A$27,Dienste!$C$27,IF(G37=Dienste!$A$28,Dienste!$C$28,IF(G37=Dienste!#REF!,Dienste!#REF!,IF(G37=Dienste!#REF!,Dienste!#REF!,IF(G37=Dienste!#REF!,Dienste!#REF!,IF(G37=Dienste!#REF!,Dienste!#REF!,IF(G37=Dienste!$A$33,Dienste!$C$33,IF(G37=Dienste!$A$34,Dienste!$C$34,IF(G37=Dienste!$A$35,Dienste!$C$35,IF(G37=Dienste!$A$36,Dienste!$C$36,)))))))))))))))))))))))))))))))))))</f>
        <v>#REF!</v>
      </c>
      <c r="BB37" s="27" t="e">
        <f>IF(H37=Dienste!$A$2,Dienste!$C$2,IF(H37=Dienste!$A$3,Dienste!$C$3,IF(H37=Dienste!$A$4,Dienste!$C$4,IF(H37=Dienste!$A$5,Dienste!$C$5,IF(H37=Dienste!$A$6,Dienste!$C$6,IF(H37=Dienste!$A$7,Dienste!$C$7,IF(H37=Dienste!$A$8,Dienste!$C$8,IF(H37=Dienste!$A$9,Dienste!$C$9,IF(H37=Dienste!$A$10,Dienste!$C$10,IF(H37=Dienste!$A$11,Dienste!$C$11,IF(H37=Dienste!$A$12,Dienste!$C$12,IF(H37=Dienste!$A$13,Dienste!$C$13,IF(H37=Dienste!$A$14,Dienste!$C$14,IF(H37=Dienste!$A$15,Dienste!$C$15,IF(H37=Dienste!$A$16,Dienste!$C$16,IF(H37=Dienste!$A$17,Dienste!$C$17,IF(H37=Dienste!$A$18,Dienste!$C$18,IF(H37=Dienste!$A$19,Dienste!$C$19,IF(H37=Dienste!$A$20,Dienste!$C$20,IF(H37=Dienste!$A$21,Dienste!$C$21,IF(H37=Dienste!$A$22,Dienste!$C$22,IF(H37=Dienste!$A$23,Dienste!$C$23,IF(H37=Dienste!$A$24,Dienste!$C$24,IF(H37=Dienste!$A$25,Dienste!$C$25,IF(H37=Dienste!$A$26,Dienste!$C$26,IF(H37=Dienste!$A$27,Dienste!$C$27,IF(H37=Dienste!$A$28,Dienste!$C$28,IF(H37=Dienste!#REF!,Dienste!#REF!,IF(H37=Dienste!#REF!,Dienste!#REF!,IF(H37=Dienste!#REF!,Dienste!#REF!,IF(H37=Dienste!#REF!,Dienste!#REF!,IF(H37=Dienste!$A$33,Dienste!$C$33,IF(H37=Dienste!$A$34,Dienste!$C$34,IF(H37=Dienste!$A$35,Dienste!$C$35,IF(H37=Dienste!$A$36,Dienste!$C$36,)))))))))))))))))))))))))))))))))))</f>
        <v>#REF!</v>
      </c>
      <c r="BC37" s="27" t="e">
        <f>IF(I37=Dienste!$A$2,Dienste!$C$2,IF(I37=Dienste!$A$3,Dienste!$C$3,IF(I37=Dienste!$A$4,Dienste!$C$4,IF(I37=Dienste!$A$5,Dienste!$C$5,IF(I37=Dienste!$A$6,Dienste!$C$6,IF(I37=Dienste!$A$7,Dienste!$C$7,IF(I37=Dienste!$A$8,Dienste!$C$8,IF(I37=Dienste!$A$9,Dienste!$C$9,IF(I37=Dienste!$A$10,Dienste!$C$10,IF(I37=Dienste!$A$11,Dienste!$C$11,IF(I37=Dienste!$A$12,Dienste!$C$12,IF(I37=Dienste!$A$13,Dienste!$C$13,IF(I37=Dienste!$A$14,Dienste!$C$14,IF(I37=Dienste!$A$15,Dienste!$C$15,IF(I37=Dienste!$A$16,Dienste!$C$16,IF(I37=Dienste!$A$17,Dienste!$C$17,IF(I37=Dienste!$A$18,Dienste!$C$18,IF(I37=Dienste!$A$19,Dienste!$C$19,IF(I37=Dienste!$A$20,Dienste!$C$20,IF(I37=Dienste!$A$21,Dienste!$C$21,IF(I37=Dienste!$A$22,Dienste!$C$22,IF(I37=Dienste!$A$23,Dienste!$C$23,IF(I37=Dienste!$A$24,Dienste!$C$24,IF(I37=Dienste!$A$25,Dienste!$C$25,IF(I37=Dienste!$A$26,Dienste!$C$26,IF(I37=Dienste!$A$27,Dienste!$C$27,IF(I37=Dienste!$A$28,Dienste!$C$28,IF(I37=Dienste!#REF!,Dienste!#REF!,IF(I37=Dienste!#REF!,Dienste!#REF!,IF(I37=Dienste!#REF!,Dienste!#REF!,IF(I37=Dienste!#REF!,Dienste!#REF!,IF(I37=Dienste!$A$33,Dienste!$C$33,IF(I37=Dienste!$A$34,Dienste!$C$34,IF(I37=Dienste!$A$35,Dienste!$C$35,IF(I37=Dienste!$A$36,Dienste!$C$36,)))))))))))))))))))))))))))))))))))</f>
        <v>#REF!</v>
      </c>
      <c r="BD37" s="27" t="e">
        <f>IF(J37=Dienste!$A$2,Dienste!$C$2,IF(J37=Dienste!$A$3,Dienste!$C$3,IF(J37=Dienste!$A$4,Dienste!$C$4,IF(J37=Dienste!$A$5,Dienste!$C$5,IF(J37=Dienste!$A$6,Dienste!$C$6,IF(J37=Dienste!$A$7,Dienste!$C$7,IF(J37=Dienste!$A$8,Dienste!$C$8,IF(J37=Dienste!$A$9,Dienste!$C$9,IF(J37=Dienste!$A$10,Dienste!$C$10,IF(J37=Dienste!$A$11,Dienste!$C$11,IF(J37=Dienste!$A$12,Dienste!$C$12,IF(J37=Dienste!$A$13,Dienste!$C$13,IF(J37=Dienste!$A$14,Dienste!$C$14,IF(J37=Dienste!$A$15,Dienste!$C$15,IF(J37=Dienste!$A$16,Dienste!$C$16,IF(J37=Dienste!$A$17,Dienste!$C$17,IF(J37=Dienste!$A$18,Dienste!$C$18,IF(J37=Dienste!$A$19,Dienste!$C$19,IF(J37=Dienste!$A$20,Dienste!$C$20,IF(J37=Dienste!$A$21,Dienste!$C$21,IF(J37=Dienste!$A$22,Dienste!$C$22,IF(J37=Dienste!$A$23,Dienste!$C$23,IF(J37=Dienste!$A$24,Dienste!$C$24,IF(J37=Dienste!$A$25,Dienste!$C$25,IF(J37=Dienste!$A$26,Dienste!$C$26,IF(J37=Dienste!$A$27,Dienste!$C$27,IF(J37=Dienste!$A$28,Dienste!$C$28,IF(J37=Dienste!#REF!,Dienste!#REF!,IF(J37=Dienste!#REF!,Dienste!#REF!,IF(J37=Dienste!#REF!,Dienste!#REF!,IF(J37=Dienste!#REF!,Dienste!#REF!,IF(J37=Dienste!$A$33,Dienste!$C$33,IF(J37=Dienste!$A$34,Dienste!$C$34,IF(J37=Dienste!$A$35,Dienste!$C$35,IF(J37=Dienste!$A$36,Dienste!$C$36,)))))))))))))))))))))))))))))))))))</f>
        <v>#REF!</v>
      </c>
      <c r="BE37" s="27" t="e">
        <f>IF(K37=Dienste!$A$2,Dienste!$C$2,IF(K37=Dienste!$A$3,Dienste!$C$3,IF(K37=Dienste!$A$4,Dienste!$C$4,IF(K37=Dienste!$A$5,Dienste!$C$5,IF(K37=Dienste!$A$6,Dienste!$C$6,IF(K37=Dienste!$A$7,Dienste!$C$7,IF(K37=Dienste!$A$8,Dienste!$C$8,IF(K37=Dienste!$A$9,Dienste!$C$9,IF(K37=Dienste!$A$10,Dienste!$C$10,IF(K37=Dienste!$A$11,Dienste!$C$11,IF(K37=Dienste!$A$12,Dienste!$C$12,IF(K37=Dienste!$A$13,Dienste!$C$13,IF(K37=Dienste!$A$14,Dienste!$C$14,IF(K37=Dienste!$A$15,Dienste!$C$15,IF(K37=Dienste!$A$16,Dienste!$C$16,IF(K37=Dienste!$A$17,Dienste!$C$17,IF(K37=Dienste!$A$18,Dienste!$C$18,IF(K37=Dienste!$A$19,Dienste!$C$19,IF(K37=Dienste!$A$20,Dienste!$C$20,IF(K37=Dienste!$A$21,Dienste!$C$21,IF(K37=Dienste!$A$22,Dienste!$C$22,IF(K37=Dienste!$A$23,Dienste!$C$23,IF(K37=Dienste!$A$24,Dienste!$C$24,IF(K37=Dienste!$A$25,Dienste!$C$25,IF(K37=Dienste!$A$26,Dienste!$C$26,IF(K37=Dienste!$A$27,Dienste!$C$27,IF(K37=Dienste!$A$28,Dienste!$C$28,IF(K37=Dienste!#REF!,Dienste!#REF!,IF(K37=Dienste!#REF!,Dienste!#REF!,IF(K37=Dienste!#REF!,Dienste!#REF!,IF(K37=Dienste!#REF!,Dienste!#REF!,IF(K37=Dienste!$A$33,Dienste!$C$33,IF(K37=Dienste!$A$34,Dienste!$C$34,IF(K37=Dienste!$A$35,Dienste!$C$35,IF(K37=Dienste!$A$36,Dienste!$C$36,)))))))))))))))))))))))))))))))))))</f>
        <v>#REF!</v>
      </c>
      <c r="BF37" s="27" t="e">
        <f>IF(L37=Dienste!$A$2,Dienste!$C$2,IF(L37=Dienste!$A$3,Dienste!$C$3,IF(L37=Dienste!$A$4,Dienste!$C$4,IF(L37=Dienste!$A$5,Dienste!$C$5,IF(L37=Dienste!$A$6,Dienste!$C$6,IF(L37=Dienste!$A$7,Dienste!$C$7,IF(L37=Dienste!$A$8,Dienste!$C$8,IF(L37=Dienste!$A$9,Dienste!$C$9,IF(L37=Dienste!$A$10,Dienste!$C$10,IF(L37=Dienste!$A$11,Dienste!$C$11,IF(L37=Dienste!$A$12,Dienste!$C$12,IF(L37=Dienste!$A$13,Dienste!$C$13,IF(L37=Dienste!$A$14,Dienste!$C$14,IF(L37=Dienste!$A$15,Dienste!$C$15,IF(L37=Dienste!$A$16,Dienste!$C$16,IF(L37=Dienste!$A$17,Dienste!$C$17,IF(L37=Dienste!$A$18,Dienste!$C$18,IF(L37=Dienste!$A$19,Dienste!$C$19,IF(L37=Dienste!$A$20,Dienste!$C$20,IF(L37=Dienste!$A$21,Dienste!$C$21,IF(L37=Dienste!$A$22,Dienste!$C$22,IF(L37=Dienste!$A$23,Dienste!$C$23,IF(L37=Dienste!$A$24,Dienste!$C$24,IF(L37=Dienste!$A$25,Dienste!$C$25,IF(L37=Dienste!$A$26,Dienste!$C$26,IF(L37=Dienste!$A$27,Dienste!$C$27,IF(L37=Dienste!$A$28,Dienste!$C$28,IF(L37=Dienste!#REF!,Dienste!#REF!,IF(L37=Dienste!#REF!,Dienste!#REF!,IF(L37=Dienste!#REF!,Dienste!#REF!,IF(L37=Dienste!#REF!,Dienste!#REF!,IF(L37=Dienste!$A$33,Dienste!$C$33,IF(L37=Dienste!$A$34,Dienste!$C$34,IF(L37=Dienste!$A$35,Dienste!$C$35,IF(L37=Dienste!$A$36,Dienste!$C$36,)))))))))))))))))))))))))))))))))))</f>
        <v>#REF!</v>
      </c>
      <c r="BG37" s="27" t="e">
        <f>IF(M37=Dienste!$A$2,Dienste!$C$2,IF(M37=Dienste!$A$3,Dienste!$C$3,IF(M37=Dienste!$A$4,Dienste!$C$4,IF(M37=Dienste!$A$5,Dienste!$C$5,IF(M37=Dienste!$A$6,Dienste!$C$6,IF(M37=Dienste!$A$7,Dienste!$C$7,IF(M37=Dienste!$A$8,Dienste!$C$8,IF(M37=Dienste!$A$9,Dienste!$C$9,IF(M37=Dienste!$A$10,Dienste!$C$10,IF(M37=Dienste!$A$11,Dienste!$C$11,IF(M37=Dienste!$A$12,Dienste!$C$12,IF(M37=Dienste!$A$13,Dienste!$C$13,IF(M37=Dienste!$A$14,Dienste!$C$14,IF(M37=Dienste!$A$15,Dienste!$C$15,IF(M37=Dienste!$A$16,Dienste!$C$16,IF(M37=Dienste!$A$17,Dienste!$C$17,IF(M37=Dienste!$A$18,Dienste!$C$18,IF(M37=Dienste!$A$19,Dienste!$C$19,IF(M37=Dienste!$A$20,Dienste!$C$20,IF(M37=Dienste!$A$21,Dienste!$C$21,IF(M37=Dienste!$A$22,Dienste!$C$22,IF(M37=Dienste!$A$23,Dienste!$C$23,IF(M37=Dienste!$A$24,Dienste!$C$24,IF(M37=Dienste!$A$25,Dienste!$C$25,IF(M37=Dienste!$A$26,Dienste!$C$26,IF(M37=Dienste!$A$27,Dienste!$C$27,IF(M37=Dienste!$A$28,Dienste!$C$28,IF(M37=Dienste!#REF!,Dienste!#REF!,IF(M37=Dienste!#REF!,Dienste!#REF!,IF(M37=Dienste!#REF!,Dienste!#REF!,IF(M37=Dienste!#REF!,Dienste!#REF!,IF(M37=Dienste!$A$33,Dienste!$C$33,IF(M37=Dienste!$A$34,Dienste!$C$34,IF(M37=Dienste!$A$35,Dienste!$C$35,IF(M37=Dienste!$A$36,Dienste!$C$36,)))))))))))))))))))))))))))))))))))</f>
        <v>#REF!</v>
      </c>
      <c r="BH37" s="27" t="e">
        <f>IF(N37=Dienste!$A$2,Dienste!$C$2,IF(N37=Dienste!$A$3,Dienste!$C$3,IF(N37=Dienste!$A$4,Dienste!$C$4,IF(N37=Dienste!$A$5,Dienste!$C$5,IF(N37=Dienste!$A$6,Dienste!$C$6,IF(N37=Dienste!$A$7,Dienste!$C$7,IF(N37=Dienste!$A$8,Dienste!$C$8,IF(N37=Dienste!$A$9,Dienste!$C$9,IF(N37=Dienste!$A$10,Dienste!$C$10,IF(N37=Dienste!$A$11,Dienste!$C$11,IF(N37=Dienste!$A$12,Dienste!$C$12,IF(N37=Dienste!$A$13,Dienste!$C$13,IF(N37=Dienste!$A$14,Dienste!$C$14,IF(N37=Dienste!$A$15,Dienste!$C$15,IF(N37=Dienste!$A$16,Dienste!$C$16,IF(N37=Dienste!$A$17,Dienste!$C$17,IF(N37=Dienste!$A$18,Dienste!$C$18,IF(N37=Dienste!$A$19,Dienste!$C$19,IF(N37=Dienste!$A$20,Dienste!$C$20,IF(N37=Dienste!$A$21,Dienste!$C$21,IF(N37=Dienste!$A$22,Dienste!$C$22,IF(N37=Dienste!$A$23,Dienste!$C$23,IF(N37=Dienste!$A$24,Dienste!$C$24,IF(N37=Dienste!$A$25,Dienste!$C$25,IF(N37=Dienste!$A$26,Dienste!$C$26,IF(N37=Dienste!$A$27,Dienste!$C$27,IF(N37=Dienste!$A$28,Dienste!$C$28,IF(N37=Dienste!#REF!,Dienste!#REF!,IF(N37=Dienste!#REF!,Dienste!#REF!,IF(N37=Dienste!#REF!,Dienste!#REF!,IF(N37=Dienste!#REF!,Dienste!#REF!,IF(N37=Dienste!$A$33,Dienste!$C$33,IF(N37=Dienste!$A$34,Dienste!$C$34,IF(N37=Dienste!$A$35,Dienste!$C$35,IF(N37=Dienste!$A$36,Dienste!$C$36,)))))))))))))))))))))))))))))))))))</f>
        <v>#REF!</v>
      </c>
      <c r="BI37" s="27" t="e">
        <f>IF(O37=Dienste!$A$2,Dienste!$C$2,IF(O37=Dienste!$A$3,Dienste!$C$3,IF(O37=Dienste!$A$4,Dienste!$C$4,IF(O37=Dienste!$A$5,Dienste!$C$5,IF(O37=Dienste!$A$6,Dienste!$C$6,IF(O37=Dienste!$A$7,Dienste!$C$7,IF(O37=Dienste!$A$8,Dienste!$C$8,IF(O37=Dienste!$A$9,Dienste!$C$9,IF(O37=Dienste!$A$10,Dienste!$C$10,IF(O37=Dienste!$A$11,Dienste!$C$11,IF(O37=Dienste!$A$12,Dienste!$C$12,IF(O37=Dienste!$A$13,Dienste!$C$13,IF(O37=Dienste!$A$14,Dienste!$C$14,IF(O37=Dienste!$A$15,Dienste!$C$15,IF(O37=Dienste!$A$16,Dienste!$C$16,IF(O37=Dienste!$A$17,Dienste!$C$17,IF(O37=Dienste!$A$18,Dienste!$C$18,IF(O37=Dienste!$A$19,Dienste!$C$19,IF(O37=Dienste!$A$20,Dienste!$C$20,IF(O37=Dienste!$A$21,Dienste!$C$21,IF(O37=Dienste!$A$22,Dienste!$C$22,IF(O37=Dienste!$A$23,Dienste!$C$23,IF(O37=Dienste!$A$24,Dienste!$C$24,IF(O37=Dienste!$A$25,Dienste!$C$25,IF(O37=Dienste!$A$26,Dienste!$C$26,IF(O37=Dienste!$A$27,Dienste!$C$27,IF(O37=Dienste!$A$28,Dienste!$C$28,IF(O37=Dienste!#REF!,Dienste!#REF!,IF(O37=Dienste!#REF!,Dienste!#REF!,IF(O37=Dienste!#REF!,Dienste!#REF!,IF(O37=Dienste!#REF!,Dienste!#REF!,IF(O37=Dienste!$A$33,Dienste!$C$33,IF(O37=Dienste!$A$34,Dienste!$C$34,IF(O37=Dienste!$A$35,Dienste!$C$35,IF(O37=Dienste!$A$36,Dienste!$C$36,)))))))))))))))))))))))))))))))))))</f>
        <v>#REF!</v>
      </c>
      <c r="BJ37" s="27" t="e">
        <f>IF(P37=Dienste!$A$2,Dienste!$C$2,IF(P37=Dienste!$A$3,Dienste!$C$3,IF(P37=Dienste!$A$4,Dienste!$C$4,IF(P37=Dienste!$A$5,Dienste!$C$5,IF(P37=Dienste!$A$6,Dienste!$C$6,IF(P37=Dienste!$A$7,Dienste!$C$7,IF(P37=Dienste!$A$8,Dienste!$C$8,IF(P37=Dienste!$A$9,Dienste!$C$9,IF(P37=Dienste!$A$10,Dienste!$C$10,IF(P37=Dienste!$A$11,Dienste!$C$11,IF(P37=Dienste!$A$12,Dienste!$C$12,IF(P37=Dienste!$A$13,Dienste!$C$13,IF(P37=Dienste!$A$14,Dienste!$C$14,IF(P37=Dienste!$A$15,Dienste!$C$15,IF(P37=Dienste!$A$16,Dienste!$C$16,IF(P37=Dienste!$A$17,Dienste!$C$17,IF(P37=Dienste!$A$18,Dienste!$C$18,IF(P37=Dienste!$A$19,Dienste!$C$19,IF(P37=Dienste!$A$20,Dienste!$C$20,IF(P37=Dienste!$A$21,Dienste!$C$21,IF(P37=Dienste!$A$22,Dienste!$C$22,IF(P37=Dienste!$A$23,Dienste!$C$23,IF(P37=Dienste!$A$24,Dienste!$C$24,IF(P37=Dienste!$A$25,Dienste!$C$25,IF(P37=Dienste!$A$26,Dienste!$C$26,IF(P37=Dienste!$A$27,Dienste!$C$27,IF(P37=Dienste!$A$28,Dienste!$C$28,IF(P37=Dienste!#REF!,Dienste!#REF!,IF(P37=Dienste!#REF!,Dienste!#REF!,IF(P37=Dienste!#REF!,Dienste!#REF!,IF(P37=Dienste!#REF!,Dienste!#REF!,IF(P37=Dienste!$A$33,Dienste!$C$33,IF(P37=Dienste!$A$34,Dienste!$C$34,IF(P37=Dienste!$A$35,Dienste!$C$35,IF(P37=Dienste!$A$36,Dienste!$C$36,)))))))))))))))))))))))))))))))))))</f>
        <v>#REF!</v>
      </c>
      <c r="BK37" s="27" t="e">
        <f>IF(Q37=Dienste!$A$2,Dienste!$C$2,IF(Q37=Dienste!$A$3,Dienste!$C$3,IF(Q37=Dienste!$A$4,Dienste!$C$4,IF(Q37=Dienste!$A$5,Dienste!$C$5,IF(Q37=Dienste!$A$6,Dienste!$C$6,IF(Q37=Dienste!$A$7,Dienste!$C$7,IF(Q37=Dienste!$A$8,Dienste!$C$8,IF(Q37=Dienste!$A$9,Dienste!$C$9,IF(Q37=Dienste!$A$10,Dienste!$C$10,IF(Q37=Dienste!$A$11,Dienste!$C$11,IF(Q37=Dienste!$A$12,Dienste!$C$12,IF(Q37=Dienste!$A$13,Dienste!$C$13,IF(Q37=Dienste!$A$14,Dienste!$C$14,IF(Q37=Dienste!$A$15,Dienste!$C$15,IF(Q37=Dienste!$A$16,Dienste!$C$16,IF(Q37=Dienste!$A$17,Dienste!$C$17,IF(Q37=Dienste!$A$18,Dienste!$C$18,IF(Q37=Dienste!$A$19,Dienste!$C$19,IF(Q37=Dienste!$A$20,Dienste!$C$20,IF(Q37=Dienste!$A$21,Dienste!$C$21,IF(Q37=Dienste!$A$22,Dienste!$C$22,IF(Q37=Dienste!$A$23,Dienste!$C$23,IF(Q37=Dienste!$A$24,Dienste!$C$24,IF(Q37=Dienste!$A$25,Dienste!$C$25,IF(Q37=Dienste!$A$26,Dienste!$C$26,IF(Q37=Dienste!$A$27,Dienste!$C$27,IF(Q37=Dienste!$A$28,Dienste!$C$28,IF(Q37=Dienste!#REF!,Dienste!#REF!,IF(Q37=Dienste!#REF!,Dienste!#REF!,IF(Q37=Dienste!#REF!,Dienste!#REF!,IF(Q37=Dienste!#REF!,Dienste!#REF!,IF(Q37=Dienste!$A$33,Dienste!$C$33,IF(Q37=Dienste!$A$34,Dienste!$C$34,IF(Q37=Dienste!$A$35,Dienste!$C$35,IF(Q37=Dienste!$A$36,Dienste!$C$36,)))))))))))))))))))))))))))))))))))</f>
        <v>#REF!</v>
      </c>
      <c r="BL37" s="27" t="e">
        <f>IF(R37=Dienste!$A$2,Dienste!$C$2,IF(R37=Dienste!$A$3,Dienste!$C$3,IF(R37=Dienste!$A$4,Dienste!$C$4,IF(R37=Dienste!$A$5,Dienste!$C$5,IF(R37=Dienste!$A$6,Dienste!$C$6,IF(R37=Dienste!$A$7,Dienste!$C$7,IF(R37=Dienste!$A$8,Dienste!$C$8,IF(R37=Dienste!$A$9,Dienste!$C$9,IF(R37=Dienste!$A$10,Dienste!$C$10,IF(R37=Dienste!$A$11,Dienste!$C$11,IF(R37=Dienste!$A$12,Dienste!$C$12,IF(R37=Dienste!$A$13,Dienste!$C$13,IF(R37=Dienste!$A$14,Dienste!$C$14,IF(R37=Dienste!$A$15,Dienste!$C$15,IF(R37=Dienste!$A$16,Dienste!$C$16,IF(R37=Dienste!$A$17,Dienste!$C$17,IF(R37=Dienste!$A$18,Dienste!$C$18,IF(R37=Dienste!$A$19,Dienste!$C$19,IF(R37=Dienste!$A$20,Dienste!$C$20,IF(R37=Dienste!$A$21,Dienste!$C$21,IF(R37=Dienste!$A$22,Dienste!$C$22,IF(R37=Dienste!$A$23,Dienste!$C$23,IF(R37=Dienste!$A$24,Dienste!$C$24,IF(R37=Dienste!$A$25,Dienste!$C$25,IF(R37=Dienste!$A$26,Dienste!$C$26,IF(R37=Dienste!$A$27,Dienste!$C$27,IF(R37=Dienste!$A$28,Dienste!$C$28,IF(R37=Dienste!#REF!,Dienste!#REF!,IF(R37=Dienste!#REF!,Dienste!#REF!,IF(R37=Dienste!#REF!,Dienste!#REF!,IF(R37=Dienste!#REF!,Dienste!#REF!,IF(R37=Dienste!$A$33,Dienste!$C$33,IF(R37=Dienste!$A$34,Dienste!$C$34,IF(R37=Dienste!$A$35,Dienste!$C$35,IF(R37=Dienste!$A$36,Dienste!$C$36,)))))))))))))))))))))))))))))))))))</f>
        <v>#REF!</v>
      </c>
      <c r="BM37" s="27" t="e">
        <f>IF(S37=Dienste!$A$2,Dienste!$C$2,IF(S37=Dienste!$A$3,Dienste!$C$3,IF(S37=Dienste!$A$4,Dienste!$C$4,IF(S37=Dienste!$A$5,Dienste!$C$5,IF(S37=Dienste!$A$6,Dienste!$C$6,IF(S37=Dienste!$A$7,Dienste!$C$7,IF(S37=Dienste!$A$8,Dienste!$C$8,IF(S37=Dienste!$A$9,Dienste!$C$9,IF(S37=Dienste!$A$10,Dienste!$C$10,IF(S37=Dienste!$A$11,Dienste!$C$11,IF(S37=Dienste!$A$12,Dienste!$C$12,IF(S37=Dienste!$A$13,Dienste!$C$13,IF(S37=Dienste!$A$14,Dienste!$C$14,IF(S37=Dienste!$A$15,Dienste!$C$15,IF(S37=Dienste!$A$16,Dienste!$C$16,IF(S37=Dienste!$A$17,Dienste!$C$17,IF(S37=Dienste!$A$18,Dienste!$C$18,IF(S37=Dienste!$A$19,Dienste!$C$19,IF(S37=Dienste!$A$20,Dienste!$C$20,IF(S37=Dienste!$A$21,Dienste!$C$21,IF(S37=Dienste!$A$22,Dienste!$C$22,IF(S37=Dienste!$A$23,Dienste!$C$23,IF(S37=Dienste!$A$24,Dienste!$C$24,IF(S37=Dienste!$A$25,Dienste!$C$25,IF(S37=Dienste!$A$26,Dienste!$C$26,IF(S37=Dienste!$A$27,Dienste!$C$27,IF(S37=Dienste!$A$28,Dienste!$C$28,IF(S37=Dienste!#REF!,Dienste!#REF!,IF(S37=Dienste!#REF!,Dienste!#REF!,IF(S37=Dienste!#REF!,Dienste!#REF!,IF(S37=Dienste!#REF!,Dienste!#REF!,IF(S37=Dienste!$A$33,Dienste!$C$33,IF(S37=Dienste!$A$34,Dienste!$C$34,IF(S37=Dienste!$A$35,Dienste!$C$35,IF(S37=Dienste!$A$36,Dienste!$C$36,)))))))))))))))))))))))))))))))))))</f>
        <v>#REF!</v>
      </c>
      <c r="BN37" s="27" t="e">
        <f>IF(T37=Dienste!$A$2,Dienste!$C$2,IF(T37=Dienste!$A$3,Dienste!$C$3,IF(T37=Dienste!$A$4,Dienste!$C$4,IF(T37=Dienste!$A$5,Dienste!$C$5,IF(T37=Dienste!$A$6,Dienste!$C$6,IF(T37=Dienste!$A$7,Dienste!$C$7,IF(T37=Dienste!$A$8,Dienste!$C$8,IF(T37=Dienste!$A$9,Dienste!$C$9,IF(T37=Dienste!$A$10,Dienste!$C$10,IF(T37=Dienste!$A$11,Dienste!$C$11,IF(T37=Dienste!$A$12,Dienste!$C$12,IF(T37=Dienste!$A$13,Dienste!$C$13,IF(T37=Dienste!$A$14,Dienste!$C$14,IF(T37=Dienste!$A$15,Dienste!$C$15,IF(T37=Dienste!$A$16,Dienste!$C$16,IF(T37=Dienste!$A$17,Dienste!$C$17,IF(T37=Dienste!$A$18,Dienste!$C$18,IF(T37=Dienste!$A$19,Dienste!$C$19,IF(T37=Dienste!$A$20,Dienste!$C$20,IF(T37=Dienste!$A$21,Dienste!$C$21,IF(T37=Dienste!$A$22,Dienste!$C$22,IF(T37=Dienste!$A$23,Dienste!$C$23,IF(T37=Dienste!$A$24,Dienste!$C$24,IF(T37=Dienste!$A$25,Dienste!$C$25,IF(T37=Dienste!$A$26,Dienste!$C$26,IF(T37=Dienste!$A$27,Dienste!$C$27,IF(T37=Dienste!$A$28,Dienste!$C$28,IF(T37=Dienste!#REF!,Dienste!#REF!,IF(T37=Dienste!#REF!,Dienste!#REF!,IF(T37=Dienste!#REF!,Dienste!#REF!,IF(T37=Dienste!#REF!,Dienste!#REF!,IF(T37=Dienste!$A$33,Dienste!$C$33,IF(T37=Dienste!$A$34,Dienste!$C$34,IF(T37=Dienste!$A$35,Dienste!$C$35,IF(T37=Dienste!$A$36,Dienste!$C$36,)))))))))))))))))))))))))))))))))))</f>
        <v>#REF!</v>
      </c>
      <c r="BO37" s="27" t="e">
        <f>IF(U37=Dienste!$A$2,Dienste!$C$2,IF(U37=Dienste!$A$3,Dienste!$C$3,IF(U37=Dienste!$A$4,Dienste!$C$4,IF(U37=Dienste!$A$5,Dienste!$C$5,IF(U37=Dienste!$A$6,Dienste!$C$6,IF(U37=Dienste!$A$7,Dienste!$C$7,IF(U37=Dienste!$A$8,Dienste!$C$8,IF(U37=Dienste!$A$9,Dienste!$C$9,IF(U37=Dienste!$A$10,Dienste!$C$10,IF(U37=Dienste!$A$11,Dienste!$C$11,IF(U37=Dienste!$A$12,Dienste!$C$12,IF(U37=Dienste!$A$13,Dienste!$C$13,IF(U37=Dienste!$A$14,Dienste!$C$14,IF(U37=Dienste!$A$15,Dienste!$C$15,IF(U37=Dienste!$A$16,Dienste!$C$16,IF(U37=Dienste!$A$17,Dienste!$C$17,IF(U37=Dienste!$A$18,Dienste!$C$18,IF(U37=Dienste!$A$19,Dienste!$C$19,IF(U37=Dienste!$A$20,Dienste!$C$20,IF(U37=Dienste!$A$21,Dienste!$C$21,IF(U37=Dienste!$A$22,Dienste!$C$22,IF(U37=Dienste!$A$23,Dienste!$C$23,IF(U37=Dienste!$A$24,Dienste!$C$24,IF(U37=Dienste!$A$25,Dienste!$C$25,IF(U37=Dienste!$A$26,Dienste!$C$26,IF(U37=Dienste!$A$27,Dienste!$C$27,IF(U37=Dienste!$A$28,Dienste!$C$28,IF(U37=Dienste!#REF!,Dienste!#REF!,IF(U37=Dienste!#REF!,Dienste!#REF!,IF(U37=Dienste!#REF!,Dienste!#REF!,IF(U37=Dienste!#REF!,Dienste!#REF!,IF(U37=Dienste!$A$33,Dienste!$C$33,IF(U37=Dienste!$A$34,Dienste!$C$34,IF(U37=Dienste!$A$35,Dienste!$C$35,IF(U37=Dienste!$A$36,Dienste!$C$36,)))))))))))))))))))))))))))))))))))</f>
        <v>#REF!</v>
      </c>
      <c r="BP37" s="27" t="e">
        <f>IF(V37=Dienste!$A$2,Dienste!$C$2,IF(V37=Dienste!$A$3,Dienste!$C$3,IF(V37=Dienste!$A$4,Dienste!$C$4,IF(V37=Dienste!$A$5,Dienste!$C$5,IF(V37=Dienste!$A$6,Dienste!$C$6,IF(V37=Dienste!$A$7,Dienste!$C$7,IF(V37=Dienste!$A$8,Dienste!$C$8,IF(V37=Dienste!$A$9,Dienste!$C$9,IF(V37=Dienste!$A$10,Dienste!$C$10,IF(V37=Dienste!$A$11,Dienste!$C$11,IF(V37=Dienste!$A$12,Dienste!$C$12,IF(V37=Dienste!$A$13,Dienste!$C$13,IF(V37=Dienste!$A$14,Dienste!$C$14,IF(V37=Dienste!$A$15,Dienste!$C$15,IF(V37=Dienste!$A$16,Dienste!$C$16,IF(V37=Dienste!$A$17,Dienste!$C$17,IF(V37=Dienste!$A$18,Dienste!$C$18,IF(V37=Dienste!$A$19,Dienste!$C$19,IF(V37=Dienste!$A$20,Dienste!$C$20,IF(V37=Dienste!$A$21,Dienste!$C$21,IF(V37=Dienste!$A$22,Dienste!$C$22,IF(V37=Dienste!$A$23,Dienste!$C$23,IF(V37=Dienste!$A$24,Dienste!$C$24,IF(V37=Dienste!$A$25,Dienste!$C$25,IF(V37=Dienste!$A$26,Dienste!$C$26,IF(V37=Dienste!$A$27,Dienste!$C$27,IF(V37=Dienste!$A$28,Dienste!$C$28,IF(V37=Dienste!#REF!,Dienste!#REF!,IF(V37=Dienste!#REF!,Dienste!#REF!,IF(V37=Dienste!#REF!,Dienste!#REF!,IF(V37=Dienste!#REF!,Dienste!#REF!,IF(V37=Dienste!$A$33,Dienste!$C$33,IF(V37=Dienste!$A$34,Dienste!$C$34,IF(V37=Dienste!$A$35,Dienste!$C$35,IF(V37=Dienste!$A$36,Dienste!$C$36,)))))))))))))))))))))))))))))))))))</f>
        <v>#REF!</v>
      </c>
      <c r="BQ37" s="27" t="e">
        <f>IF(W37=Dienste!$A$2,Dienste!$C$2,IF(W37=Dienste!$A$3,Dienste!$C$3,IF(W37=Dienste!$A$4,Dienste!$C$4,IF(W37=Dienste!$A$5,Dienste!$C$5,IF(W37=Dienste!$A$6,Dienste!$C$6,IF(W37=Dienste!$A$7,Dienste!$C$7,IF(W37=Dienste!$A$8,Dienste!$C$8,IF(W37=Dienste!$A$9,Dienste!$C$9,IF(W37=Dienste!$A$10,Dienste!$C$10,IF(W37=Dienste!$A$11,Dienste!$C$11,IF(W37=Dienste!$A$12,Dienste!$C$12,IF(W37=Dienste!$A$13,Dienste!$C$13,IF(W37=Dienste!$A$14,Dienste!$C$14,IF(W37=Dienste!$A$15,Dienste!$C$15,IF(W37=Dienste!$A$16,Dienste!$C$16,IF(W37=Dienste!$A$17,Dienste!$C$17,IF(W37=Dienste!$A$18,Dienste!$C$18,IF(W37=Dienste!$A$19,Dienste!$C$19,IF(W37=Dienste!$A$20,Dienste!$C$20,IF(W37=Dienste!$A$21,Dienste!$C$21,IF(W37=Dienste!$A$22,Dienste!$C$22,IF(W37=Dienste!$A$23,Dienste!$C$23,IF(W37=Dienste!$A$24,Dienste!$C$24,IF(W37=Dienste!$A$25,Dienste!$C$25,IF(W37=Dienste!$A$26,Dienste!$C$26,IF(W37=Dienste!$A$27,Dienste!$C$27,IF(W37=Dienste!$A$28,Dienste!$C$28,IF(W37=Dienste!#REF!,Dienste!#REF!,IF(W37=Dienste!#REF!,Dienste!#REF!,IF(W37=Dienste!#REF!,Dienste!#REF!,IF(W37=Dienste!#REF!,Dienste!#REF!,IF(W37=Dienste!$A$33,Dienste!$C$33,IF(W37=Dienste!$A$34,Dienste!$C$34,IF(W37=Dienste!$A$35,Dienste!$C$35,IF(W37=Dienste!$A$36,Dienste!$C$36,)))))))))))))))))))))))))))))))))))</f>
        <v>#REF!</v>
      </c>
      <c r="BR37" s="27" t="e">
        <f>IF(X37=Dienste!$A$2,Dienste!$C$2,IF(X37=Dienste!$A$3,Dienste!$C$3,IF(X37=Dienste!$A$4,Dienste!$C$4,IF(X37=Dienste!$A$5,Dienste!$C$5,IF(X37=Dienste!$A$6,Dienste!$C$6,IF(X37=Dienste!$A$7,Dienste!$C$7,IF(X37=Dienste!$A$8,Dienste!$C$8,IF(X37=Dienste!$A$9,Dienste!$C$9,IF(X37=Dienste!$A$10,Dienste!$C$10,IF(X37=Dienste!$A$11,Dienste!$C$11,IF(X37=Dienste!$A$12,Dienste!$C$12,IF(X37=Dienste!$A$13,Dienste!$C$13,IF(X37=Dienste!$A$14,Dienste!$C$14,IF(X37=Dienste!$A$15,Dienste!$C$15,IF(X37=Dienste!$A$16,Dienste!$C$16,IF(X37=Dienste!$A$17,Dienste!$C$17,IF(X37=Dienste!$A$18,Dienste!$C$18,IF(X37=Dienste!$A$19,Dienste!$C$19,IF(X37=Dienste!$A$20,Dienste!$C$20,IF(X37=Dienste!$A$21,Dienste!$C$21,IF(X37=Dienste!$A$22,Dienste!$C$22,IF(X37=Dienste!$A$23,Dienste!$C$23,IF(X37=Dienste!$A$24,Dienste!$C$24,IF(X37=Dienste!$A$25,Dienste!$C$25,IF(X37=Dienste!$A$26,Dienste!$C$26,IF(X37=Dienste!$A$27,Dienste!$C$27,IF(X37=Dienste!$A$28,Dienste!$C$28,IF(X37=Dienste!#REF!,Dienste!#REF!,IF(X37=Dienste!#REF!,Dienste!#REF!,IF(X37=Dienste!#REF!,Dienste!#REF!,IF(X37=Dienste!#REF!,Dienste!#REF!,IF(X37=Dienste!$A$33,Dienste!$C$33,IF(X37=Dienste!$A$34,Dienste!$C$34,IF(X37=Dienste!$A$35,Dienste!$C$35,IF(X37=Dienste!$A$36,Dienste!$C$36,)))))))))))))))))))))))))))))))))))</f>
        <v>#REF!</v>
      </c>
      <c r="BS37" s="27" t="e">
        <f>IF(Y37=Dienste!$A$2,Dienste!$C$2,IF(Y37=Dienste!$A$3,Dienste!$C$3,IF(Y37=Dienste!$A$4,Dienste!$C$4,IF(Y37=Dienste!$A$5,Dienste!$C$5,IF(Y37=Dienste!$A$6,Dienste!$C$6,IF(Y37=Dienste!$A$7,Dienste!$C$7,IF(Y37=Dienste!$A$8,Dienste!$C$8,IF(Y37=Dienste!$A$9,Dienste!$C$9,IF(Y37=Dienste!$A$10,Dienste!$C$10,IF(Y37=Dienste!$A$11,Dienste!$C$11,IF(Y37=Dienste!$A$12,Dienste!$C$12,IF(Y37=Dienste!$A$13,Dienste!$C$13,IF(Y37=Dienste!$A$14,Dienste!$C$14,IF(Y37=Dienste!$A$15,Dienste!$C$15,IF(Y37=Dienste!$A$16,Dienste!$C$16,IF(Y37=Dienste!$A$17,Dienste!$C$17,IF(Y37=Dienste!$A$18,Dienste!$C$18,IF(Y37=Dienste!$A$19,Dienste!$C$19,IF(Y37=Dienste!$A$20,Dienste!$C$20,IF(Y37=Dienste!$A$21,Dienste!$C$21,IF(Y37=Dienste!$A$22,Dienste!$C$22,IF(Y37=Dienste!$A$23,Dienste!$C$23,IF(Y37=Dienste!$A$24,Dienste!$C$24,IF(Y37=Dienste!$A$25,Dienste!$C$25,IF(Y37=Dienste!$A$26,Dienste!$C$26,IF(Y37=Dienste!$A$27,Dienste!$C$27,IF(Y37=Dienste!$A$28,Dienste!$C$28,IF(Y37=Dienste!#REF!,Dienste!#REF!,IF(Y37=Dienste!#REF!,Dienste!#REF!,IF(Y37=Dienste!#REF!,Dienste!#REF!,IF(Y37=Dienste!#REF!,Dienste!#REF!,IF(Y37=Dienste!$A$33,Dienste!$C$33,IF(Y37=Dienste!$A$34,Dienste!$C$34,IF(Y37=Dienste!$A$35,Dienste!$C$35,IF(Y37=Dienste!$A$36,Dienste!$C$36,)))))))))))))))))))))))))))))))))))</f>
        <v>#REF!</v>
      </c>
      <c r="BT37" s="27" t="e">
        <f>IF(Z37=Dienste!$A$2,Dienste!$C$2,IF(Z37=Dienste!$A$3,Dienste!$C$3,IF(Z37=Dienste!$A$4,Dienste!$C$4,IF(Z37=Dienste!$A$5,Dienste!$C$5,IF(Z37=Dienste!$A$6,Dienste!$C$6,IF(Z37=Dienste!$A$7,Dienste!$C$7,IF(Z37=Dienste!$A$8,Dienste!$C$8,IF(Z37=Dienste!$A$9,Dienste!$C$9,IF(Z37=Dienste!$A$10,Dienste!$C$10,IF(Z37=Dienste!$A$11,Dienste!$C$11,IF(Z37=Dienste!$A$12,Dienste!$C$12,IF(Z37=Dienste!$A$13,Dienste!$C$13,IF(Z37=Dienste!$A$14,Dienste!$C$14,IF(Z37=Dienste!$A$15,Dienste!$C$15,IF(Z37=Dienste!$A$16,Dienste!$C$16,IF(Z37=Dienste!$A$17,Dienste!$C$17,IF(Z37=Dienste!$A$18,Dienste!$C$18,IF(Z37=Dienste!$A$19,Dienste!$C$19,IF(Z37=Dienste!$A$20,Dienste!$C$20,IF(Z37=Dienste!$A$21,Dienste!$C$21,IF(Z37=Dienste!$A$22,Dienste!$C$22,IF(Z37=Dienste!$A$23,Dienste!$C$23,IF(Z37=Dienste!$A$24,Dienste!$C$24,IF(Z37=Dienste!$A$25,Dienste!$C$25,IF(Z37=Dienste!$A$26,Dienste!$C$26,IF(Z37=Dienste!$A$27,Dienste!$C$27,IF(Z37=Dienste!$A$28,Dienste!$C$28,IF(Z37=Dienste!#REF!,Dienste!#REF!,IF(Z37=Dienste!#REF!,Dienste!#REF!,IF(Z37=Dienste!#REF!,Dienste!#REF!,IF(Z37=Dienste!#REF!,Dienste!#REF!,IF(Z37=Dienste!$A$33,Dienste!$C$33,IF(Z37=Dienste!$A$34,Dienste!$C$34,IF(Z37=Dienste!$A$35,Dienste!$C$35,IF(Z37=Dienste!$A$36,Dienste!$C$36,)))))))))))))))))))))))))))))))))))</f>
        <v>#REF!</v>
      </c>
      <c r="BU37" s="27" t="e">
        <f>IF(AA37=Dienste!$A$2,Dienste!$C$2,IF(AA37=Dienste!$A$3,Dienste!$C$3,IF(AA37=Dienste!$A$4,Dienste!$C$4,IF(AA37=Dienste!$A$5,Dienste!$C$5,IF(AA37=Dienste!$A$6,Dienste!$C$6,IF(AA37=Dienste!$A$7,Dienste!$C$7,IF(AA37=Dienste!$A$8,Dienste!$C$8,IF(AA37=Dienste!$A$9,Dienste!$C$9,IF(AA37=Dienste!$A$10,Dienste!$C$10,IF(AA37=Dienste!$A$11,Dienste!$C$11,IF(AA37=Dienste!$A$12,Dienste!$C$12,IF(AA37=Dienste!$A$13,Dienste!$C$13,IF(AA37=Dienste!$A$14,Dienste!$C$14,IF(AA37=Dienste!$A$15,Dienste!$C$15,IF(AA37=Dienste!$A$16,Dienste!$C$16,IF(AA37=Dienste!$A$17,Dienste!$C$17,IF(AA37=Dienste!$A$18,Dienste!$C$18,IF(AA37=Dienste!$A$19,Dienste!$C$19,IF(AA37=Dienste!$A$20,Dienste!$C$20,IF(AA37=Dienste!$A$21,Dienste!$C$21,IF(AA37=Dienste!$A$22,Dienste!$C$22,IF(AA37=Dienste!$A$23,Dienste!$C$23,IF(AA37=Dienste!$A$24,Dienste!$C$24,IF(AA37=Dienste!$A$25,Dienste!$C$25,IF(AA37=Dienste!$A$26,Dienste!$C$26,IF(AA37=Dienste!$A$27,Dienste!$C$27,IF(AA37=Dienste!$A$28,Dienste!$C$28,IF(AA37=Dienste!#REF!,Dienste!#REF!,IF(AA37=Dienste!#REF!,Dienste!#REF!,IF(AA37=Dienste!#REF!,Dienste!#REF!,IF(AA37=Dienste!#REF!,Dienste!#REF!,IF(AA37=Dienste!$A$33,Dienste!$C$33,IF(AA37=Dienste!$A$34,Dienste!$C$34,IF(AA37=Dienste!$A$35,Dienste!$C$35,IF(AA37=Dienste!$A$36,Dienste!$C$36,)))))))))))))))))))))))))))))))))))</f>
        <v>#REF!</v>
      </c>
      <c r="BV37" s="27" t="e">
        <f>IF(AB37=Dienste!$A$2,Dienste!$C$2,IF(AB37=Dienste!$A$3,Dienste!$C$3,IF(AB37=Dienste!$A$4,Dienste!$C$4,IF(AB37=Dienste!$A$5,Dienste!$C$5,IF(AB37=Dienste!$A$6,Dienste!$C$6,IF(AB37=Dienste!$A$7,Dienste!$C$7,IF(AB37=Dienste!$A$8,Dienste!$C$8,IF(AB37=Dienste!$A$9,Dienste!$C$9,IF(AB37=Dienste!$A$10,Dienste!$C$10,IF(AB37=Dienste!$A$11,Dienste!$C$11,IF(AB37=Dienste!$A$12,Dienste!$C$12,IF(AB37=Dienste!$A$13,Dienste!$C$13,IF(AB37=Dienste!$A$14,Dienste!$C$14,IF(AB37=Dienste!$A$15,Dienste!$C$15,IF(AB37=Dienste!$A$16,Dienste!$C$16,IF(AB37=Dienste!$A$17,Dienste!$C$17,IF(AB37=Dienste!$A$18,Dienste!$C$18,IF(AB37=Dienste!$A$19,Dienste!$C$19,IF(AB37=Dienste!$A$20,Dienste!$C$20,IF(AB37=Dienste!$A$21,Dienste!$C$21,IF(AB37=Dienste!$A$22,Dienste!$C$22,IF(AB37=Dienste!$A$23,Dienste!$C$23,IF(AB37=Dienste!$A$24,Dienste!$C$24,IF(AB37=Dienste!$A$25,Dienste!$C$25,IF(AB37=Dienste!$A$26,Dienste!$C$26,IF(AB37=Dienste!$A$27,Dienste!$C$27,IF(AB37=Dienste!$A$28,Dienste!$C$28,IF(AB37=Dienste!#REF!,Dienste!#REF!,IF(AB37=Dienste!#REF!,Dienste!#REF!,IF(AB37=Dienste!#REF!,Dienste!#REF!,IF(AB37=Dienste!#REF!,Dienste!#REF!,IF(AB37=Dienste!$A$33,Dienste!$C$33,IF(AB37=Dienste!$A$34,Dienste!$C$34,IF(AB37=Dienste!$A$35,Dienste!$C$35,IF(AB37=Dienste!$A$36,Dienste!$C$36,)))))))))))))))))))))))))))))))))))</f>
        <v>#REF!</v>
      </c>
      <c r="BW37" s="27" t="e">
        <f>IF(AC37=Dienste!$A$2,Dienste!$C$2,IF(AC37=Dienste!$A$3,Dienste!$C$3,IF(AC37=Dienste!$A$4,Dienste!$C$4,IF(AC37=Dienste!$A$5,Dienste!$C$5,IF(AC37=Dienste!$A$6,Dienste!$C$6,IF(AC37=Dienste!$A$7,Dienste!$C$7,IF(AC37=Dienste!$A$8,Dienste!$C$8,IF(AC37=Dienste!$A$9,Dienste!$C$9,IF(AC37=Dienste!$A$10,Dienste!$C$10,IF(AC37=Dienste!$A$11,Dienste!$C$11,IF(AC37=Dienste!$A$12,Dienste!$C$12,IF(AC37=Dienste!$A$13,Dienste!$C$13,IF(AC37=Dienste!$A$14,Dienste!$C$14,IF(AC37=Dienste!$A$15,Dienste!$C$15,IF(AC37=Dienste!$A$16,Dienste!$C$16,IF(AC37=Dienste!$A$17,Dienste!$C$17,IF(AC37=Dienste!$A$18,Dienste!$C$18,IF(AC37=Dienste!$A$19,Dienste!$C$19,IF(AC37=Dienste!$A$20,Dienste!$C$20,IF(AC37=Dienste!$A$21,Dienste!$C$21,IF(AC37=Dienste!$A$22,Dienste!$C$22,IF(AC37=Dienste!$A$23,Dienste!$C$23,IF(AC37=Dienste!$A$24,Dienste!$C$24,IF(AC37=Dienste!$A$25,Dienste!$C$25,IF(AC37=Dienste!$A$26,Dienste!$C$26,IF(AC37=Dienste!$A$27,Dienste!$C$27,IF(AC37=Dienste!$A$28,Dienste!$C$28,IF(AC37=Dienste!#REF!,Dienste!#REF!,IF(AC37=Dienste!#REF!,Dienste!#REF!,IF(AC37=Dienste!#REF!,Dienste!#REF!,IF(AC37=Dienste!#REF!,Dienste!#REF!,IF(AC37=Dienste!$A$33,Dienste!$C$33,IF(AC37=Dienste!$A$34,Dienste!$C$34,IF(AC37=Dienste!$A$35,Dienste!$C$35,IF(AC37=Dienste!$A$36,Dienste!$C$36,)))))))))))))))))))))))))))))))))))</f>
        <v>#REF!</v>
      </c>
      <c r="BX37" s="27" t="e">
        <f>IF(AD37=Dienste!$A$2,Dienste!$C$2,IF(AD37=Dienste!$A$3,Dienste!$C$3,IF(AD37=Dienste!$A$4,Dienste!$C$4,IF(AD37=Dienste!$A$5,Dienste!$C$5,IF(AD37=Dienste!$A$6,Dienste!$C$6,IF(AD37=Dienste!$A$7,Dienste!$C$7,IF(AD37=Dienste!$A$8,Dienste!$C$8,IF(AD37=Dienste!$A$9,Dienste!$C$9,IF(AD37=Dienste!$A$10,Dienste!$C$10,IF(AD37=Dienste!$A$11,Dienste!$C$11,IF(AD37=Dienste!$A$12,Dienste!$C$12,IF(AD37=Dienste!$A$13,Dienste!$C$13,IF(AD37=Dienste!$A$14,Dienste!$C$14,IF(AD37=Dienste!$A$15,Dienste!$C$15,IF(AD37=Dienste!$A$16,Dienste!$C$16,IF(AD37=Dienste!$A$17,Dienste!$C$17,IF(AD37=Dienste!$A$18,Dienste!$C$18,IF(AD37=Dienste!$A$19,Dienste!$C$19,IF(AD37=Dienste!$A$20,Dienste!$C$20,IF(AD37=Dienste!$A$21,Dienste!$C$21,IF(AD37=Dienste!$A$22,Dienste!$C$22,IF(AD37=Dienste!$A$23,Dienste!$C$23,IF(AD37=Dienste!$A$24,Dienste!$C$24,IF(AD37=Dienste!$A$25,Dienste!$C$25,IF(AD37=Dienste!$A$26,Dienste!$C$26,IF(AD37=Dienste!$A$27,Dienste!$C$27,IF(AD37=Dienste!$A$28,Dienste!$C$28,IF(AD37=Dienste!#REF!,Dienste!#REF!,IF(AD37=Dienste!#REF!,Dienste!#REF!,IF(AD37=Dienste!#REF!,Dienste!#REF!,IF(AD37=Dienste!#REF!,Dienste!#REF!,IF(AD37=Dienste!$A$33,Dienste!$C$33,IF(AD37=Dienste!$A$34,Dienste!$C$34,IF(AD37=Dienste!$A$35,Dienste!$C$35,IF(AD37=Dienste!$A$36,Dienste!$C$36,)))))))))))))))))))))))))))))))))))</f>
        <v>#REF!</v>
      </c>
      <c r="BY37" s="27" t="e">
        <f>IF(AE37=Dienste!$A$2,Dienste!$C$2,IF(AE37=Dienste!$A$3,Dienste!$C$3,IF(AE37=Dienste!$A$4,Dienste!$C$4,IF(AE37=Dienste!$A$5,Dienste!$C$5,IF(AE37=Dienste!$A$6,Dienste!$C$6,IF(AE37=Dienste!$A$7,Dienste!$C$7,IF(AE37=Dienste!$A$8,Dienste!$C$8,IF(AE37=Dienste!$A$9,Dienste!$C$9,IF(AE37=Dienste!$A$10,Dienste!$C$10,IF(AE37=Dienste!$A$11,Dienste!$C$11,IF(AE37=Dienste!$A$12,Dienste!$C$12,IF(AE37=Dienste!$A$13,Dienste!$C$13,IF(AE37=Dienste!$A$14,Dienste!$C$14,IF(AE37=Dienste!$A$15,Dienste!$C$15,IF(AE37=Dienste!$A$16,Dienste!$C$16,IF(AE37=Dienste!$A$17,Dienste!$C$17,IF(AE37=Dienste!$A$18,Dienste!$C$18,IF(AE37=Dienste!$A$19,Dienste!$C$19,IF(AE37=Dienste!$A$20,Dienste!$C$20,IF(AE37=Dienste!$A$21,Dienste!$C$21,IF(AE37=Dienste!$A$22,Dienste!$C$22,IF(AE37=Dienste!$A$23,Dienste!$C$23,IF(AE37=Dienste!$A$24,Dienste!$C$24,IF(AE37=Dienste!$A$25,Dienste!$C$25,IF(AE37=Dienste!$A$26,Dienste!$C$26,IF(AE37=Dienste!$A$27,Dienste!$C$27,IF(AE37=Dienste!$A$28,Dienste!$C$28,IF(AE37=Dienste!#REF!,Dienste!#REF!,IF(AE37=Dienste!#REF!,Dienste!#REF!,IF(AE37=Dienste!#REF!,Dienste!#REF!,IF(AE37=Dienste!#REF!,Dienste!#REF!,IF(AE37=Dienste!$A$33,Dienste!$C$33,IF(AE37=Dienste!$A$34,Dienste!$C$34,IF(AE37=Dienste!$A$35,Dienste!$C$35,IF(AE37=Dienste!$A$36,Dienste!$C$36,)))))))))))))))))))))))))))))))))))</f>
        <v>#REF!</v>
      </c>
      <c r="BZ37" s="27" t="e">
        <f>IF(AF37=Dienste!$A$2,Dienste!$C$2,IF(AF37=Dienste!$A$3,Dienste!$C$3,IF(AF37=Dienste!$A$4,Dienste!$C$4,IF(AF37=Dienste!$A$5,Dienste!$C$5,IF(AF37=Dienste!$A$6,Dienste!$C$6,IF(AF37=Dienste!$A$7,Dienste!$C$7,IF(AF37=Dienste!$A$8,Dienste!$C$8,IF(AF37=Dienste!$A$9,Dienste!$C$9,IF(AF37=Dienste!$A$10,Dienste!$C$10,IF(AF37=Dienste!$A$11,Dienste!$C$11,IF(AF37=Dienste!$A$12,Dienste!$C$12,IF(AF37=Dienste!$A$13,Dienste!$C$13,IF(AF37=Dienste!$A$14,Dienste!$C$14,IF(AF37=Dienste!$A$15,Dienste!$C$15,IF(AF37=Dienste!$A$16,Dienste!$C$16,IF(AF37=Dienste!$A$17,Dienste!$C$17,IF(AF37=Dienste!$A$18,Dienste!$C$18,IF(AF37=Dienste!$A$19,Dienste!$C$19,IF(AF37=Dienste!$A$20,Dienste!$C$20,IF(AF37=Dienste!$A$21,Dienste!$C$21,IF(AF37=Dienste!$A$22,Dienste!$C$22,IF(AF37=Dienste!$A$23,Dienste!$C$23,IF(AF37=Dienste!$A$24,Dienste!$C$24,IF(AF37=Dienste!$A$25,Dienste!$C$25,IF(AF37=Dienste!$A$26,Dienste!$C$26,IF(AF37=Dienste!$A$27,Dienste!$C$27,IF(AF37=Dienste!$A$28,Dienste!$C$28,IF(AF37=Dienste!#REF!,Dienste!#REF!,IF(AF37=Dienste!#REF!,Dienste!#REF!,IF(AF37=Dienste!#REF!,Dienste!#REF!,IF(AF37=Dienste!#REF!,Dienste!#REF!,IF(AF37=Dienste!$A$33,Dienste!$C$33,IF(AF37=Dienste!$A$34,Dienste!$C$34,IF(AF37=Dienste!$A$35,Dienste!$C$35,IF(AF37=Dienste!$A$36,Dienste!$C$36,)))))))))))))))))))))))))))))))))))</f>
        <v>#REF!</v>
      </c>
      <c r="CA37" s="27" t="e">
        <f>IF(AG37=Dienste!$A$2,Dienste!$C$2,IF(AG37=Dienste!$A$3,Dienste!$C$3,IF(AG37=Dienste!$A$4,Dienste!$C$4,IF(AG37=Dienste!$A$5,Dienste!$C$5,IF(AG37=Dienste!$A$6,Dienste!$C$6,IF(AG37=Dienste!$A$7,Dienste!$C$7,IF(AG37=Dienste!$A$8,Dienste!$C$8,IF(AG37=Dienste!$A$9,Dienste!$C$9,IF(AG37=Dienste!$A$10,Dienste!$C$10,IF(AG37=Dienste!$A$11,Dienste!$C$11,IF(AG37=Dienste!$A$12,Dienste!$C$12,IF(AG37=Dienste!$A$13,Dienste!$C$13,IF(AG37=Dienste!$A$14,Dienste!$C$14,IF(AG37=Dienste!$A$15,Dienste!$C$15,IF(AG37=Dienste!$A$16,Dienste!$C$16,IF(AG37=Dienste!$A$17,Dienste!$C$17,IF(AG37=Dienste!$A$18,Dienste!$C$18,IF(AG37=Dienste!$A$19,Dienste!$C$19,IF(AG37=Dienste!$A$20,Dienste!$C$20,IF(AG37=Dienste!$A$21,Dienste!$C$21,IF(AG37=Dienste!$A$22,Dienste!$C$22,IF(AG37=Dienste!$A$23,Dienste!$C$23,IF(AG37=Dienste!$A$24,Dienste!$C$24,IF(AG37=Dienste!$A$25,Dienste!$C$25,IF(AG37=Dienste!$A$26,Dienste!$C$26,IF(AG37=Dienste!$A$27,Dienste!$C$27,IF(AG37=Dienste!$A$28,Dienste!$C$28,IF(AG37=Dienste!#REF!,Dienste!#REF!,IF(AG37=Dienste!#REF!,Dienste!#REF!,IF(AG37=Dienste!#REF!,Dienste!#REF!,IF(AG37=Dienste!#REF!,Dienste!#REF!,IF(AG37=Dienste!$A$33,Dienste!$C$33,IF(AG37=Dienste!$A$34,Dienste!$C$34,IF(AG37=Dienste!$A$35,Dienste!$C$35,IF(AG37=Dienste!$A$36,Dienste!$C$36,)))))))))))))))))))))))))))))))))))</f>
        <v>#REF!</v>
      </c>
      <c r="CB37" s="27" t="e">
        <f>IF(AH37=Dienste!$A$2,Dienste!$C$2,IF(AH37=Dienste!$A$3,Dienste!$C$3,IF(AH37=Dienste!$A$4,Dienste!$C$4,IF(AH37=Dienste!$A$5,Dienste!$C$5,IF(AH37=Dienste!$A$6,Dienste!$C$6,IF(AH37=Dienste!$A$7,Dienste!$C$7,IF(AH37=Dienste!$A$8,Dienste!$C$8,IF(AH37=Dienste!$A$9,Dienste!$C$9,IF(AH37=Dienste!$A$10,Dienste!$C$10,IF(AH37=Dienste!$A$11,Dienste!$C$11,IF(AH37=Dienste!$A$12,Dienste!$C$12,IF(AH37=Dienste!$A$13,Dienste!$C$13,IF(AH37=Dienste!$A$14,Dienste!$C$14,IF(AH37=Dienste!$A$15,Dienste!$C$15,IF(AH37=Dienste!$A$16,Dienste!$C$16,IF(AH37=Dienste!$A$17,Dienste!$C$17,IF(AH37=Dienste!$A$18,Dienste!$C$18,IF(AH37=Dienste!$A$19,Dienste!$C$19,IF(AH37=Dienste!$A$20,Dienste!$C$20,IF(AH37=Dienste!$A$21,Dienste!$C$21,IF(AH37=Dienste!$A$22,Dienste!$C$22,IF(AH37=Dienste!$A$23,Dienste!$C$23,IF(AH37=Dienste!$A$24,Dienste!$C$24,IF(AH37=Dienste!$A$25,Dienste!$C$25,IF(AH37=Dienste!$A$26,Dienste!$C$26,IF(AH37=Dienste!$A$27,Dienste!$C$27,IF(AH37=Dienste!$A$28,Dienste!$C$28,IF(AH37=Dienste!#REF!,Dienste!#REF!,IF(AH37=Dienste!#REF!,Dienste!#REF!,IF(AH37=Dienste!#REF!,Dienste!#REF!,IF(AH37=Dienste!#REF!,Dienste!#REF!,IF(AH37=Dienste!$A$33,Dienste!$C$33,IF(AH37=Dienste!$A$34,Dienste!$C$34,IF(AH37=Dienste!$A$35,Dienste!$C$35,IF(AH37=Dienste!$A$36,Dienste!$C$36,)))))))))))))))))))))))))))))))))))</f>
        <v>#REF!</v>
      </c>
      <c r="CC37" s="27" t="e">
        <f>IF(AI37=Dienste!$A$2,Dienste!$C$2,IF(AI37=Dienste!$A$3,Dienste!$C$3,IF(AI37=Dienste!$A$4,Dienste!$C$4,IF(AI37=Dienste!$A$5,Dienste!$C$5,IF(AI37=Dienste!$A$6,Dienste!$C$6,IF(AI37=Dienste!$A$7,Dienste!$C$7,IF(AI37=Dienste!$A$8,Dienste!$C$8,IF(AI37=Dienste!$A$9,Dienste!$C$9,IF(AI37=Dienste!$A$10,Dienste!$C$10,IF(AI37=Dienste!$A$11,Dienste!$C$11,IF(AI37=Dienste!$A$12,Dienste!$C$12,IF(AI37=Dienste!$A$13,Dienste!$C$13,IF(AI37=Dienste!$A$14,Dienste!$C$14,IF(AI37=Dienste!$A$15,Dienste!$C$15,IF(AI37=Dienste!$A$16,Dienste!$C$16,IF(AI37=Dienste!$A$17,Dienste!$C$17,IF(AI37=Dienste!$A$18,Dienste!$C$18,IF(AI37=Dienste!$A$19,Dienste!$C$19,IF(AI37=Dienste!$A$20,Dienste!$C$20,IF(AI37=Dienste!$A$21,Dienste!$C$21,IF(AI37=Dienste!$A$22,Dienste!$C$22,IF(AI37=Dienste!$A$23,Dienste!$C$23,IF(AI37=Dienste!$A$24,Dienste!$C$24,IF(AI37=Dienste!$A$25,Dienste!$C$25,IF(AI37=Dienste!$A$26,Dienste!$C$26,IF(AI37=Dienste!$A$27,Dienste!$C$27,IF(AI37=Dienste!$A$28,Dienste!$C$28,IF(AI37=Dienste!#REF!,Dienste!#REF!,IF(AI37=Dienste!#REF!,Dienste!#REF!,IF(AI37=Dienste!#REF!,Dienste!#REF!,IF(AI37=Dienste!#REF!,Dienste!#REF!,IF(AI37=Dienste!$A$33,Dienste!$C$33,IF(AI37=Dienste!$A$34,Dienste!$C$34,IF(AI37=Dienste!$A$35,Dienste!$C$35,IF(AI37=Dienste!$A$36,Dienste!$C$36,)))))))))))))))))))))))))))))))))))</f>
        <v>#REF!</v>
      </c>
    </row>
    <row r="38" spans="1:81" hidden="1" x14ac:dyDescent="0.25">
      <c r="A38" s="109"/>
      <c r="B38" s="15"/>
      <c r="C38" s="15"/>
      <c r="D38" s="98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4"/>
      <c r="AK38" s="152"/>
      <c r="AL38" s="154"/>
      <c r="AM38" s="152"/>
      <c r="AN38" s="152"/>
      <c r="AO38" s="154"/>
      <c r="AP38" s="152"/>
      <c r="AQ38" s="153"/>
      <c r="AR38" s="154"/>
      <c r="AS38" s="152"/>
      <c r="AT38" s="153"/>
      <c r="AU38" s="27" t="e">
        <f t="shared" si="3"/>
        <v>#REF!</v>
      </c>
      <c r="AV38" s="27" t="e">
        <f t="shared" ref="AV38:AV44" si="7">AG38+AW38</f>
        <v>#REF!</v>
      </c>
      <c r="AW38" s="58" t="e">
        <f t="shared" si="6"/>
        <v>#REF!</v>
      </c>
      <c r="AY38" s="27" t="e">
        <f>IF(E38=Dienste!$A$2,Dienste!$C$2,IF(E38=Dienste!$A$3,Dienste!$C$3,IF(E38=Dienste!$A$4,Dienste!$C$4,IF(E38=Dienste!$A$5,Dienste!$C$5,IF(E38=Dienste!$A$6,Dienste!$C$6,IF(E38=Dienste!$A$7,Dienste!$C$7,IF(E38=Dienste!$A$8,Dienste!$C$8,IF(E38=Dienste!$A$9,Dienste!$C$9,IF(E38=Dienste!$A$10,Dienste!$C$10,IF(E38=Dienste!$A$11,Dienste!$C$11,IF(E38=Dienste!$A$12,Dienste!$C$12,IF(E38=Dienste!$A$13,Dienste!$C$13,IF(E38=Dienste!$A$14,Dienste!$C$14,IF(E38=Dienste!$A$15,Dienste!$C$15,IF(E38=Dienste!$A$16,Dienste!$C$16,IF(E38=Dienste!$A$17,Dienste!$C$17,IF(E38=Dienste!$A$18,Dienste!$C$18,IF(E38=Dienste!$A$19,Dienste!$C$19,IF(E38=Dienste!$A$20,Dienste!$C$20,IF(E38=Dienste!$A$21,Dienste!$C$21,IF(E38=Dienste!$A$22,Dienste!$C$22,IF(E38=Dienste!$A$23,Dienste!$C$23,IF(E38=Dienste!$A$24,Dienste!$C$24,IF(E38=Dienste!$A$25,Dienste!$C$25,IF(E38=Dienste!$A$26,Dienste!$C$26,IF(E38=Dienste!$A$27,Dienste!$C$27,IF(E38=Dienste!$A$28,Dienste!$C$28,IF(E38=Dienste!#REF!,Dienste!#REF!,IF(E38=Dienste!#REF!,Dienste!#REF!,IF(E38=Dienste!#REF!,Dienste!#REF!,IF(E38=Dienste!#REF!,Dienste!#REF!,IF(E38=Dienste!$A$33,Dienste!$C$33,IF(E38=Dienste!$A$34,Dienste!$C$34,IF(E38=Dienste!$A$35,Dienste!$C$35,IF(E38=Dienste!$A$36,Dienste!$C$36,)))))))))))))))))))))))))))))))))))</f>
        <v>#REF!</v>
      </c>
      <c r="AZ38" s="27" t="e">
        <f>IF(F38=Dienste!$A$2,Dienste!$C$2,IF(F38=Dienste!$A$3,Dienste!$C$3,IF(F38=Dienste!$A$4,Dienste!$C$4,IF(F38=Dienste!$A$5,Dienste!$C$5,IF(F38=Dienste!$A$6,Dienste!$C$6,IF(F38=Dienste!$A$7,Dienste!$C$7,IF(F38=Dienste!$A$8,Dienste!$C$8,IF(F38=Dienste!$A$9,Dienste!$C$9,IF(F38=Dienste!$A$10,Dienste!$C$10,IF(F38=Dienste!$A$11,Dienste!$C$11,IF(F38=Dienste!$A$12,Dienste!$C$12,IF(F38=Dienste!$A$13,Dienste!$C$13,IF(F38=Dienste!$A$14,Dienste!$C$14,IF(F38=Dienste!$A$15,Dienste!$C$15,IF(F38=Dienste!$A$16,Dienste!$C$16,IF(F38=Dienste!$A$17,Dienste!$C$17,IF(F38=Dienste!$A$18,Dienste!$C$18,IF(F38=Dienste!$A$19,Dienste!$C$19,IF(F38=Dienste!$A$20,Dienste!$C$20,IF(F38=Dienste!$A$21,Dienste!$C$21,IF(F38=Dienste!$A$22,Dienste!$C$22,IF(F38=Dienste!$A$23,Dienste!$C$23,IF(F38=Dienste!$A$24,Dienste!$C$24,IF(F38=Dienste!$A$25,Dienste!$C$25,IF(F38=Dienste!$A$26,Dienste!$C$26,IF(F38=Dienste!$A$27,Dienste!$C$27,IF(F38=Dienste!$A$28,Dienste!$C$28,IF(F38=Dienste!#REF!,Dienste!#REF!,IF(F38=Dienste!#REF!,Dienste!#REF!,IF(F38=Dienste!#REF!,Dienste!#REF!,IF(F38=Dienste!#REF!,Dienste!#REF!,IF(F38=Dienste!$A$33,Dienste!$C$33,IF(F38=Dienste!$A$34,Dienste!$C$34,IF(F38=Dienste!$A$35,Dienste!$C$35,IF(F38=Dienste!$A$36,Dienste!$C$36,)))))))))))))))))))))))))))))))))))</f>
        <v>#REF!</v>
      </c>
      <c r="BA38" s="27" t="e">
        <f>IF(G38=Dienste!$A$2,Dienste!$C$2,IF(G38=Dienste!$A$3,Dienste!$C$3,IF(G38=Dienste!$A$4,Dienste!$C$4,IF(G38=Dienste!$A$5,Dienste!$C$5,IF(G38=Dienste!$A$6,Dienste!$C$6,IF(G38=Dienste!$A$7,Dienste!$C$7,IF(G38=Dienste!$A$8,Dienste!$C$8,IF(G38=Dienste!$A$9,Dienste!$C$9,IF(G38=Dienste!$A$10,Dienste!$C$10,IF(G38=Dienste!$A$11,Dienste!$C$11,IF(G38=Dienste!$A$12,Dienste!$C$12,IF(G38=Dienste!$A$13,Dienste!$C$13,IF(G38=Dienste!$A$14,Dienste!$C$14,IF(G38=Dienste!$A$15,Dienste!$C$15,IF(G38=Dienste!$A$16,Dienste!$C$16,IF(G38=Dienste!$A$17,Dienste!$C$17,IF(G38=Dienste!$A$18,Dienste!$C$18,IF(G38=Dienste!$A$19,Dienste!$C$19,IF(G38=Dienste!$A$20,Dienste!$C$20,IF(G38=Dienste!$A$21,Dienste!$C$21,IF(G38=Dienste!$A$22,Dienste!$C$22,IF(G38=Dienste!$A$23,Dienste!$C$23,IF(G38=Dienste!$A$24,Dienste!$C$24,IF(G38=Dienste!$A$25,Dienste!$C$25,IF(G38=Dienste!$A$26,Dienste!$C$26,IF(G38=Dienste!$A$27,Dienste!$C$27,IF(G38=Dienste!$A$28,Dienste!$C$28,IF(G38=Dienste!#REF!,Dienste!#REF!,IF(G38=Dienste!#REF!,Dienste!#REF!,IF(G38=Dienste!#REF!,Dienste!#REF!,IF(G38=Dienste!#REF!,Dienste!#REF!,IF(G38=Dienste!$A$33,Dienste!$C$33,IF(G38=Dienste!$A$34,Dienste!$C$34,IF(G38=Dienste!$A$35,Dienste!$C$35,IF(G38=Dienste!$A$36,Dienste!$C$36,)))))))))))))))))))))))))))))))))))</f>
        <v>#REF!</v>
      </c>
      <c r="BB38" s="27" t="e">
        <f>IF(H38=Dienste!$A$2,Dienste!$C$2,IF(H38=Dienste!$A$3,Dienste!$C$3,IF(H38=Dienste!$A$4,Dienste!$C$4,IF(H38=Dienste!$A$5,Dienste!$C$5,IF(H38=Dienste!$A$6,Dienste!$C$6,IF(H38=Dienste!$A$7,Dienste!$C$7,IF(H38=Dienste!$A$8,Dienste!$C$8,IF(H38=Dienste!$A$9,Dienste!$C$9,IF(H38=Dienste!$A$10,Dienste!$C$10,IF(H38=Dienste!$A$11,Dienste!$C$11,IF(H38=Dienste!$A$12,Dienste!$C$12,IF(H38=Dienste!$A$13,Dienste!$C$13,IF(H38=Dienste!$A$14,Dienste!$C$14,IF(H38=Dienste!$A$15,Dienste!$C$15,IF(H38=Dienste!$A$16,Dienste!$C$16,IF(H38=Dienste!$A$17,Dienste!$C$17,IF(H38=Dienste!$A$18,Dienste!$C$18,IF(H38=Dienste!$A$19,Dienste!$C$19,IF(H38=Dienste!$A$20,Dienste!$C$20,IF(H38=Dienste!$A$21,Dienste!$C$21,IF(H38=Dienste!$A$22,Dienste!$C$22,IF(H38=Dienste!$A$23,Dienste!$C$23,IF(H38=Dienste!$A$24,Dienste!$C$24,IF(H38=Dienste!$A$25,Dienste!$C$25,IF(H38=Dienste!$A$26,Dienste!$C$26,IF(H38=Dienste!$A$27,Dienste!$C$27,IF(H38=Dienste!$A$28,Dienste!$C$28,IF(H38=Dienste!#REF!,Dienste!#REF!,IF(H38=Dienste!#REF!,Dienste!#REF!,IF(H38=Dienste!#REF!,Dienste!#REF!,IF(H38=Dienste!#REF!,Dienste!#REF!,IF(H38=Dienste!$A$33,Dienste!$C$33,IF(H38=Dienste!$A$34,Dienste!$C$34,IF(H38=Dienste!$A$35,Dienste!$C$35,IF(H38=Dienste!$A$36,Dienste!$C$36,)))))))))))))))))))))))))))))))))))</f>
        <v>#REF!</v>
      </c>
      <c r="BC38" s="27" t="e">
        <f>IF(I38=Dienste!$A$2,Dienste!$C$2,IF(I38=Dienste!$A$3,Dienste!$C$3,IF(I38=Dienste!$A$4,Dienste!$C$4,IF(I38=Dienste!$A$5,Dienste!$C$5,IF(I38=Dienste!$A$6,Dienste!$C$6,IF(I38=Dienste!$A$7,Dienste!$C$7,IF(I38=Dienste!$A$8,Dienste!$C$8,IF(I38=Dienste!$A$9,Dienste!$C$9,IF(I38=Dienste!$A$10,Dienste!$C$10,IF(I38=Dienste!$A$11,Dienste!$C$11,IF(I38=Dienste!$A$12,Dienste!$C$12,IF(I38=Dienste!$A$13,Dienste!$C$13,IF(I38=Dienste!$A$14,Dienste!$C$14,IF(I38=Dienste!$A$15,Dienste!$C$15,IF(I38=Dienste!$A$16,Dienste!$C$16,IF(I38=Dienste!$A$17,Dienste!$C$17,IF(I38=Dienste!$A$18,Dienste!$C$18,IF(I38=Dienste!$A$19,Dienste!$C$19,IF(I38=Dienste!$A$20,Dienste!$C$20,IF(I38=Dienste!$A$21,Dienste!$C$21,IF(I38=Dienste!$A$22,Dienste!$C$22,IF(I38=Dienste!$A$23,Dienste!$C$23,IF(I38=Dienste!$A$24,Dienste!$C$24,IF(I38=Dienste!$A$25,Dienste!$C$25,IF(I38=Dienste!$A$26,Dienste!$C$26,IF(I38=Dienste!$A$27,Dienste!$C$27,IF(I38=Dienste!$A$28,Dienste!$C$28,IF(I38=Dienste!#REF!,Dienste!#REF!,IF(I38=Dienste!#REF!,Dienste!#REF!,IF(I38=Dienste!#REF!,Dienste!#REF!,IF(I38=Dienste!#REF!,Dienste!#REF!,IF(I38=Dienste!$A$33,Dienste!$C$33,IF(I38=Dienste!$A$34,Dienste!$C$34,IF(I38=Dienste!$A$35,Dienste!$C$35,IF(I38=Dienste!$A$36,Dienste!$C$36,)))))))))))))))))))))))))))))))))))</f>
        <v>#REF!</v>
      </c>
      <c r="BD38" s="27" t="e">
        <f>IF(J38=Dienste!$A$2,Dienste!$C$2,IF(J38=Dienste!$A$3,Dienste!$C$3,IF(J38=Dienste!$A$4,Dienste!$C$4,IF(J38=Dienste!$A$5,Dienste!$C$5,IF(J38=Dienste!$A$6,Dienste!$C$6,IF(J38=Dienste!$A$7,Dienste!$C$7,IF(J38=Dienste!$A$8,Dienste!$C$8,IF(J38=Dienste!$A$9,Dienste!$C$9,IF(J38=Dienste!$A$10,Dienste!$C$10,IF(J38=Dienste!$A$11,Dienste!$C$11,IF(J38=Dienste!$A$12,Dienste!$C$12,IF(J38=Dienste!$A$13,Dienste!$C$13,IF(J38=Dienste!$A$14,Dienste!$C$14,IF(J38=Dienste!$A$15,Dienste!$C$15,IF(J38=Dienste!$A$16,Dienste!$C$16,IF(J38=Dienste!$A$17,Dienste!$C$17,IF(J38=Dienste!$A$18,Dienste!$C$18,IF(J38=Dienste!$A$19,Dienste!$C$19,IF(J38=Dienste!$A$20,Dienste!$C$20,IF(J38=Dienste!$A$21,Dienste!$C$21,IF(J38=Dienste!$A$22,Dienste!$C$22,IF(J38=Dienste!$A$23,Dienste!$C$23,IF(J38=Dienste!$A$24,Dienste!$C$24,IF(J38=Dienste!$A$25,Dienste!$C$25,IF(J38=Dienste!$A$26,Dienste!$C$26,IF(J38=Dienste!$A$27,Dienste!$C$27,IF(J38=Dienste!$A$28,Dienste!$C$28,IF(J38=Dienste!#REF!,Dienste!#REF!,IF(J38=Dienste!#REF!,Dienste!#REF!,IF(J38=Dienste!#REF!,Dienste!#REF!,IF(J38=Dienste!#REF!,Dienste!#REF!,IF(J38=Dienste!$A$33,Dienste!$C$33,IF(J38=Dienste!$A$34,Dienste!$C$34,IF(J38=Dienste!$A$35,Dienste!$C$35,IF(J38=Dienste!$A$36,Dienste!$C$36,)))))))))))))))))))))))))))))))))))</f>
        <v>#REF!</v>
      </c>
      <c r="BE38" s="27" t="e">
        <f>IF(K38=Dienste!$A$2,Dienste!$C$2,IF(K38=Dienste!$A$3,Dienste!$C$3,IF(K38=Dienste!$A$4,Dienste!$C$4,IF(K38=Dienste!$A$5,Dienste!$C$5,IF(K38=Dienste!$A$6,Dienste!$C$6,IF(K38=Dienste!$A$7,Dienste!$C$7,IF(K38=Dienste!$A$8,Dienste!$C$8,IF(K38=Dienste!$A$9,Dienste!$C$9,IF(K38=Dienste!$A$10,Dienste!$C$10,IF(K38=Dienste!$A$11,Dienste!$C$11,IF(K38=Dienste!$A$12,Dienste!$C$12,IF(K38=Dienste!$A$13,Dienste!$C$13,IF(K38=Dienste!$A$14,Dienste!$C$14,IF(K38=Dienste!$A$15,Dienste!$C$15,IF(K38=Dienste!$A$16,Dienste!$C$16,IF(K38=Dienste!$A$17,Dienste!$C$17,IF(K38=Dienste!$A$18,Dienste!$C$18,IF(K38=Dienste!$A$19,Dienste!$C$19,IF(K38=Dienste!$A$20,Dienste!$C$20,IF(K38=Dienste!$A$21,Dienste!$C$21,IF(K38=Dienste!$A$22,Dienste!$C$22,IF(K38=Dienste!$A$23,Dienste!$C$23,IF(K38=Dienste!$A$24,Dienste!$C$24,IF(K38=Dienste!$A$25,Dienste!$C$25,IF(K38=Dienste!$A$26,Dienste!$C$26,IF(K38=Dienste!$A$27,Dienste!$C$27,IF(K38=Dienste!$A$28,Dienste!$C$28,IF(K38=Dienste!#REF!,Dienste!#REF!,IF(K38=Dienste!#REF!,Dienste!#REF!,IF(K38=Dienste!#REF!,Dienste!#REF!,IF(K38=Dienste!#REF!,Dienste!#REF!,IF(K38=Dienste!$A$33,Dienste!$C$33,IF(K38=Dienste!$A$34,Dienste!$C$34,IF(K38=Dienste!$A$35,Dienste!$C$35,IF(K38=Dienste!$A$36,Dienste!$C$36,)))))))))))))))))))))))))))))))))))</f>
        <v>#REF!</v>
      </c>
      <c r="BF38" s="27" t="e">
        <f>IF(L38=Dienste!$A$2,Dienste!$C$2,IF(L38=Dienste!$A$3,Dienste!$C$3,IF(L38=Dienste!$A$4,Dienste!$C$4,IF(L38=Dienste!$A$5,Dienste!$C$5,IF(L38=Dienste!$A$6,Dienste!$C$6,IF(L38=Dienste!$A$7,Dienste!$C$7,IF(L38=Dienste!$A$8,Dienste!$C$8,IF(L38=Dienste!$A$9,Dienste!$C$9,IF(L38=Dienste!$A$10,Dienste!$C$10,IF(L38=Dienste!$A$11,Dienste!$C$11,IF(L38=Dienste!$A$12,Dienste!$C$12,IF(L38=Dienste!$A$13,Dienste!$C$13,IF(L38=Dienste!$A$14,Dienste!$C$14,IF(L38=Dienste!$A$15,Dienste!$C$15,IF(L38=Dienste!$A$16,Dienste!$C$16,IF(L38=Dienste!$A$17,Dienste!$C$17,IF(L38=Dienste!$A$18,Dienste!$C$18,IF(L38=Dienste!$A$19,Dienste!$C$19,IF(L38=Dienste!$A$20,Dienste!$C$20,IF(L38=Dienste!$A$21,Dienste!$C$21,IF(L38=Dienste!$A$22,Dienste!$C$22,IF(L38=Dienste!$A$23,Dienste!$C$23,IF(L38=Dienste!$A$24,Dienste!$C$24,IF(L38=Dienste!$A$25,Dienste!$C$25,IF(L38=Dienste!$A$26,Dienste!$C$26,IF(L38=Dienste!$A$27,Dienste!$C$27,IF(L38=Dienste!$A$28,Dienste!$C$28,IF(L38=Dienste!#REF!,Dienste!#REF!,IF(L38=Dienste!#REF!,Dienste!#REF!,IF(L38=Dienste!#REF!,Dienste!#REF!,IF(L38=Dienste!#REF!,Dienste!#REF!,IF(L38=Dienste!$A$33,Dienste!$C$33,IF(L38=Dienste!$A$34,Dienste!$C$34,IF(L38=Dienste!$A$35,Dienste!$C$35,IF(L38=Dienste!$A$36,Dienste!$C$36,)))))))))))))))))))))))))))))))))))</f>
        <v>#REF!</v>
      </c>
      <c r="BG38" s="27" t="e">
        <f>IF(M38=Dienste!$A$2,Dienste!$C$2,IF(M38=Dienste!$A$3,Dienste!$C$3,IF(M38=Dienste!$A$4,Dienste!$C$4,IF(M38=Dienste!$A$5,Dienste!$C$5,IF(M38=Dienste!$A$6,Dienste!$C$6,IF(M38=Dienste!$A$7,Dienste!$C$7,IF(M38=Dienste!$A$8,Dienste!$C$8,IF(M38=Dienste!$A$9,Dienste!$C$9,IF(M38=Dienste!$A$10,Dienste!$C$10,IF(M38=Dienste!$A$11,Dienste!$C$11,IF(M38=Dienste!$A$12,Dienste!$C$12,IF(M38=Dienste!$A$13,Dienste!$C$13,IF(M38=Dienste!$A$14,Dienste!$C$14,IF(M38=Dienste!$A$15,Dienste!$C$15,IF(M38=Dienste!$A$16,Dienste!$C$16,IF(M38=Dienste!$A$17,Dienste!$C$17,IF(M38=Dienste!$A$18,Dienste!$C$18,IF(M38=Dienste!$A$19,Dienste!$C$19,IF(M38=Dienste!$A$20,Dienste!$C$20,IF(M38=Dienste!$A$21,Dienste!$C$21,IF(M38=Dienste!$A$22,Dienste!$C$22,IF(M38=Dienste!$A$23,Dienste!$C$23,IF(M38=Dienste!$A$24,Dienste!$C$24,IF(M38=Dienste!$A$25,Dienste!$C$25,IF(M38=Dienste!$A$26,Dienste!$C$26,IF(M38=Dienste!$A$27,Dienste!$C$27,IF(M38=Dienste!$A$28,Dienste!$C$28,IF(M38=Dienste!#REF!,Dienste!#REF!,IF(M38=Dienste!#REF!,Dienste!#REF!,IF(M38=Dienste!#REF!,Dienste!#REF!,IF(M38=Dienste!#REF!,Dienste!#REF!,IF(M38=Dienste!$A$33,Dienste!$C$33,IF(M38=Dienste!$A$34,Dienste!$C$34,IF(M38=Dienste!$A$35,Dienste!$C$35,IF(M38=Dienste!$A$36,Dienste!$C$36,)))))))))))))))))))))))))))))))))))</f>
        <v>#REF!</v>
      </c>
      <c r="BH38" s="27" t="e">
        <f>IF(N38=Dienste!$A$2,Dienste!$C$2,IF(N38=Dienste!$A$3,Dienste!$C$3,IF(N38=Dienste!$A$4,Dienste!$C$4,IF(N38=Dienste!$A$5,Dienste!$C$5,IF(N38=Dienste!$A$6,Dienste!$C$6,IF(N38=Dienste!$A$7,Dienste!$C$7,IF(N38=Dienste!$A$8,Dienste!$C$8,IF(N38=Dienste!$A$9,Dienste!$C$9,IF(N38=Dienste!$A$10,Dienste!$C$10,IF(N38=Dienste!$A$11,Dienste!$C$11,IF(N38=Dienste!$A$12,Dienste!$C$12,IF(N38=Dienste!$A$13,Dienste!$C$13,IF(N38=Dienste!$A$14,Dienste!$C$14,IF(N38=Dienste!$A$15,Dienste!$C$15,IF(N38=Dienste!$A$16,Dienste!$C$16,IF(N38=Dienste!$A$17,Dienste!$C$17,IF(N38=Dienste!$A$18,Dienste!$C$18,IF(N38=Dienste!$A$19,Dienste!$C$19,IF(N38=Dienste!$A$20,Dienste!$C$20,IF(N38=Dienste!$A$21,Dienste!$C$21,IF(N38=Dienste!$A$22,Dienste!$C$22,IF(N38=Dienste!$A$23,Dienste!$C$23,IF(N38=Dienste!$A$24,Dienste!$C$24,IF(N38=Dienste!$A$25,Dienste!$C$25,IF(N38=Dienste!$A$26,Dienste!$C$26,IF(N38=Dienste!$A$27,Dienste!$C$27,IF(N38=Dienste!$A$28,Dienste!$C$28,IF(N38=Dienste!#REF!,Dienste!#REF!,IF(N38=Dienste!#REF!,Dienste!#REF!,IF(N38=Dienste!#REF!,Dienste!#REF!,IF(N38=Dienste!#REF!,Dienste!#REF!,IF(N38=Dienste!$A$33,Dienste!$C$33,IF(N38=Dienste!$A$34,Dienste!$C$34,IF(N38=Dienste!$A$35,Dienste!$C$35,IF(N38=Dienste!$A$36,Dienste!$C$36,)))))))))))))))))))))))))))))))))))</f>
        <v>#REF!</v>
      </c>
      <c r="BI38" s="27" t="e">
        <f>IF(O38=Dienste!$A$2,Dienste!$C$2,IF(O38=Dienste!$A$3,Dienste!$C$3,IF(O38=Dienste!$A$4,Dienste!$C$4,IF(O38=Dienste!$A$5,Dienste!$C$5,IF(O38=Dienste!$A$6,Dienste!$C$6,IF(O38=Dienste!$A$7,Dienste!$C$7,IF(O38=Dienste!$A$8,Dienste!$C$8,IF(O38=Dienste!$A$9,Dienste!$C$9,IF(O38=Dienste!$A$10,Dienste!$C$10,IF(O38=Dienste!$A$11,Dienste!$C$11,IF(O38=Dienste!$A$12,Dienste!$C$12,IF(O38=Dienste!$A$13,Dienste!$C$13,IF(O38=Dienste!$A$14,Dienste!$C$14,IF(O38=Dienste!$A$15,Dienste!$C$15,IF(O38=Dienste!$A$16,Dienste!$C$16,IF(O38=Dienste!$A$17,Dienste!$C$17,IF(O38=Dienste!$A$18,Dienste!$C$18,IF(O38=Dienste!$A$19,Dienste!$C$19,IF(O38=Dienste!$A$20,Dienste!$C$20,IF(O38=Dienste!$A$21,Dienste!$C$21,IF(O38=Dienste!$A$22,Dienste!$C$22,IF(O38=Dienste!$A$23,Dienste!$C$23,IF(O38=Dienste!$A$24,Dienste!$C$24,IF(O38=Dienste!$A$25,Dienste!$C$25,IF(O38=Dienste!$A$26,Dienste!$C$26,IF(O38=Dienste!$A$27,Dienste!$C$27,IF(O38=Dienste!$A$28,Dienste!$C$28,IF(O38=Dienste!#REF!,Dienste!#REF!,IF(O38=Dienste!#REF!,Dienste!#REF!,IF(O38=Dienste!#REF!,Dienste!#REF!,IF(O38=Dienste!#REF!,Dienste!#REF!,IF(O38=Dienste!$A$33,Dienste!$C$33,IF(O38=Dienste!$A$34,Dienste!$C$34,IF(O38=Dienste!$A$35,Dienste!$C$35,IF(O38=Dienste!$A$36,Dienste!$C$36,)))))))))))))))))))))))))))))))))))</f>
        <v>#REF!</v>
      </c>
      <c r="BJ38" s="27" t="e">
        <f>IF(P38=Dienste!$A$2,Dienste!$C$2,IF(P38=Dienste!$A$3,Dienste!$C$3,IF(P38=Dienste!$A$4,Dienste!$C$4,IF(P38=Dienste!$A$5,Dienste!$C$5,IF(P38=Dienste!$A$6,Dienste!$C$6,IF(P38=Dienste!$A$7,Dienste!$C$7,IF(P38=Dienste!$A$8,Dienste!$C$8,IF(P38=Dienste!$A$9,Dienste!$C$9,IF(P38=Dienste!$A$10,Dienste!$C$10,IF(P38=Dienste!$A$11,Dienste!$C$11,IF(P38=Dienste!$A$12,Dienste!$C$12,IF(P38=Dienste!$A$13,Dienste!$C$13,IF(P38=Dienste!$A$14,Dienste!$C$14,IF(P38=Dienste!$A$15,Dienste!$C$15,IF(P38=Dienste!$A$16,Dienste!$C$16,IF(P38=Dienste!$A$17,Dienste!$C$17,IF(P38=Dienste!$A$18,Dienste!$C$18,IF(P38=Dienste!$A$19,Dienste!$C$19,IF(P38=Dienste!$A$20,Dienste!$C$20,IF(P38=Dienste!$A$21,Dienste!$C$21,IF(P38=Dienste!$A$22,Dienste!$C$22,IF(P38=Dienste!$A$23,Dienste!$C$23,IF(P38=Dienste!$A$24,Dienste!$C$24,IF(P38=Dienste!$A$25,Dienste!$C$25,IF(P38=Dienste!$A$26,Dienste!$C$26,IF(P38=Dienste!$A$27,Dienste!$C$27,IF(P38=Dienste!$A$28,Dienste!$C$28,IF(P38=Dienste!#REF!,Dienste!#REF!,IF(P38=Dienste!#REF!,Dienste!#REF!,IF(P38=Dienste!#REF!,Dienste!#REF!,IF(P38=Dienste!#REF!,Dienste!#REF!,IF(P38=Dienste!$A$33,Dienste!$C$33,IF(P38=Dienste!$A$34,Dienste!$C$34,IF(P38=Dienste!$A$35,Dienste!$C$35,IF(P38=Dienste!$A$36,Dienste!$C$36,)))))))))))))))))))))))))))))))))))</f>
        <v>#REF!</v>
      </c>
      <c r="BK38" s="27" t="e">
        <f>IF(Q38=Dienste!$A$2,Dienste!$C$2,IF(Q38=Dienste!$A$3,Dienste!$C$3,IF(Q38=Dienste!$A$4,Dienste!$C$4,IF(Q38=Dienste!$A$5,Dienste!$C$5,IF(Q38=Dienste!$A$6,Dienste!$C$6,IF(Q38=Dienste!$A$7,Dienste!$C$7,IF(Q38=Dienste!$A$8,Dienste!$C$8,IF(Q38=Dienste!$A$9,Dienste!$C$9,IF(Q38=Dienste!$A$10,Dienste!$C$10,IF(Q38=Dienste!$A$11,Dienste!$C$11,IF(Q38=Dienste!$A$12,Dienste!$C$12,IF(Q38=Dienste!$A$13,Dienste!$C$13,IF(Q38=Dienste!$A$14,Dienste!$C$14,IF(Q38=Dienste!$A$15,Dienste!$C$15,IF(Q38=Dienste!$A$16,Dienste!$C$16,IF(Q38=Dienste!$A$17,Dienste!$C$17,IF(Q38=Dienste!$A$18,Dienste!$C$18,IF(Q38=Dienste!$A$19,Dienste!$C$19,IF(Q38=Dienste!$A$20,Dienste!$C$20,IF(Q38=Dienste!$A$21,Dienste!$C$21,IF(Q38=Dienste!$A$22,Dienste!$C$22,IF(Q38=Dienste!$A$23,Dienste!$C$23,IF(Q38=Dienste!$A$24,Dienste!$C$24,IF(Q38=Dienste!$A$25,Dienste!$C$25,IF(Q38=Dienste!$A$26,Dienste!$C$26,IF(Q38=Dienste!$A$27,Dienste!$C$27,IF(Q38=Dienste!$A$28,Dienste!$C$28,IF(Q38=Dienste!#REF!,Dienste!#REF!,IF(Q38=Dienste!#REF!,Dienste!#REF!,IF(Q38=Dienste!#REF!,Dienste!#REF!,IF(Q38=Dienste!#REF!,Dienste!#REF!,IF(Q38=Dienste!$A$33,Dienste!$C$33,IF(Q38=Dienste!$A$34,Dienste!$C$34,IF(Q38=Dienste!$A$35,Dienste!$C$35,IF(Q38=Dienste!$A$36,Dienste!$C$36,)))))))))))))))))))))))))))))))))))</f>
        <v>#REF!</v>
      </c>
      <c r="BL38" s="27" t="e">
        <f>IF(R38=Dienste!$A$2,Dienste!$C$2,IF(R38=Dienste!$A$3,Dienste!$C$3,IF(R38=Dienste!$A$4,Dienste!$C$4,IF(R38=Dienste!$A$5,Dienste!$C$5,IF(R38=Dienste!$A$6,Dienste!$C$6,IF(R38=Dienste!$A$7,Dienste!$C$7,IF(R38=Dienste!$A$8,Dienste!$C$8,IF(R38=Dienste!$A$9,Dienste!$C$9,IF(R38=Dienste!$A$10,Dienste!$C$10,IF(R38=Dienste!$A$11,Dienste!$C$11,IF(R38=Dienste!$A$12,Dienste!$C$12,IF(R38=Dienste!$A$13,Dienste!$C$13,IF(R38=Dienste!$A$14,Dienste!$C$14,IF(R38=Dienste!$A$15,Dienste!$C$15,IF(R38=Dienste!$A$16,Dienste!$C$16,IF(R38=Dienste!$A$17,Dienste!$C$17,IF(R38=Dienste!$A$18,Dienste!$C$18,IF(R38=Dienste!$A$19,Dienste!$C$19,IF(R38=Dienste!$A$20,Dienste!$C$20,IF(R38=Dienste!$A$21,Dienste!$C$21,IF(R38=Dienste!$A$22,Dienste!$C$22,IF(R38=Dienste!$A$23,Dienste!$C$23,IF(R38=Dienste!$A$24,Dienste!$C$24,IF(R38=Dienste!$A$25,Dienste!$C$25,IF(R38=Dienste!$A$26,Dienste!$C$26,IF(R38=Dienste!$A$27,Dienste!$C$27,IF(R38=Dienste!$A$28,Dienste!$C$28,IF(R38=Dienste!#REF!,Dienste!#REF!,IF(R38=Dienste!#REF!,Dienste!#REF!,IF(R38=Dienste!#REF!,Dienste!#REF!,IF(R38=Dienste!#REF!,Dienste!#REF!,IF(R38=Dienste!$A$33,Dienste!$C$33,IF(R38=Dienste!$A$34,Dienste!$C$34,IF(R38=Dienste!$A$35,Dienste!$C$35,IF(R38=Dienste!$A$36,Dienste!$C$36,)))))))))))))))))))))))))))))))))))</f>
        <v>#REF!</v>
      </c>
      <c r="BM38" s="27" t="e">
        <f>IF(S38=Dienste!$A$2,Dienste!$C$2,IF(S38=Dienste!$A$3,Dienste!$C$3,IF(S38=Dienste!$A$4,Dienste!$C$4,IF(S38=Dienste!$A$5,Dienste!$C$5,IF(S38=Dienste!$A$6,Dienste!$C$6,IF(S38=Dienste!$A$7,Dienste!$C$7,IF(S38=Dienste!$A$8,Dienste!$C$8,IF(S38=Dienste!$A$9,Dienste!$C$9,IF(S38=Dienste!$A$10,Dienste!$C$10,IF(S38=Dienste!$A$11,Dienste!$C$11,IF(S38=Dienste!$A$12,Dienste!$C$12,IF(S38=Dienste!$A$13,Dienste!$C$13,IF(S38=Dienste!$A$14,Dienste!$C$14,IF(S38=Dienste!$A$15,Dienste!$C$15,IF(S38=Dienste!$A$16,Dienste!$C$16,IF(S38=Dienste!$A$17,Dienste!$C$17,IF(S38=Dienste!$A$18,Dienste!$C$18,IF(S38=Dienste!$A$19,Dienste!$C$19,IF(S38=Dienste!$A$20,Dienste!$C$20,IF(S38=Dienste!$A$21,Dienste!$C$21,IF(S38=Dienste!$A$22,Dienste!$C$22,IF(S38=Dienste!$A$23,Dienste!$C$23,IF(S38=Dienste!$A$24,Dienste!$C$24,IF(S38=Dienste!$A$25,Dienste!$C$25,IF(S38=Dienste!$A$26,Dienste!$C$26,IF(S38=Dienste!$A$27,Dienste!$C$27,IF(S38=Dienste!$A$28,Dienste!$C$28,IF(S38=Dienste!#REF!,Dienste!#REF!,IF(S38=Dienste!#REF!,Dienste!#REF!,IF(S38=Dienste!#REF!,Dienste!#REF!,IF(S38=Dienste!#REF!,Dienste!#REF!,IF(S38=Dienste!$A$33,Dienste!$C$33,IF(S38=Dienste!$A$34,Dienste!$C$34,IF(S38=Dienste!$A$35,Dienste!$C$35,IF(S38=Dienste!$A$36,Dienste!$C$36,)))))))))))))))))))))))))))))))))))</f>
        <v>#REF!</v>
      </c>
      <c r="BN38" s="27" t="e">
        <f>IF(T38=Dienste!$A$2,Dienste!$C$2,IF(T38=Dienste!$A$3,Dienste!$C$3,IF(T38=Dienste!$A$4,Dienste!$C$4,IF(T38=Dienste!$A$5,Dienste!$C$5,IF(T38=Dienste!$A$6,Dienste!$C$6,IF(T38=Dienste!$A$7,Dienste!$C$7,IF(T38=Dienste!$A$8,Dienste!$C$8,IF(T38=Dienste!$A$9,Dienste!$C$9,IF(T38=Dienste!$A$10,Dienste!$C$10,IF(T38=Dienste!$A$11,Dienste!$C$11,IF(T38=Dienste!$A$12,Dienste!$C$12,IF(T38=Dienste!$A$13,Dienste!$C$13,IF(T38=Dienste!$A$14,Dienste!$C$14,IF(T38=Dienste!$A$15,Dienste!$C$15,IF(T38=Dienste!$A$16,Dienste!$C$16,IF(T38=Dienste!$A$17,Dienste!$C$17,IF(T38=Dienste!$A$18,Dienste!$C$18,IF(T38=Dienste!$A$19,Dienste!$C$19,IF(T38=Dienste!$A$20,Dienste!$C$20,IF(T38=Dienste!$A$21,Dienste!$C$21,IF(T38=Dienste!$A$22,Dienste!$C$22,IF(T38=Dienste!$A$23,Dienste!$C$23,IF(T38=Dienste!$A$24,Dienste!$C$24,IF(T38=Dienste!$A$25,Dienste!$C$25,IF(T38=Dienste!$A$26,Dienste!$C$26,IF(T38=Dienste!$A$27,Dienste!$C$27,IF(T38=Dienste!$A$28,Dienste!$C$28,IF(T38=Dienste!#REF!,Dienste!#REF!,IF(T38=Dienste!#REF!,Dienste!#REF!,IF(T38=Dienste!#REF!,Dienste!#REF!,IF(T38=Dienste!#REF!,Dienste!#REF!,IF(T38=Dienste!$A$33,Dienste!$C$33,IF(T38=Dienste!$A$34,Dienste!$C$34,IF(T38=Dienste!$A$35,Dienste!$C$35,IF(T38=Dienste!$A$36,Dienste!$C$36,)))))))))))))))))))))))))))))))))))</f>
        <v>#REF!</v>
      </c>
      <c r="BO38" s="27" t="e">
        <f>IF(U38=Dienste!$A$2,Dienste!$C$2,IF(U38=Dienste!$A$3,Dienste!$C$3,IF(U38=Dienste!$A$4,Dienste!$C$4,IF(U38=Dienste!$A$5,Dienste!$C$5,IF(U38=Dienste!$A$6,Dienste!$C$6,IF(U38=Dienste!$A$7,Dienste!$C$7,IF(U38=Dienste!$A$8,Dienste!$C$8,IF(U38=Dienste!$A$9,Dienste!$C$9,IF(U38=Dienste!$A$10,Dienste!$C$10,IF(U38=Dienste!$A$11,Dienste!$C$11,IF(U38=Dienste!$A$12,Dienste!$C$12,IF(U38=Dienste!$A$13,Dienste!$C$13,IF(U38=Dienste!$A$14,Dienste!$C$14,IF(U38=Dienste!$A$15,Dienste!$C$15,IF(U38=Dienste!$A$16,Dienste!$C$16,IF(U38=Dienste!$A$17,Dienste!$C$17,IF(U38=Dienste!$A$18,Dienste!$C$18,IF(U38=Dienste!$A$19,Dienste!$C$19,IF(U38=Dienste!$A$20,Dienste!$C$20,IF(U38=Dienste!$A$21,Dienste!$C$21,IF(U38=Dienste!$A$22,Dienste!$C$22,IF(U38=Dienste!$A$23,Dienste!$C$23,IF(U38=Dienste!$A$24,Dienste!$C$24,IF(U38=Dienste!$A$25,Dienste!$C$25,IF(U38=Dienste!$A$26,Dienste!$C$26,IF(U38=Dienste!$A$27,Dienste!$C$27,IF(U38=Dienste!$A$28,Dienste!$C$28,IF(U38=Dienste!#REF!,Dienste!#REF!,IF(U38=Dienste!#REF!,Dienste!#REF!,IF(U38=Dienste!#REF!,Dienste!#REF!,IF(U38=Dienste!#REF!,Dienste!#REF!,IF(U38=Dienste!$A$33,Dienste!$C$33,IF(U38=Dienste!$A$34,Dienste!$C$34,IF(U38=Dienste!$A$35,Dienste!$C$35,IF(U38=Dienste!$A$36,Dienste!$C$36,)))))))))))))))))))))))))))))))))))</f>
        <v>#REF!</v>
      </c>
      <c r="BP38" s="27" t="e">
        <f>IF(V38=Dienste!$A$2,Dienste!$C$2,IF(V38=Dienste!$A$3,Dienste!$C$3,IF(V38=Dienste!$A$4,Dienste!$C$4,IF(V38=Dienste!$A$5,Dienste!$C$5,IF(V38=Dienste!$A$6,Dienste!$C$6,IF(V38=Dienste!$A$7,Dienste!$C$7,IF(V38=Dienste!$A$8,Dienste!$C$8,IF(V38=Dienste!$A$9,Dienste!$C$9,IF(V38=Dienste!$A$10,Dienste!$C$10,IF(V38=Dienste!$A$11,Dienste!$C$11,IF(V38=Dienste!$A$12,Dienste!$C$12,IF(V38=Dienste!$A$13,Dienste!$C$13,IF(V38=Dienste!$A$14,Dienste!$C$14,IF(V38=Dienste!$A$15,Dienste!$C$15,IF(V38=Dienste!$A$16,Dienste!$C$16,IF(V38=Dienste!$A$17,Dienste!$C$17,IF(V38=Dienste!$A$18,Dienste!$C$18,IF(V38=Dienste!$A$19,Dienste!$C$19,IF(V38=Dienste!$A$20,Dienste!$C$20,IF(V38=Dienste!$A$21,Dienste!$C$21,IF(V38=Dienste!$A$22,Dienste!$C$22,IF(V38=Dienste!$A$23,Dienste!$C$23,IF(V38=Dienste!$A$24,Dienste!$C$24,IF(V38=Dienste!$A$25,Dienste!$C$25,IF(V38=Dienste!$A$26,Dienste!$C$26,IF(V38=Dienste!$A$27,Dienste!$C$27,IF(V38=Dienste!$A$28,Dienste!$C$28,IF(V38=Dienste!#REF!,Dienste!#REF!,IF(V38=Dienste!#REF!,Dienste!#REF!,IF(V38=Dienste!#REF!,Dienste!#REF!,IF(V38=Dienste!#REF!,Dienste!#REF!,IF(V38=Dienste!$A$33,Dienste!$C$33,IF(V38=Dienste!$A$34,Dienste!$C$34,IF(V38=Dienste!$A$35,Dienste!$C$35,IF(V38=Dienste!$A$36,Dienste!$C$36,)))))))))))))))))))))))))))))))))))</f>
        <v>#REF!</v>
      </c>
      <c r="BQ38" s="27" t="e">
        <f>IF(W38=Dienste!$A$2,Dienste!$C$2,IF(W38=Dienste!$A$3,Dienste!$C$3,IF(W38=Dienste!$A$4,Dienste!$C$4,IF(W38=Dienste!$A$5,Dienste!$C$5,IF(W38=Dienste!$A$6,Dienste!$C$6,IF(W38=Dienste!$A$7,Dienste!$C$7,IF(W38=Dienste!$A$8,Dienste!$C$8,IF(W38=Dienste!$A$9,Dienste!$C$9,IF(W38=Dienste!$A$10,Dienste!$C$10,IF(W38=Dienste!$A$11,Dienste!$C$11,IF(W38=Dienste!$A$12,Dienste!$C$12,IF(W38=Dienste!$A$13,Dienste!$C$13,IF(W38=Dienste!$A$14,Dienste!$C$14,IF(W38=Dienste!$A$15,Dienste!$C$15,IF(W38=Dienste!$A$16,Dienste!$C$16,IF(W38=Dienste!$A$17,Dienste!$C$17,IF(W38=Dienste!$A$18,Dienste!$C$18,IF(W38=Dienste!$A$19,Dienste!$C$19,IF(W38=Dienste!$A$20,Dienste!$C$20,IF(W38=Dienste!$A$21,Dienste!$C$21,IF(W38=Dienste!$A$22,Dienste!$C$22,IF(W38=Dienste!$A$23,Dienste!$C$23,IF(W38=Dienste!$A$24,Dienste!$C$24,IF(W38=Dienste!$A$25,Dienste!$C$25,IF(W38=Dienste!$A$26,Dienste!$C$26,IF(W38=Dienste!$A$27,Dienste!$C$27,IF(W38=Dienste!$A$28,Dienste!$C$28,IF(W38=Dienste!#REF!,Dienste!#REF!,IF(W38=Dienste!#REF!,Dienste!#REF!,IF(W38=Dienste!#REF!,Dienste!#REF!,IF(W38=Dienste!#REF!,Dienste!#REF!,IF(W38=Dienste!$A$33,Dienste!$C$33,IF(W38=Dienste!$A$34,Dienste!$C$34,IF(W38=Dienste!$A$35,Dienste!$C$35,IF(W38=Dienste!$A$36,Dienste!$C$36,)))))))))))))))))))))))))))))))))))</f>
        <v>#REF!</v>
      </c>
      <c r="BR38" s="27" t="e">
        <f>IF(X38=Dienste!$A$2,Dienste!$C$2,IF(X38=Dienste!$A$3,Dienste!$C$3,IF(X38=Dienste!$A$4,Dienste!$C$4,IF(X38=Dienste!$A$5,Dienste!$C$5,IF(X38=Dienste!$A$6,Dienste!$C$6,IF(X38=Dienste!$A$7,Dienste!$C$7,IF(X38=Dienste!$A$8,Dienste!$C$8,IF(X38=Dienste!$A$9,Dienste!$C$9,IF(X38=Dienste!$A$10,Dienste!$C$10,IF(X38=Dienste!$A$11,Dienste!$C$11,IF(X38=Dienste!$A$12,Dienste!$C$12,IF(X38=Dienste!$A$13,Dienste!$C$13,IF(X38=Dienste!$A$14,Dienste!$C$14,IF(X38=Dienste!$A$15,Dienste!$C$15,IF(X38=Dienste!$A$16,Dienste!$C$16,IF(X38=Dienste!$A$17,Dienste!$C$17,IF(X38=Dienste!$A$18,Dienste!$C$18,IF(X38=Dienste!$A$19,Dienste!$C$19,IF(X38=Dienste!$A$20,Dienste!$C$20,IF(X38=Dienste!$A$21,Dienste!$C$21,IF(X38=Dienste!$A$22,Dienste!$C$22,IF(X38=Dienste!$A$23,Dienste!$C$23,IF(X38=Dienste!$A$24,Dienste!$C$24,IF(X38=Dienste!$A$25,Dienste!$C$25,IF(X38=Dienste!$A$26,Dienste!$C$26,IF(X38=Dienste!$A$27,Dienste!$C$27,IF(X38=Dienste!$A$28,Dienste!$C$28,IF(X38=Dienste!#REF!,Dienste!#REF!,IF(X38=Dienste!#REF!,Dienste!#REF!,IF(X38=Dienste!#REF!,Dienste!#REF!,IF(X38=Dienste!#REF!,Dienste!#REF!,IF(X38=Dienste!$A$33,Dienste!$C$33,IF(X38=Dienste!$A$34,Dienste!$C$34,IF(X38=Dienste!$A$35,Dienste!$C$35,IF(X38=Dienste!$A$36,Dienste!$C$36,)))))))))))))))))))))))))))))))))))</f>
        <v>#REF!</v>
      </c>
      <c r="BS38" s="27" t="e">
        <f>IF(Y38=Dienste!$A$2,Dienste!$C$2,IF(Y38=Dienste!$A$3,Dienste!$C$3,IF(Y38=Dienste!$A$4,Dienste!$C$4,IF(Y38=Dienste!$A$5,Dienste!$C$5,IF(Y38=Dienste!$A$6,Dienste!$C$6,IF(Y38=Dienste!$A$7,Dienste!$C$7,IF(Y38=Dienste!$A$8,Dienste!$C$8,IF(Y38=Dienste!$A$9,Dienste!$C$9,IF(Y38=Dienste!$A$10,Dienste!$C$10,IF(Y38=Dienste!$A$11,Dienste!$C$11,IF(Y38=Dienste!$A$12,Dienste!$C$12,IF(Y38=Dienste!$A$13,Dienste!$C$13,IF(Y38=Dienste!$A$14,Dienste!$C$14,IF(Y38=Dienste!$A$15,Dienste!$C$15,IF(Y38=Dienste!$A$16,Dienste!$C$16,IF(Y38=Dienste!$A$17,Dienste!$C$17,IF(Y38=Dienste!$A$18,Dienste!$C$18,IF(Y38=Dienste!$A$19,Dienste!$C$19,IF(Y38=Dienste!$A$20,Dienste!$C$20,IF(Y38=Dienste!$A$21,Dienste!$C$21,IF(Y38=Dienste!$A$22,Dienste!$C$22,IF(Y38=Dienste!$A$23,Dienste!$C$23,IF(Y38=Dienste!$A$24,Dienste!$C$24,IF(Y38=Dienste!$A$25,Dienste!$C$25,IF(Y38=Dienste!$A$26,Dienste!$C$26,IF(Y38=Dienste!$A$27,Dienste!$C$27,IF(Y38=Dienste!$A$28,Dienste!$C$28,IF(Y38=Dienste!#REF!,Dienste!#REF!,IF(Y38=Dienste!#REF!,Dienste!#REF!,IF(Y38=Dienste!#REF!,Dienste!#REF!,IF(Y38=Dienste!#REF!,Dienste!#REF!,IF(Y38=Dienste!$A$33,Dienste!$C$33,IF(Y38=Dienste!$A$34,Dienste!$C$34,IF(Y38=Dienste!$A$35,Dienste!$C$35,IF(Y38=Dienste!$A$36,Dienste!$C$36,)))))))))))))))))))))))))))))))))))</f>
        <v>#REF!</v>
      </c>
      <c r="BT38" s="27" t="e">
        <f>IF(Z38=Dienste!$A$2,Dienste!$C$2,IF(Z38=Dienste!$A$3,Dienste!$C$3,IF(Z38=Dienste!$A$4,Dienste!$C$4,IF(Z38=Dienste!$A$5,Dienste!$C$5,IF(Z38=Dienste!$A$6,Dienste!$C$6,IF(Z38=Dienste!$A$7,Dienste!$C$7,IF(Z38=Dienste!$A$8,Dienste!$C$8,IF(Z38=Dienste!$A$9,Dienste!$C$9,IF(Z38=Dienste!$A$10,Dienste!$C$10,IF(Z38=Dienste!$A$11,Dienste!$C$11,IF(Z38=Dienste!$A$12,Dienste!$C$12,IF(Z38=Dienste!$A$13,Dienste!$C$13,IF(Z38=Dienste!$A$14,Dienste!$C$14,IF(Z38=Dienste!$A$15,Dienste!$C$15,IF(Z38=Dienste!$A$16,Dienste!$C$16,IF(Z38=Dienste!$A$17,Dienste!$C$17,IF(Z38=Dienste!$A$18,Dienste!$C$18,IF(Z38=Dienste!$A$19,Dienste!$C$19,IF(Z38=Dienste!$A$20,Dienste!$C$20,IF(Z38=Dienste!$A$21,Dienste!$C$21,IF(Z38=Dienste!$A$22,Dienste!$C$22,IF(Z38=Dienste!$A$23,Dienste!$C$23,IF(Z38=Dienste!$A$24,Dienste!$C$24,IF(Z38=Dienste!$A$25,Dienste!$C$25,IF(Z38=Dienste!$A$26,Dienste!$C$26,IF(Z38=Dienste!$A$27,Dienste!$C$27,IF(Z38=Dienste!$A$28,Dienste!$C$28,IF(Z38=Dienste!#REF!,Dienste!#REF!,IF(Z38=Dienste!#REF!,Dienste!#REF!,IF(Z38=Dienste!#REF!,Dienste!#REF!,IF(Z38=Dienste!#REF!,Dienste!#REF!,IF(Z38=Dienste!$A$33,Dienste!$C$33,IF(Z38=Dienste!$A$34,Dienste!$C$34,IF(Z38=Dienste!$A$35,Dienste!$C$35,IF(Z38=Dienste!$A$36,Dienste!$C$36,)))))))))))))))))))))))))))))))))))</f>
        <v>#REF!</v>
      </c>
      <c r="BU38" s="27" t="e">
        <f>IF(AA38=Dienste!$A$2,Dienste!$C$2,IF(AA38=Dienste!$A$3,Dienste!$C$3,IF(AA38=Dienste!$A$4,Dienste!$C$4,IF(AA38=Dienste!$A$5,Dienste!$C$5,IF(AA38=Dienste!$A$6,Dienste!$C$6,IF(AA38=Dienste!$A$7,Dienste!$C$7,IF(AA38=Dienste!$A$8,Dienste!$C$8,IF(AA38=Dienste!$A$9,Dienste!$C$9,IF(AA38=Dienste!$A$10,Dienste!$C$10,IF(AA38=Dienste!$A$11,Dienste!$C$11,IF(AA38=Dienste!$A$12,Dienste!$C$12,IF(AA38=Dienste!$A$13,Dienste!$C$13,IF(AA38=Dienste!$A$14,Dienste!$C$14,IF(AA38=Dienste!$A$15,Dienste!$C$15,IF(AA38=Dienste!$A$16,Dienste!$C$16,IF(AA38=Dienste!$A$17,Dienste!$C$17,IF(AA38=Dienste!$A$18,Dienste!$C$18,IF(AA38=Dienste!$A$19,Dienste!$C$19,IF(AA38=Dienste!$A$20,Dienste!$C$20,IF(AA38=Dienste!$A$21,Dienste!$C$21,IF(AA38=Dienste!$A$22,Dienste!$C$22,IF(AA38=Dienste!$A$23,Dienste!$C$23,IF(AA38=Dienste!$A$24,Dienste!$C$24,IF(AA38=Dienste!$A$25,Dienste!$C$25,IF(AA38=Dienste!$A$26,Dienste!$C$26,IF(AA38=Dienste!$A$27,Dienste!$C$27,IF(AA38=Dienste!$A$28,Dienste!$C$28,IF(AA38=Dienste!#REF!,Dienste!#REF!,IF(AA38=Dienste!#REF!,Dienste!#REF!,IF(AA38=Dienste!#REF!,Dienste!#REF!,IF(AA38=Dienste!#REF!,Dienste!#REF!,IF(AA38=Dienste!$A$33,Dienste!$C$33,IF(AA38=Dienste!$A$34,Dienste!$C$34,IF(AA38=Dienste!$A$35,Dienste!$C$35,IF(AA38=Dienste!$A$36,Dienste!$C$36,)))))))))))))))))))))))))))))))))))</f>
        <v>#REF!</v>
      </c>
      <c r="BV38" s="27" t="e">
        <f>IF(AB38=Dienste!$A$2,Dienste!$C$2,IF(AB38=Dienste!$A$3,Dienste!$C$3,IF(AB38=Dienste!$A$4,Dienste!$C$4,IF(AB38=Dienste!$A$5,Dienste!$C$5,IF(AB38=Dienste!$A$6,Dienste!$C$6,IF(AB38=Dienste!$A$7,Dienste!$C$7,IF(AB38=Dienste!$A$8,Dienste!$C$8,IF(AB38=Dienste!$A$9,Dienste!$C$9,IF(AB38=Dienste!$A$10,Dienste!$C$10,IF(AB38=Dienste!$A$11,Dienste!$C$11,IF(AB38=Dienste!$A$12,Dienste!$C$12,IF(AB38=Dienste!$A$13,Dienste!$C$13,IF(AB38=Dienste!$A$14,Dienste!$C$14,IF(AB38=Dienste!$A$15,Dienste!$C$15,IF(AB38=Dienste!$A$16,Dienste!$C$16,IF(AB38=Dienste!$A$17,Dienste!$C$17,IF(AB38=Dienste!$A$18,Dienste!$C$18,IF(AB38=Dienste!$A$19,Dienste!$C$19,IF(AB38=Dienste!$A$20,Dienste!$C$20,IF(AB38=Dienste!$A$21,Dienste!$C$21,IF(AB38=Dienste!$A$22,Dienste!$C$22,IF(AB38=Dienste!$A$23,Dienste!$C$23,IF(AB38=Dienste!$A$24,Dienste!$C$24,IF(AB38=Dienste!$A$25,Dienste!$C$25,IF(AB38=Dienste!$A$26,Dienste!$C$26,IF(AB38=Dienste!$A$27,Dienste!$C$27,IF(AB38=Dienste!$A$28,Dienste!$C$28,IF(AB38=Dienste!#REF!,Dienste!#REF!,IF(AB38=Dienste!#REF!,Dienste!#REF!,IF(AB38=Dienste!#REF!,Dienste!#REF!,IF(AB38=Dienste!#REF!,Dienste!#REF!,IF(AB38=Dienste!$A$33,Dienste!$C$33,IF(AB38=Dienste!$A$34,Dienste!$C$34,IF(AB38=Dienste!$A$35,Dienste!$C$35,IF(AB38=Dienste!$A$36,Dienste!$C$36,)))))))))))))))))))))))))))))))))))</f>
        <v>#REF!</v>
      </c>
      <c r="BW38" s="27" t="e">
        <f>IF(AC38=Dienste!$A$2,Dienste!$C$2,IF(AC38=Dienste!$A$3,Dienste!$C$3,IF(AC38=Dienste!$A$4,Dienste!$C$4,IF(AC38=Dienste!$A$5,Dienste!$C$5,IF(AC38=Dienste!$A$6,Dienste!$C$6,IF(AC38=Dienste!$A$7,Dienste!$C$7,IF(AC38=Dienste!$A$8,Dienste!$C$8,IF(AC38=Dienste!$A$9,Dienste!$C$9,IF(AC38=Dienste!$A$10,Dienste!$C$10,IF(AC38=Dienste!$A$11,Dienste!$C$11,IF(AC38=Dienste!$A$12,Dienste!$C$12,IF(AC38=Dienste!$A$13,Dienste!$C$13,IF(AC38=Dienste!$A$14,Dienste!$C$14,IF(AC38=Dienste!$A$15,Dienste!$C$15,IF(AC38=Dienste!$A$16,Dienste!$C$16,IF(AC38=Dienste!$A$17,Dienste!$C$17,IF(AC38=Dienste!$A$18,Dienste!$C$18,IF(AC38=Dienste!$A$19,Dienste!$C$19,IF(AC38=Dienste!$A$20,Dienste!$C$20,IF(AC38=Dienste!$A$21,Dienste!$C$21,IF(AC38=Dienste!$A$22,Dienste!$C$22,IF(AC38=Dienste!$A$23,Dienste!$C$23,IF(AC38=Dienste!$A$24,Dienste!$C$24,IF(AC38=Dienste!$A$25,Dienste!$C$25,IF(AC38=Dienste!$A$26,Dienste!$C$26,IF(AC38=Dienste!$A$27,Dienste!$C$27,IF(AC38=Dienste!$A$28,Dienste!$C$28,IF(AC38=Dienste!#REF!,Dienste!#REF!,IF(AC38=Dienste!#REF!,Dienste!#REF!,IF(AC38=Dienste!#REF!,Dienste!#REF!,IF(AC38=Dienste!#REF!,Dienste!#REF!,IF(AC38=Dienste!$A$33,Dienste!$C$33,IF(AC38=Dienste!$A$34,Dienste!$C$34,IF(AC38=Dienste!$A$35,Dienste!$C$35,IF(AC38=Dienste!$A$36,Dienste!$C$36,)))))))))))))))))))))))))))))))))))</f>
        <v>#REF!</v>
      </c>
      <c r="BX38" s="27" t="e">
        <f>IF(AD38=Dienste!$A$2,Dienste!$C$2,IF(AD38=Dienste!$A$3,Dienste!$C$3,IF(AD38=Dienste!$A$4,Dienste!$C$4,IF(AD38=Dienste!$A$5,Dienste!$C$5,IF(AD38=Dienste!$A$6,Dienste!$C$6,IF(AD38=Dienste!$A$7,Dienste!$C$7,IF(AD38=Dienste!$A$8,Dienste!$C$8,IF(AD38=Dienste!$A$9,Dienste!$C$9,IF(AD38=Dienste!$A$10,Dienste!$C$10,IF(AD38=Dienste!$A$11,Dienste!$C$11,IF(AD38=Dienste!$A$12,Dienste!$C$12,IF(AD38=Dienste!$A$13,Dienste!$C$13,IF(AD38=Dienste!$A$14,Dienste!$C$14,IF(AD38=Dienste!$A$15,Dienste!$C$15,IF(AD38=Dienste!$A$16,Dienste!$C$16,IF(AD38=Dienste!$A$17,Dienste!$C$17,IF(AD38=Dienste!$A$18,Dienste!$C$18,IF(AD38=Dienste!$A$19,Dienste!$C$19,IF(AD38=Dienste!$A$20,Dienste!$C$20,IF(AD38=Dienste!$A$21,Dienste!$C$21,IF(AD38=Dienste!$A$22,Dienste!$C$22,IF(AD38=Dienste!$A$23,Dienste!$C$23,IF(AD38=Dienste!$A$24,Dienste!$C$24,IF(AD38=Dienste!$A$25,Dienste!$C$25,IF(AD38=Dienste!$A$26,Dienste!$C$26,IF(AD38=Dienste!$A$27,Dienste!$C$27,IF(AD38=Dienste!$A$28,Dienste!$C$28,IF(AD38=Dienste!#REF!,Dienste!#REF!,IF(AD38=Dienste!#REF!,Dienste!#REF!,IF(AD38=Dienste!#REF!,Dienste!#REF!,IF(AD38=Dienste!#REF!,Dienste!#REF!,IF(AD38=Dienste!$A$33,Dienste!$C$33,IF(AD38=Dienste!$A$34,Dienste!$C$34,IF(AD38=Dienste!$A$35,Dienste!$C$35,IF(AD38=Dienste!$A$36,Dienste!$C$36,)))))))))))))))))))))))))))))))))))</f>
        <v>#REF!</v>
      </c>
      <c r="BY38" s="27" t="e">
        <f>IF(AE38=Dienste!$A$2,Dienste!$C$2,IF(AE38=Dienste!$A$3,Dienste!$C$3,IF(AE38=Dienste!$A$4,Dienste!$C$4,IF(AE38=Dienste!$A$5,Dienste!$C$5,IF(AE38=Dienste!$A$6,Dienste!$C$6,IF(AE38=Dienste!$A$7,Dienste!$C$7,IF(AE38=Dienste!$A$8,Dienste!$C$8,IF(AE38=Dienste!$A$9,Dienste!$C$9,IF(AE38=Dienste!$A$10,Dienste!$C$10,IF(AE38=Dienste!$A$11,Dienste!$C$11,IF(AE38=Dienste!$A$12,Dienste!$C$12,IF(AE38=Dienste!$A$13,Dienste!$C$13,IF(AE38=Dienste!$A$14,Dienste!$C$14,IF(AE38=Dienste!$A$15,Dienste!$C$15,IF(AE38=Dienste!$A$16,Dienste!$C$16,IF(AE38=Dienste!$A$17,Dienste!$C$17,IF(AE38=Dienste!$A$18,Dienste!$C$18,IF(AE38=Dienste!$A$19,Dienste!$C$19,IF(AE38=Dienste!$A$20,Dienste!$C$20,IF(AE38=Dienste!$A$21,Dienste!$C$21,IF(AE38=Dienste!$A$22,Dienste!$C$22,IF(AE38=Dienste!$A$23,Dienste!$C$23,IF(AE38=Dienste!$A$24,Dienste!$C$24,IF(AE38=Dienste!$A$25,Dienste!$C$25,IF(AE38=Dienste!$A$26,Dienste!$C$26,IF(AE38=Dienste!$A$27,Dienste!$C$27,IF(AE38=Dienste!$A$28,Dienste!$C$28,IF(AE38=Dienste!#REF!,Dienste!#REF!,IF(AE38=Dienste!#REF!,Dienste!#REF!,IF(AE38=Dienste!#REF!,Dienste!#REF!,IF(AE38=Dienste!#REF!,Dienste!#REF!,IF(AE38=Dienste!$A$33,Dienste!$C$33,IF(AE38=Dienste!$A$34,Dienste!$C$34,IF(AE38=Dienste!$A$35,Dienste!$C$35,IF(AE38=Dienste!$A$36,Dienste!$C$36,)))))))))))))))))))))))))))))))))))</f>
        <v>#REF!</v>
      </c>
      <c r="BZ38" s="27" t="e">
        <f>IF(AF38=Dienste!$A$2,Dienste!$C$2,IF(AF38=Dienste!$A$3,Dienste!$C$3,IF(AF38=Dienste!$A$4,Dienste!$C$4,IF(AF38=Dienste!$A$5,Dienste!$C$5,IF(AF38=Dienste!$A$6,Dienste!$C$6,IF(AF38=Dienste!$A$7,Dienste!$C$7,IF(AF38=Dienste!$A$8,Dienste!$C$8,IF(AF38=Dienste!$A$9,Dienste!$C$9,IF(AF38=Dienste!$A$10,Dienste!$C$10,IF(AF38=Dienste!$A$11,Dienste!$C$11,IF(AF38=Dienste!$A$12,Dienste!$C$12,IF(AF38=Dienste!$A$13,Dienste!$C$13,IF(AF38=Dienste!$A$14,Dienste!$C$14,IF(AF38=Dienste!$A$15,Dienste!$C$15,IF(AF38=Dienste!$A$16,Dienste!$C$16,IF(AF38=Dienste!$A$17,Dienste!$C$17,IF(AF38=Dienste!$A$18,Dienste!$C$18,IF(AF38=Dienste!$A$19,Dienste!$C$19,IF(AF38=Dienste!$A$20,Dienste!$C$20,IF(AF38=Dienste!$A$21,Dienste!$C$21,IF(AF38=Dienste!$A$22,Dienste!$C$22,IF(AF38=Dienste!$A$23,Dienste!$C$23,IF(AF38=Dienste!$A$24,Dienste!$C$24,IF(AF38=Dienste!$A$25,Dienste!$C$25,IF(AF38=Dienste!$A$26,Dienste!$C$26,IF(AF38=Dienste!$A$27,Dienste!$C$27,IF(AF38=Dienste!$A$28,Dienste!$C$28,IF(AF38=Dienste!#REF!,Dienste!#REF!,IF(AF38=Dienste!#REF!,Dienste!#REF!,IF(AF38=Dienste!#REF!,Dienste!#REF!,IF(AF38=Dienste!#REF!,Dienste!#REF!,IF(AF38=Dienste!$A$33,Dienste!$C$33,IF(AF38=Dienste!$A$34,Dienste!$C$34,IF(AF38=Dienste!$A$35,Dienste!$C$35,IF(AF38=Dienste!$A$36,Dienste!$C$36,)))))))))))))))))))))))))))))))))))</f>
        <v>#REF!</v>
      </c>
      <c r="CA38" s="27" t="e">
        <f>IF(AG38=Dienste!$A$2,Dienste!$C$2,IF(AG38=Dienste!$A$3,Dienste!$C$3,IF(AG38=Dienste!$A$4,Dienste!$C$4,IF(AG38=Dienste!$A$5,Dienste!$C$5,IF(AG38=Dienste!$A$6,Dienste!$C$6,IF(AG38=Dienste!$A$7,Dienste!$C$7,IF(AG38=Dienste!$A$8,Dienste!$C$8,IF(AG38=Dienste!$A$9,Dienste!$C$9,IF(AG38=Dienste!$A$10,Dienste!$C$10,IF(AG38=Dienste!$A$11,Dienste!$C$11,IF(AG38=Dienste!$A$12,Dienste!$C$12,IF(AG38=Dienste!$A$13,Dienste!$C$13,IF(AG38=Dienste!$A$14,Dienste!$C$14,IF(AG38=Dienste!$A$15,Dienste!$C$15,IF(AG38=Dienste!$A$16,Dienste!$C$16,IF(AG38=Dienste!$A$17,Dienste!$C$17,IF(AG38=Dienste!$A$18,Dienste!$C$18,IF(AG38=Dienste!$A$19,Dienste!$C$19,IF(AG38=Dienste!$A$20,Dienste!$C$20,IF(AG38=Dienste!$A$21,Dienste!$C$21,IF(AG38=Dienste!$A$22,Dienste!$C$22,IF(AG38=Dienste!$A$23,Dienste!$C$23,IF(AG38=Dienste!$A$24,Dienste!$C$24,IF(AG38=Dienste!$A$25,Dienste!$C$25,IF(AG38=Dienste!$A$26,Dienste!$C$26,IF(AG38=Dienste!$A$27,Dienste!$C$27,IF(AG38=Dienste!$A$28,Dienste!$C$28,IF(AG38=Dienste!#REF!,Dienste!#REF!,IF(AG38=Dienste!#REF!,Dienste!#REF!,IF(AG38=Dienste!#REF!,Dienste!#REF!,IF(AG38=Dienste!#REF!,Dienste!#REF!,IF(AG38=Dienste!$A$33,Dienste!$C$33,IF(AG38=Dienste!$A$34,Dienste!$C$34,IF(AG38=Dienste!$A$35,Dienste!$C$35,IF(AG38=Dienste!$A$36,Dienste!$C$36,)))))))))))))))))))))))))))))))))))</f>
        <v>#REF!</v>
      </c>
      <c r="CB38" s="27" t="e">
        <f>IF(AH38=Dienste!$A$2,Dienste!$C$2,IF(AH38=Dienste!$A$3,Dienste!$C$3,IF(AH38=Dienste!$A$4,Dienste!$C$4,IF(AH38=Dienste!$A$5,Dienste!$C$5,IF(AH38=Dienste!$A$6,Dienste!$C$6,IF(AH38=Dienste!$A$7,Dienste!$C$7,IF(AH38=Dienste!$A$8,Dienste!$C$8,IF(AH38=Dienste!$A$9,Dienste!$C$9,IF(AH38=Dienste!$A$10,Dienste!$C$10,IF(AH38=Dienste!$A$11,Dienste!$C$11,IF(AH38=Dienste!$A$12,Dienste!$C$12,IF(AH38=Dienste!$A$13,Dienste!$C$13,IF(AH38=Dienste!$A$14,Dienste!$C$14,IF(AH38=Dienste!$A$15,Dienste!$C$15,IF(AH38=Dienste!$A$16,Dienste!$C$16,IF(AH38=Dienste!$A$17,Dienste!$C$17,IF(AH38=Dienste!$A$18,Dienste!$C$18,IF(AH38=Dienste!$A$19,Dienste!$C$19,IF(AH38=Dienste!$A$20,Dienste!$C$20,IF(AH38=Dienste!$A$21,Dienste!$C$21,IF(AH38=Dienste!$A$22,Dienste!$C$22,IF(AH38=Dienste!$A$23,Dienste!$C$23,IF(AH38=Dienste!$A$24,Dienste!$C$24,IF(AH38=Dienste!$A$25,Dienste!$C$25,IF(AH38=Dienste!$A$26,Dienste!$C$26,IF(AH38=Dienste!$A$27,Dienste!$C$27,IF(AH38=Dienste!$A$28,Dienste!$C$28,IF(AH38=Dienste!#REF!,Dienste!#REF!,IF(AH38=Dienste!#REF!,Dienste!#REF!,IF(AH38=Dienste!#REF!,Dienste!#REF!,IF(AH38=Dienste!#REF!,Dienste!#REF!,IF(AH38=Dienste!$A$33,Dienste!$C$33,IF(AH38=Dienste!$A$34,Dienste!$C$34,IF(AH38=Dienste!$A$35,Dienste!$C$35,IF(AH38=Dienste!$A$36,Dienste!$C$36,)))))))))))))))))))))))))))))))))))</f>
        <v>#REF!</v>
      </c>
      <c r="CC38" s="27" t="e">
        <f>IF(AI38=Dienste!$A$2,Dienste!$C$2,IF(AI38=Dienste!$A$3,Dienste!$C$3,IF(AI38=Dienste!$A$4,Dienste!$C$4,IF(AI38=Dienste!$A$5,Dienste!$C$5,IF(AI38=Dienste!$A$6,Dienste!$C$6,IF(AI38=Dienste!$A$7,Dienste!$C$7,IF(AI38=Dienste!$A$8,Dienste!$C$8,IF(AI38=Dienste!$A$9,Dienste!$C$9,IF(AI38=Dienste!$A$10,Dienste!$C$10,IF(AI38=Dienste!$A$11,Dienste!$C$11,IF(AI38=Dienste!$A$12,Dienste!$C$12,IF(AI38=Dienste!$A$13,Dienste!$C$13,IF(AI38=Dienste!$A$14,Dienste!$C$14,IF(AI38=Dienste!$A$15,Dienste!$C$15,IF(AI38=Dienste!$A$16,Dienste!$C$16,IF(AI38=Dienste!$A$17,Dienste!$C$17,IF(AI38=Dienste!$A$18,Dienste!$C$18,IF(AI38=Dienste!$A$19,Dienste!$C$19,IF(AI38=Dienste!$A$20,Dienste!$C$20,IF(AI38=Dienste!$A$21,Dienste!$C$21,IF(AI38=Dienste!$A$22,Dienste!$C$22,IF(AI38=Dienste!$A$23,Dienste!$C$23,IF(AI38=Dienste!$A$24,Dienste!$C$24,IF(AI38=Dienste!$A$25,Dienste!$C$25,IF(AI38=Dienste!$A$26,Dienste!$C$26,IF(AI38=Dienste!$A$27,Dienste!$C$27,IF(AI38=Dienste!$A$28,Dienste!$C$28,IF(AI38=Dienste!#REF!,Dienste!#REF!,IF(AI38=Dienste!#REF!,Dienste!#REF!,IF(AI38=Dienste!#REF!,Dienste!#REF!,IF(AI38=Dienste!#REF!,Dienste!#REF!,IF(AI38=Dienste!$A$33,Dienste!$C$33,IF(AI38=Dienste!$A$34,Dienste!$C$34,IF(AI38=Dienste!$A$35,Dienste!$C$35,IF(AI38=Dienste!$A$36,Dienste!$C$36,)))))))))))))))))))))))))))))))))))</f>
        <v>#REF!</v>
      </c>
    </row>
    <row r="39" spans="1:81" hidden="1" x14ac:dyDescent="0.25">
      <c r="A39" s="109"/>
      <c r="B39" s="15"/>
      <c r="C39" s="15"/>
      <c r="D39" s="98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4"/>
      <c r="AK39" s="152"/>
      <c r="AL39" s="154"/>
      <c r="AM39" s="152"/>
      <c r="AN39" s="152"/>
      <c r="AO39" s="154"/>
      <c r="AP39" s="152"/>
      <c r="AQ39" s="153"/>
      <c r="AR39" s="154"/>
      <c r="AS39" s="152"/>
      <c r="AT39" s="153"/>
      <c r="AU39" s="27" t="e">
        <f t="shared" si="3"/>
        <v>#REF!</v>
      </c>
      <c r="AV39" s="27" t="e">
        <f t="shared" si="7"/>
        <v>#REF!</v>
      </c>
      <c r="AW39" s="58" t="e">
        <f t="shared" si="6"/>
        <v>#REF!</v>
      </c>
      <c r="AY39" s="27" t="e">
        <f>IF(E39=Dienste!$A$2,Dienste!$C$2,IF(E39=Dienste!$A$3,Dienste!$C$3,IF(E39=Dienste!$A$4,Dienste!$C$4,IF(E39=Dienste!$A$5,Dienste!$C$5,IF(E39=Dienste!$A$6,Dienste!$C$6,IF(E39=Dienste!$A$7,Dienste!$C$7,IF(E39=Dienste!$A$8,Dienste!$C$8,IF(E39=Dienste!$A$9,Dienste!$C$9,IF(E39=Dienste!$A$10,Dienste!$C$10,IF(E39=Dienste!$A$11,Dienste!$C$11,IF(E39=Dienste!$A$12,Dienste!$C$12,IF(E39=Dienste!$A$13,Dienste!$C$13,IF(E39=Dienste!$A$14,Dienste!$C$14,IF(E39=Dienste!$A$15,Dienste!$C$15,IF(E39=Dienste!$A$16,Dienste!$C$16,IF(E39=Dienste!$A$17,Dienste!$C$17,IF(E39=Dienste!$A$18,Dienste!$C$18,IF(E39=Dienste!$A$19,Dienste!$C$19,IF(E39=Dienste!$A$20,Dienste!$C$20,IF(E39=Dienste!$A$21,Dienste!$C$21,IF(E39=Dienste!$A$22,Dienste!$C$22,IF(E39=Dienste!$A$23,Dienste!$C$23,IF(E39=Dienste!$A$24,Dienste!$C$24,IF(E39=Dienste!$A$25,Dienste!$C$25,IF(E39=Dienste!$A$26,Dienste!$C$26,IF(E39=Dienste!$A$27,Dienste!$C$27,IF(E39=Dienste!$A$28,Dienste!$C$28,IF(E39=Dienste!#REF!,Dienste!#REF!,IF(E39=Dienste!#REF!,Dienste!#REF!,IF(E39=Dienste!#REF!,Dienste!#REF!,IF(E39=Dienste!#REF!,Dienste!#REF!,IF(E39=Dienste!$A$33,Dienste!$C$33,IF(E39=Dienste!$A$34,Dienste!$C$34,IF(E39=Dienste!$A$35,Dienste!$C$35,IF(E39=Dienste!$A$36,Dienste!$C$36,)))))))))))))))))))))))))))))))))))</f>
        <v>#REF!</v>
      </c>
      <c r="AZ39" s="27" t="e">
        <f>IF(F39=Dienste!$A$2,Dienste!$C$2,IF(F39=Dienste!$A$3,Dienste!$C$3,IF(F39=Dienste!$A$4,Dienste!$C$4,IF(F39=Dienste!$A$5,Dienste!$C$5,IF(F39=Dienste!$A$6,Dienste!$C$6,IF(F39=Dienste!$A$7,Dienste!$C$7,IF(F39=Dienste!$A$8,Dienste!$C$8,IF(F39=Dienste!$A$9,Dienste!$C$9,IF(F39=Dienste!$A$10,Dienste!$C$10,IF(F39=Dienste!$A$11,Dienste!$C$11,IF(F39=Dienste!$A$12,Dienste!$C$12,IF(F39=Dienste!$A$13,Dienste!$C$13,IF(F39=Dienste!$A$14,Dienste!$C$14,IF(F39=Dienste!$A$15,Dienste!$C$15,IF(F39=Dienste!$A$16,Dienste!$C$16,IF(F39=Dienste!$A$17,Dienste!$C$17,IF(F39=Dienste!$A$18,Dienste!$C$18,IF(F39=Dienste!$A$19,Dienste!$C$19,IF(F39=Dienste!$A$20,Dienste!$C$20,IF(F39=Dienste!$A$21,Dienste!$C$21,IF(F39=Dienste!$A$22,Dienste!$C$22,IF(F39=Dienste!$A$23,Dienste!$C$23,IF(F39=Dienste!$A$24,Dienste!$C$24,IF(F39=Dienste!$A$25,Dienste!$C$25,IF(F39=Dienste!$A$26,Dienste!$C$26,IF(F39=Dienste!$A$27,Dienste!$C$27,IF(F39=Dienste!$A$28,Dienste!$C$28,IF(F39=Dienste!#REF!,Dienste!#REF!,IF(F39=Dienste!#REF!,Dienste!#REF!,IF(F39=Dienste!#REF!,Dienste!#REF!,IF(F39=Dienste!#REF!,Dienste!#REF!,IF(F39=Dienste!$A$33,Dienste!$C$33,IF(F39=Dienste!$A$34,Dienste!$C$34,IF(F39=Dienste!$A$35,Dienste!$C$35,IF(F39=Dienste!$A$36,Dienste!$C$36,)))))))))))))))))))))))))))))))))))</f>
        <v>#REF!</v>
      </c>
      <c r="BA39" s="27" t="e">
        <f>IF(G39=Dienste!$A$2,Dienste!$C$2,IF(G39=Dienste!$A$3,Dienste!$C$3,IF(G39=Dienste!$A$4,Dienste!$C$4,IF(G39=Dienste!$A$5,Dienste!$C$5,IF(G39=Dienste!$A$6,Dienste!$C$6,IF(G39=Dienste!$A$7,Dienste!$C$7,IF(G39=Dienste!$A$8,Dienste!$C$8,IF(G39=Dienste!$A$9,Dienste!$C$9,IF(G39=Dienste!$A$10,Dienste!$C$10,IF(G39=Dienste!$A$11,Dienste!$C$11,IF(G39=Dienste!$A$12,Dienste!$C$12,IF(G39=Dienste!$A$13,Dienste!$C$13,IF(G39=Dienste!$A$14,Dienste!$C$14,IF(G39=Dienste!$A$15,Dienste!$C$15,IF(G39=Dienste!$A$16,Dienste!$C$16,IF(G39=Dienste!$A$17,Dienste!$C$17,IF(G39=Dienste!$A$18,Dienste!$C$18,IF(G39=Dienste!$A$19,Dienste!$C$19,IF(G39=Dienste!$A$20,Dienste!$C$20,IF(G39=Dienste!$A$21,Dienste!$C$21,IF(G39=Dienste!$A$22,Dienste!$C$22,IF(G39=Dienste!$A$23,Dienste!$C$23,IF(G39=Dienste!$A$24,Dienste!$C$24,IF(G39=Dienste!$A$25,Dienste!$C$25,IF(G39=Dienste!$A$26,Dienste!$C$26,IF(G39=Dienste!$A$27,Dienste!$C$27,IF(G39=Dienste!$A$28,Dienste!$C$28,IF(G39=Dienste!#REF!,Dienste!#REF!,IF(G39=Dienste!#REF!,Dienste!#REF!,IF(G39=Dienste!#REF!,Dienste!#REF!,IF(G39=Dienste!#REF!,Dienste!#REF!,IF(G39=Dienste!$A$33,Dienste!$C$33,IF(G39=Dienste!$A$34,Dienste!$C$34,IF(G39=Dienste!$A$35,Dienste!$C$35,IF(G39=Dienste!$A$36,Dienste!$C$36,)))))))))))))))))))))))))))))))))))</f>
        <v>#REF!</v>
      </c>
      <c r="BB39" s="27" t="e">
        <f>IF(H39=Dienste!$A$2,Dienste!$C$2,IF(H39=Dienste!$A$3,Dienste!$C$3,IF(H39=Dienste!$A$4,Dienste!$C$4,IF(H39=Dienste!$A$5,Dienste!$C$5,IF(H39=Dienste!$A$6,Dienste!$C$6,IF(H39=Dienste!$A$7,Dienste!$C$7,IF(H39=Dienste!$A$8,Dienste!$C$8,IF(H39=Dienste!$A$9,Dienste!$C$9,IF(H39=Dienste!$A$10,Dienste!$C$10,IF(H39=Dienste!$A$11,Dienste!$C$11,IF(H39=Dienste!$A$12,Dienste!$C$12,IF(H39=Dienste!$A$13,Dienste!$C$13,IF(H39=Dienste!$A$14,Dienste!$C$14,IF(H39=Dienste!$A$15,Dienste!$C$15,IF(H39=Dienste!$A$16,Dienste!$C$16,IF(H39=Dienste!$A$17,Dienste!$C$17,IF(H39=Dienste!$A$18,Dienste!$C$18,IF(H39=Dienste!$A$19,Dienste!$C$19,IF(H39=Dienste!$A$20,Dienste!$C$20,IF(H39=Dienste!$A$21,Dienste!$C$21,IF(H39=Dienste!$A$22,Dienste!$C$22,IF(H39=Dienste!$A$23,Dienste!$C$23,IF(H39=Dienste!$A$24,Dienste!$C$24,IF(H39=Dienste!$A$25,Dienste!$C$25,IF(H39=Dienste!$A$26,Dienste!$C$26,IF(H39=Dienste!$A$27,Dienste!$C$27,IF(H39=Dienste!$A$28,Dienste!$C$28,IF(H39=Dienste!#REF!,Dienste!#REF!,IF(H39=Dienste!#REF!,Dienste!#REF!,IF(H39=Dienste!#REF!,Dienste!#REF!,IF(H39=Dienste!#REF!,Dienste!#REF!,IF(H39=Dienste!$A$33,Dienste!$C$33,IF(H39=Dienste!$A$34,Dienste!$C$34,IF(H39=Dienste!$A$35,Dienste!$C$35,IF(H39=Dienste!$A$36,Dienste!$C$36,)))))))))))))))))))))))))))))))))))</f>
        <v>#REF!</v>
      </c>
      <c r="BC39" s="27" t="e">
        <f>IF(I39=Dienste!$A$2,Dienste!$C$2,IF(I39=Dienste!$A$3,Dienste!$C$3,IF(I39=Dienste!$A$4,Dienste!$C$4,IF(I39=Dienste!$A$5,Dienste!$C$5,IF(I39=Dienste!$A$6,Dienste!$C$6,IF(I39=Dienste!$A$7,Dienste!$C$7,IF(I39=Dienste!$A$8,Dienste!$C$8,IF(I39=Dienste!$A$9,Dienste!$C$9,IF(I39=Dienste!$A$10,Dienste!$C$10,IF(I39=Dienste!$A$11,Dienste!$C$11,IF(I39=Dienste!$A$12,Dienste!$C$12,IF(I39=Dienste!$A$13,Dienste!$C$13,IF(I39=Dienste!$A$14,Dienste!$C$14,IF(I39=Dienste!$A$15,Dienste!$C$15,IF(I39=Dienste!$A$16,Dienste!$C$16,IF(I39=Dienste!$A$17,Dienste!$C$17,IF(I39=Dienste!$A$18,Dienste!$C$18,IF(I39=Dienste!$A$19,Dienste!$C$19,IF(I39=Dienste!$A$20,Dienste!$C$20,IF(I39=Dienste!$A$21,Dienste!$C$21,IF(I39=Dienste!$A$22,Dienste!$C$22,IF(I39=Dienste!$A$23,Dienste!$C$23,IF(I39=Dienste!$A$24,Dienste!$C$24,IF(I39=Dienste!$A$25,Dienste!$C$25,IF(I39=Dienste!$A$26,Dienste!$C$26,IF(I39=Dienste!$A$27,Dienste!$C$27,IF(I39=Dienste!$A$28,Dienste!$C$28,IF(I39=Dienste!#REF!,Dienste!#REF!,IF(I39=Dienste!#REF!,Dienste!#REF!,IF(I39=Dienste!#REF!,Dienste!#REF!,IF(I39=Dienste!#REF!,Dienste!#REF!,IF(I39=Dienste!$A$33,Dienste!$C$33,IF(I39=Dienste!$A$34,Dienste!$C$34,IF(I39=Dienste!$A$35,Dienste!$C$35,IF(I39=Dienste!$A$36,Dienste!$C$36,)))))))))))))))))))))))))))))))))))</f>
        <v>#REF!</v>
      </c>
      <c r="BD39" s="27" t="e">
        <f>IF(J39=Dienste!$A$2,Dienste!$C$2,IF(J39=Dienste!$A$3,Dienste!$C$3,IF(J39=Dienste!$A$4,Dienste!$C$4,IF(J39=Dienste!$A$5,Dienste!$C$5,IF(J39=Dienste!$A$6,Dienste!$C$6,IF(J39=Dienste!$A$7,Dienste!$C$7,IF(J39=Dienste!$A$8,Dienste!$C$8,IF(J39=Dienste!$A$9,Dienste!$C$9,IF(J39=Dienste!$A$10,Dienste!$C$10,IF(J39=Dienste!$A$11,Dienste!$C$11,IF(J39=Dienste!$A$12,Dienste!$C$12,IF(J39=Dienste!$A$13,Dienste!$C$13,IF(J39=Dienste!$A$14,Dienste!$C$14,IF(J39=Dienste!$A$15,Dienste!$C$15,IF(J39=Dienste!$A$16,Dienste!$C$16,IF(J39=Dienste!$A$17,Dienste!$C$17,IF(J39=Dienste!$A$18,Dienste!$C$18,IF(J39=Dienste!$A$19,Dienste!$C$19,IF(J39=Dienste!$A$20,Dienste!$C$20,IF(J39=Dienste!$A$21,Dienste!$C$21,IF(J39=Dienste!$A$22,Dienste!$C$22,IF(J39=Dienste!$A$23,Dienste!$C$23,IF(J39=Dienste!$A$24,Dienste!$C$24,IF(J39=Dienste!$A$25,Dienste!$C$25,IF(J39=Dienste!$A$26,Dienste!$C$26,IF(J39=Dienste!$A$27,Dienste!$C$27,IF(J39=Dienste!$A$28,Dienste!$C$28,IF(J39=Dienste!#REF!,Dienste!#REF!,IF(J39=Dienste!#REF!,Dienste!#REF!,IF(J39=Dienste!#REF!,Dienste!#REF!,IF(J39=Dienste!#REF!,Dienste!#REF!,IF(J39=Dienste!$A$33,Dienste!$C$33,IF(J39=Dienste!$A$34,Dienste!$C$34,IF(J39=Dienste!$A$35,Dienste!$C$35,IF(J39=Dienste!$A$36,Dienste!$C$36,)))))))))))))))))))))))))))))))))))</f>
        <v>#REF!</v>
      </c>
      <c r="BE39" s="27" t="e">
        <f>IF(K39=Dienste!$A$2,Dienste!$C$2,IF(K39=Dienste!$A$3,Dienste!$C$3,IF(K39=Dienste!$A$4,Dienste!$C$4,IF(K39=Dienste!$A$5,Dienste!$C$5,IF(K39=Dienste!$A$6,Dienste!$C$6,IF(K39=Dienste!$A$7,Dienste!$C$7,IF(K39=Dienste!$A$8,Dienste!$C$8,IF(K39=Dienste!$A$9,Dienste!$C$9,IF(K39=Dienste!$A$10,Dienste!$C$10,IF(K39=Dienste!$A$11,Dienste!$C$11,IF(K39=Dienste!$A$12,Dienste!$C$12,IF(K39=Dienste!$A$13,Dienste!$C$13,IF(K39=Dienste!$A$14,Dienste!$C$14,IF(K39=Dienste!$A$15,Dienste!$C$15,IF(K39=Dienste!$A$16,Dienste!$C$16,IF(K39=Dienste!$A$17,Dienste!$C$17,IF(K39=Dienste!$A$18,Dienste!$C$18,IF(K39=Dienste!$A$19,Dienste!$C$19,IF(K39=Dienste!$A$20,Dienste!$C$20,IF(K39=Dienste!$A$21,Dienste!$C$21,IF(K39=Dienste!$A$22,Dienste!$C$22,IF(K39=Dienste!$A$23,Dienste!$C$23,IF(K39=Dienste!$A$24,Dienste!$C$24,IF(K39=Dienste!$A$25,Dienste!$C$25,IF(K39=Dienste!$A$26,Dienste!$C$26,IF(K39=Dienste!$A$27,Dienste!$C$27,IF(K39=Dienste!$A$28,Dienste!$C$28,IF(K39=Dienste!#REF!,Dienste!#REF!,IF(K39=Dienste!#REF!,Dienste!#REF!,IF(K39=Dienste!#REF!,Dienste!#REF!,IF(K39=Dienste!#REF!,Dienste!#REF!,IF(K39=Dienste!$A$33,Dienste!$C$33,IF(K39=Dienste!$A$34,Dienste!$C$34,IF(K39=Dienste!$A$35,Dienste!$C$35,IF(K39=Dienste!$A$36,Dienste!$C$36,)))))))))))))))))))))))))))))))))))</f>
        <v>#REF!</v>
      </c>
      <c r="BF39" s="27" t="e">
        <f>IF(L39=Dienste!$A$2,Dienste!$C$2,IF(L39=Dienste!$A$3,Dienste!$C$3,IF(L39=Dienste!$A$4,Dienste!$C$4,IF(L39=Dienste!$A$5,Dienste!$C$5,IF(L39=Dienste!$A$6,Dienste!$C$6,IF(L39=Dienste!$A$7,Dienste!$C$7,IF(L39=Dienste!$A$8,Dienste!$C$8,IF(L39=Dienste!$A$9,Dienste!$C$9,IF(L39=Dienste!$A$10,Dienste!$C$10,IF(L39=Dienste!$A$11,Dienste!$C$11,IF(L39=Dienste!$A$12,Dienste!$C$12,IF(L39=Dienste!$A$13,Dienste!$C$13,IF(L39=Dienste!$A$14,Dienste!$C$14,IF(L39=Dienste!$A$15,Dienste!$C$15,IF(L39=Dienste!$A$16,Dienste!$C$16,IF(L39=Dienste!$A$17,Dienste!$C$17,IF(L39=Dienste!$A$18,Dienste!$C$18,IF(L39=Dienste!$A$19,Dienste!$C$19,IF(L39=Dienste!$A$20,Dienste!$C$20,IF(L39=Dienste!$A$21,Dienste!$C$21,IF(L39=Dienste!$A$22,Dienste!$C$22,IF(L39=Dienste!$A$23,Dienste!$C$23,IF(L39=Dienste!$A$24,Dienste!$C$24,IF(L39=Dienste!$A$25,Dienste!$C$25,IF(L39=Dienste!$A$26,Dienste!$C$26,IF(L39=Dienste!$A$27,Dienste!$C$27,IF(L39=Dienste!$A$28,Dienste!$C$28,IF(L39=Dienste!#REF!,Dienste!#REF!,IF(L39=Dienste!#REF!,Dienste!#REF!,IF(L39=Dienste!#REF!,Dienste!#REF!,IF(L39=Dienste!#REF!,Dienste!#REF!,IF(L39=Dienste!$A$33,Dienste!$C$33,IF(L39=Dienste!$A$34,Dienste!$C$34,IF(L39=Dienste!$A$35,Dienste!$C$35,IF(L39=Dienste!$A$36,Dienste!$C$36,)))))))))))))))))))))))))))))))))))</f>
        <v>#REF!</v>
      </c>
      <c r="BG39" s="27" t="e">
        <f>IF(M39=Dienste!$A$2,Dienste!$C$2,IF(M39=Dienste!$A$3,Dienste!$C$3,IF(M39=Dienste!$A$4,Dienste!$C$4,IF(M39=Dienste!$A$5,Dienste!$C$5,IF(M39=Dienste!$A$6,Dienste!$C$6,IF(M39=Dienste!$A$7,Dienste!$C$7,IF(M39=Dienste!$A$8,Dienste!$C$8,IF(M39=Dienste!$A$9,Dienste!$C$9,IF(M39=Dienste!$A$10,Dienste!$C$10,IF(M39=Dienste!$A$11,Dienste!$C$11,IF(M39=Dienste!$A$12,Dienste!$C$12,IF(M39=Dienste!$A$13,Dienste!$C$13,IF(M39=Dienste!$A$14,Dienste!$C$14,IF(M39=Dienste!$A$15,Dienste!$C$15,IF(M39=Dienste!$A$16,Dienste!$C$16,IF(M39=Dienste!$A$17,Dienste!$C$17,IF(M39=Dienste!$A$18,Dienste!$C$18,IF(M39=Dienste!$A$19,Dienste!$C$19,IF(M39=Dienste!$A$20,Dienste!$C$20,IF(M39=Dienste!$A$21,Dienste!$C$21,IF(M39=Dienste!$A$22,Dienste!$C$22,IF(M39=Dienste!$A$23,Dienste!$C$23,IF(M39=Dienste!$A$24,Dienste!$C$24,IF(M39=Dienste!$A$25,Dienste!$C$25,IF(M39=Dienste!$A$26,Dienste!$C$26,IF(M39=Dienste!$A$27,Dienste!$C$27,IF(M39=Dienste!$A$28,Dienste!$C$28,IF(M39=Dienste!#REF!,Dienste!#REF!,IF(M39=Dienste!#REF!,Dienste!#REF!,IF(M39=Dienste!#REF!,Dienste!#REF!,IF(M39=Dienste!#REF!,Dienste!#REF!,IF(M39=Dienste!$A$33,Dienste!$C$33,IF(M39=Dienste!$A$34,Dienste!$C$34,IF(M39=Dienste!$A$35,Dienste!$C$35,IF(M39=Dienste!$A$36,Dienste!$C$36,)))))))))))))))))))))))))))))))))))</f>
        <v>#REF!</v>
      </c>
      <c r="BH39" s="27" t="e">
        <f>IF(N39=Dienste!$A$2,Dienste!$C$2,IF(N39=Dienste!$A$3,Dienste!$C$3,IF(N39=Dienste!$A$4,Dienste!$C$4,IF(N39=Dienste!$A$5,Dienste!$C$5,IF(N39=Dienste!$A$6,Dienste!$C$6,IF(N39=Dienste!$A$7,Dienste!$C$7,IF(N39=Dienste!$A$8,Dienste!$C$8,IF(N39=Dienste!$A$9,Dienste!$C$9,IF(N39=Dienste!$A$10,Dienste!$C$10,IF(N39=Dienste!$A$11,Dienste!$C$11,IF(N39=Dienste!$A$12,Dienste!$C$12,IF(N39=Dienste!$A$13,Dienste!$C$13,IF(N39=Dienste!$A$14,Dienste!$C$14,IF(N39=Dienste!$A$15,Dienste!$C$15,IF(N39=Dienste!$A$16,Dienste!$C$16,IF(N39=Dienste!$A$17,Dienste!$C$17,IF(N39=Dienste!$A$18,Dienste!$C$18,IF(N39=Dienste!$A$19,Dienste!$C$19,IF(N39=Dienste!$A$20,Dienste!$C$20,IF(N39=Dienste!$A$21,Dienste!$C$21,IF(N39=Dienste!$A$22,Dienste!$C$22,IF(N39=Dienste!$A$23,Dienste!$C$23,IF(N39=Dienste!$A$24,Dienste!$C$24,IF(N39=Dienste!$A$25,Dienste!$C$25,IF(N39=Dienste!$A$26,Dienste!$C$26,IF(N39=Dienste!$A$27,Dienste!$C$27,IF(N39=Dienste!$A$28,Dienste!$C$28,IF(N39=Dienste!#REF!,Dienste!#REF!,IF(N39=Dienste!#REF!,Dienste!#REF!,IF(N39=Dienste!#REF!,Dienste!#REF!,IF(N39=Dienste!#REF!,Dienste!#REF!,IF(N39=Dienste!$A$33,Dienste!$C$33,IF(N39=Dienste!$A$34,Dienste!$C$34,IF(N39=Dienste!$A$35,Dienste!$C$35,IF(N39=Dienste!$A$36,Dienste!$C$36,)))))))))))))))))))))))))))))))))))</f>
        <v>#REF!</v>
      </c>
      <c r="BI39" s="27" t="e">
        <f>IF(O39=Dienste!$A$2,Dienste!$C$2,IF(O39=Dienste!$A$3,Dienste!$C$3,IF(O39=Dienste!$A$4,Dienste!$C$4,IF(O39=Dienste!$A$5,Dienste!$C$5,IF(O39=Dienste!$A$6,Dienste!$C$6,IF(O39=Dienste!$A$7,Dienste!$C$7,IF(O39=Dienste!$A$8,Dienste!$C$8,IF(O39=Dienste!$A$9,Dienste!$C$9,IF(O39=Dienste!$A$10,Dienste!$C$10,IF(O39=Dienste!$A$11,Dienste!$C$11,IF(O39=Dienste!$A$12,Dienste!$C$12,IF(O39=Dienste!$A$13,Dienste!$C$13,IF(O39=Dienste!$A$14,Dienste!$C$14,IF(O39=Dienste!$A$15,Dienste!$C$15,IF(O39=Dienste!$A$16,Dienste!$C$16,IF(O39=Dienste!$A$17,Dienste!$C$17,IF(O39=Dienste!$A$18,Dienste!$C$18,IF(O39=Dienste!$A$19,Dienste!$C$19,IF(O39=Dienste!$A$20,Dienste!$C$20,IF(O39=Dienste!$A$21,Dienste!$C$21,IF(O39=Dienste!$A$22,Dienste!$C$22,IF(O39=Dienste!$A$23,Dienste!$C$23,IF(O39=Dienste!$A$24,Dienste!$C$24,IF(O39=Dienste!$A$25,Dienste!$C$25,IF(O39=Dienste!$A$26,Dienste!$C$26,IF(O39=Dienste!$A$27,Dienste!$C$27,IF(O39=Dienste!$A$28,Dienste!$C$28,IF(O39=Dienste!#REF!,Dienste!#REF!,IF(O39=Dienste!#REF!,Dienste!#REF!,IF(O39=Dienste!#REF!,Dienste!#REF!,IF(O39=Dienste!#REF!,Dienste!#REF!,IF(O39=Dienste!$A$33,Dienste!$C$33,IF(O39=Dienste!$A$34,Dienste!$C$34,IF(O39=Dienste!$A$35,Dienste!$C$35,IF(O39=Dienste!$A$36,Dienste!$C$36,)))))))))))))))))))))))))))))))))))</f>
        <v>#REF!</v>
      </c>
      <c r="BJ39" s="27" t="e">
        <f>IF(P39=Dienste!$A$2,Dienste!$C$2,IF(P39=Dienste!$A$3,Dienste!$C$3,IF(P39=Dienste!$A$4,Dienste!$C$4,IF(P39=Dienste!$A$5,Dienste!$C$5,IF(P39=Dienste!$A$6,Dienste!$C$6,IF(P39=Dienste!$A$7,Dienste!$C$7,IF(P39=Dienste!$A$8,Dienste!$C$8,IF(P39=Dienste!$A$9,Dienste!$C$9,IF(P39=Dienste!$A$10,Dienste!$C$10,IF(P39=Dienste!$A$11,Dienste!$C$11,IF(P39=Dienste!$A$12,Dienste!$C$12,IF(P39=Dienste!$A$13,Dienste!$C$13,IF(P39=Dienste!$A$14,Dienste!$C$14,IF(P39=Dienste!$A$15,Dienste!$C$15,IF(P39=Dienste!$A$16,Dienste!$C$16,IF(P39=Dienste!$A$17,Dienste!$C$17,IF(P39=Dienste!$A$18,Dienste!$C$18,IF(P39=Dienste!$A$19,Dienste!$C$19,IF(P39=Dienste!$A$20,Dienste!$C$20,IF(P39=Dienste!$A$21,Dienste!$C$21,IF(P39=Dienste!$A$22,Dienste!$C$22,IF(P39=Dienste!$A$23,Dienste!$C$23,IF(P39=Dienste!$A$24,Dienste!$C$24,IF(P39=Dienste!$A$25,Dienste!$C$25,IF(P39=Dienste!$A$26,Dienste!$C$26,IF(P39=Dienste!$A$27,Dienste!$C$27,IF(P39=Dienste!$A$28,Dienste!$C$28,IF(P39=Dienste!#REF!,Dienste!#REF!,IF(P39=Dienste!#REF!,Dienste!#REF!,IF(P39=Dienste!#REF!,Dienste!#REF!,IF(P39=Dienste!#REF!,Dienste!#REF!,IF(P39=Dienste!$A$33,Dienste!$C$33,IF(P39=Dienste!$A$34,Dienste!$C$34,IF(P39=Dienste!$A$35,Dienste!$C$35,IF(P39=Dienste!$A$36,Dienste!$C$36,)))))))))))))))))))))))))))))))))))</f>
        <v>#REF!</v>
      </c>
      <c r="BK39" s="27" t="e">
        <f>IF(Q39=Dienste!$A$2,Dienste!$C$2,IF(Q39=Dienste!$A$3,Dienste!$C$3,IF(Q39=Dienste!$A$4,Dienste!$C$4,IF(Q39=Dienste!$A$5,Dienste!$C$5,IF(Q39=Dienste!$A$6,Dienste!$C$6,IF(Q39=Dienste!$A$7,Dienste!$C$7,IF(Q39=Dienste!$A$8,Dienste!$C$8,IF(Q39=Dienste!$A$9,Dienste!$C$9,IF(Q39=Dienste!$A$10,Dienste!$C$10,IF(Q39=Dienste!$A$11,Dienste!$C$11,IF(Q39=Dienste!$A$12,Dienste!$C$12,IF(Q39=Dienste!$A$13,Dienste!$C$13,IF(Q39=Dienste!$A$14,Dienste!$C$14,IF(Q39=Dienste!$A$15,Dienste!$C$15,IF(Q39=Dienste!$A$16,Dienste!$C$16,IF(Q39=Dienste!$A$17,Dienste!$C$17,IF(Q39=Dienste!$A$18,Dienste!$C$18,IF(Q39=Dienste!$A$19,Dienste!$C$19,IF(Q39=Dienste!$A$20,Dienste!$C$20,IF(Q39=Dienste!$A$21,Dienste!$C$21,IF(Q39=Dienste!$A$22,Dienste!$C$22,IF(Q39=Dienste!$A$23,Dienste!$C$23,IF(Q39=Dienste!$A$24,Dienste!$C$24,IF(Q39=Dienste!$A$25,Dienste!$C$25,IF(Q39=Dienste!$A$26,Dienste!$C$26,IF(Q39=Dienste!$A$27,Dienste!$C$27,IF(Q39=Dienste!$A$28,Dienste!$C$28,IF(Q39=Dienste!#REF!,Dienste!#REF!,IF(Q39=Dienste!#REF!,Dienste!#REF!,IF(Q39=Dienste!#REF!,Dienste!#REF!,IF(Q39=Dienste!#REF!,Dienste!#REF!,IF(Q39=Dienste!$A$33,Dienste!$C$33,IF(Q39=Dienste!$A$34,Dienste!$C$34,IF(Q39=Dienste!$A$35,Dienste!$C$35,IF(Q39=Dienste!$A$36,Dienste!$C$36,)))))))))))))))))))))))))))))))))))</f>
        <v>#REF!</v>
      </c>
      <c r="BL39" s="27" t="e">
        <f>IF(R39=Dienste!$A$2,Dienste!$C$2,IF(R39=Dienste!$A$3,Dienste!$C$3,IF(R39=Dienste!$A$4,Dienste!$C$4,IF(R39=Dienste!$A$5,Dienste!$C$5,IF(R39=Dienste!$A$6,Dienste!$C$6,IF(R39=Dienste!$A$7,Dienste!$C$7,IF(R39=Dienste!$A$8,Dienste!$C$8,IF(R39=Dienste!$A$9,Dienste!$C$9,IF(R39=Dienste!$A$10,Dienste!$C$10,IF(R39=Dienste!$A$11,Dienste!$C$11,IF(R39=Dienste!$A$12,Dienste!$C$12,IF(R39=Dienste!$A$13,Dienste!$C$13,IF(R39=Dienste!$A$14,Dienste!$C$14,IF(R39=Dienste!$A$15,Dienste!$C$15,IF(R39=Dienste!$A$16,Dienste!$C$16,IF(R39=Dienste!$A$17,Dienste!$C$17,IF(R39=Dienste!$A$18,Dienste!$C$18,IF(R39=Dienste!$A$19,Dienste!$C$19,IF(R39=Dienste!$A$20,Dienste!$C$20,IF(R39=Dienste!$A$21,Dienste!$C$21,IF(R39=Dienste!$A$22,Dienste!$C$22,IF(R39=Dienste!$A$23,Dienste!$C$23,IF(R39=Dienste!$A$24,Dienste!$C$24,IF(R39=Dienste!$A$25,Dienste!$C$25,IF(R39=Dienste!$A$26,Dienste!$C$26,IF(R39=Dienste!$A$27,Dienste!$C$27,IF(R39=Dienste!$A$28,Dienste!$C$28,IF(R39=Dienste!#REF!,Dienste!#REF!,IF(R39=Dienste!#REF!,Dienste!#REF!,IF(R39=Dienste!#REF!,Dienste!#REF!,IF(R39=Dienste!#REF!,Dienste!#REF!,IF(R39=Dienste!$A$33,Dienste!$C$33,IF(R39=Dienste!$A$34,Dienste!$C$34,IF(R39=Dienste!$A$35,Dienste!$C$35,IF(R39=Dienste!$A$36,Dienste!$C$36,)))))))))))))))))))))))))))))))))))</f>
        <v>#REF!</v>
      </c>
      <c r="BM39" s="27" t="e">
        <f>IF(S39=Dienste!$A$2,Dienste!$C$2,IF(S39=Dienste!$A$3,Dienste!$C$3,IF(S39=Dienste!$A$4,Dienste!$C$4,IF(S39=Dienste!$A$5,Dienste!$C$5,IF(S39=Dienste!$A$6,Dienste!$C$6,IF(S39=Dienste!$A$7,Dienste!$C$7,IF(S39=Dienste!$A$8,Dienste!$C$8,IF(S39=Dienste!$A$9,Dienste!$C$9,IF(S39=Dienste!$A$10,Dienste!$C$10,IF(S39=Dienste!$A$11,Dienste!$C$11,IF(S39=Dienste!$A$12,Dienste!$C$12,IF(S39=Dienste!$A$13,Dienste!$C$13,IF(S39=Dienste!$A$14,Dienste!$C$14,IF(S39=Dienste!$A$15,Dienste!$C$15,IF(S39=Dienste!$A$16,Dienste!$C$16,IF(S39=Dienste!$A$17,Dienste!$C$17,IF(S39=Dienste!$A$18,Dienste!$C$18,IF(S39=Dienste!$A$19,Dienste!$C$19,IF(S39=Dienste!$A$20,Dienste!$C$20,IF(S39=Dienste!$A$21,Dienste!$C$21,IF(S39=Dienste!$A$22,Dienste!$C$22,IF(S39=Dienste!$A$23,Dienste!$C$23,IF(S39=Dienste!$A$24,Dienste!$C$24,IF(S39=Dienste!$A$25,Dienste!$C$25,IF(S39=Dienste!$A$26,Dienste!$C$26,IF(S39=Dienste!$A$27,Dienste!$C$27,IF(S39=Dienste!$A$28,Dienste!$C$28,IF(S39=Dienste!#REF!,Dienste!#REF!,IF(S39=Dienste!#REF!,Dienste!#REF!,IF(S39=Dienste!#REF!,Dienste!#REF!,IF(S39=Dienste!#REF!,Dienste!#REF!,IF(S39=Dienste!$A$33,Dienste!$C$33,IF(S39=Dienste!$A$34,Dienste!$C$34,IF(S39=Dienste!$A$35,Dienste!$C$35,IF(S39=Dienste!$A$36,Dienste!$C$36,)))))))))))))))))))))))))))))))))))</f>
        <v>#REF!</v>
      </c>
      <c r="BN39" s="27" t="e">
        <f>IF(T39=Dienste!$A$2,Dienste!$C$2,IF(T39=Dienste!$A$3,Dienste!$C$3,IF(T39=Dienste!$A$4,Dienste!$C$4,IF(T39=Dienste!$A$5,Dienste!$C$5,IF(T39=Dienste!$A$6,Dienste!$C$6,IF(T39=Dienste!$A$7,Dienste!$C$7,IF(T39=Dienste!$A$8,Dienste!$C$8,IF(T39=Dienste!$A$9,Dienste!$C$9,IF(T39=Dienste!$A$10,Dienste!$C$10,IF(T39=Dienste!$A$11,Dienste!$C$11,IF(T39=Dienste!$A$12,Dienste!$C$12,IF(T39=Dienste!$A$13,Dienste!$C$13,IF(T39=Dienste!$A$14,Dienste!$C$14,IF(T39=Dienste!$A$15,Dienste!$C$15,IF(T39=Dienste!$A$16,Dienste!$C$16,IF(T39=Dienste!$A$17,Dienste!$C$17,IF(T39=Dienste!$A$18,Dienste!$C$18,IF(T39=Dienste!$A$19,Dienste!$C$19,IF(T39=Dienste!$A$20,Dienste!$C$20,IF(T39=Dienste!$A$21,Dienste!$C$21,IF(T39=Dienste!$A$22,Dienste!$C$22,IF(T39=Dienste!$A$23,Dienste!$C$23,IF(T39=Dienste!$A$24,Dienste!$C$24,IF(T39=Dienste!$A$25,Dienste!$C$25,IF(T39=Dienste!$A$26,Dienste!$C$26,IF(T39=Dienste!$A$27,Dienste!$C$27,IF(T39=Dienste!$A$28,Dienste!$C$28,IF(T39=Dienste!#REF!,Dienste!#REF!,IF(T39=Dienste!#REF!,Dienste!#REF!,IF(T39=Dienste!#REF!,Dienste!#REF!,IF(T39=Dienste!#REF!,Dienste!#REF!,IF(T39=Dienste!$A$33,Dienste!$C$33,IF(T39=Dienste!$A$34,Dienste!$C$34,IF(T39=Dienste!$A$35,Dienste!$C$35,IF(T39=Dienste!$A$36,Dienste!$C$36,)))))))))))))))))))))))))))))))))))</f>
        <v>#REF!</v>
      </c>
      <c r="BO39" s="27" t="e">
        <f>IF(U39=Dienste!$A$2,Dienste!$C$2,IF(U39=Dienste!$A$3,Dienste!$C$3,IF(U39=Dienste!$A$4,Dienste!$C$4,IF(U39=Dienste!$A$5,Dienste!$C$5,IF(U39=Dienste!$A$6,Dienste!$C$6,IF(U39=Dienste!$A$7,Dienste!$C$7,IF(U39=Dienste!$A$8,Dienste!$C$8,IF(U39=Dienste!$A$9,Dienste!$C$9,IF(U39=Dienste!$A$10,Dienste!$C$10,IF(U39=Dienste!$A$11,Dienste!$C$11,IF(U39=Dienste!$A$12,Dienste!$C$12,IF(U39=Dienste!$A$13,Dienste!$C$13,IF(U39=Dienste!$A$14,Dienste!$C$14,IF(U39=Dienste!$A$15,Dienste!$C$15,IF(U39=Dienste!$A$16,Dienste!$C$16,IF(U39=Dienste!$A$17,Dienste!$C$17,IF(U39=Dienste!$A$18,Dienste!$C$18,IF(U39=Dienste!$A$19,Dienste!$C$19,IF(U39=Dienste!$A$20,Dienste!$C$20,IF(U39=Dienste!$A$21,Dienste!$C$21,IF(U39=Dienste!$A$22,Dienste!$C$22,IF(U39=Dienste!$A$23,Dienste!$C$23,IF(U39=Dienste!$A$24,Dienste!$C$24,IF(U39=Dienste!$A$25,Dienste!$C$25,IF(U39=Dienste!$A$26,Dienste!$C$26,IF(U39=Dienste!$A$27,Dienste!$C$27,IF(U39=Dienste!$A$28,Dienste!$C$28,IF(U39=Dienste!#REF!,Dienste!#REF!,IF(U39=Dienste!#REF!,Dienste!#REF!,IF(U39=Dienste!#REF!,Dienste!#REF!,IF(U39=Dienste!#REF!,Dienste!#REF!,IF(U39=Dienste!$A$33,Dienste!$C$33,IF(U39=Dienste!$A$34,Dienste!$C$34,IF(U39=Dienste!$A$35,Dienste!$C$35,IF(U39=Dienste!$A$36,Dienste!$C$36,)))))))))))))))))))))))))))))))))))</f>
        <v>#REF!</v>
      </c>
      <c r="BP39" s="27" t="e">
        <f>IF(V39=Dienste!$A$2,Dienste!$C$2,IF(V39=Dienste!$A$3,Dienste!$C$3,IF(V39=Dienste!$A$4,Dienste!$C$4,IF(V39=Dienste!$A$5,Dienste!$C$5,IF(V39=Dienste!$A$6,Dienste!$C$6,IF(V39=Dienste!$A$7,Dienste!$C$7,IF(V39=Dienste!$A$8,Dienste!$C$8,IF(V39=Dienste!$A$9,Dienste!$C$9,IF(V39=Dienste!$A$10,Dienste!$C$10,IF(V39=Dienste!$A$11,Dienste!$C$11,IF(V39=Dienste!$A$12,Dienste!$C$12,IF(V39=Dienste!$A$13,Dienste!$C$13,IF(V39=Dienste!$A$14,Dienste!$C$14,IF(V39=Dienste!$A$15,Dienste!$C$15,IF(V39=Dienste!$A$16,Dienste!$C$16,IF(V39=Dienste!$A$17,Dienste!$C$17,IF(V39=Dienste!$A$18,Dienste!$C$18,IF(V39=Dienste!$A$19,Dienste!$C$19,IF(V39=Dienste!$A$20,Dienste!$C$20,IF(V39=Dienste!$A$21,Dienste!$C$21,IF(V39=Dienste!$A$22,Dienste!$C$22,IF(V39=Dienste!$A$23,Dienste!$C$23,IF(V39=Dienste!$A$24,Dienste!$C$24,IF(V39=Dienste!$A$25,Dienste!$C$25,IF(V39=Dienste!$A$26,Dienste!$C$26,IF(V39=Dienste!$A$27,Dienste!$C$27,IF(V39=Dienste!$A$28,Dienste!$C$28,IF(V39=Dienste!#REF!,Dienste!#REF!,IF(V39=Dienste!#REF!,Dienste!#REF!,IF(V39=Dienste!#REF!,Dienste!#REF!,IF(V39=Dienste!#REF!,Dienste!#REF!,IF(V39=Dienste!$A$33,Dienste!$C$33,IF(V39=Dienste!$A$34,Dienste!$C$34,IF(V39=Dienste!$A$35,Dienste!$C$35,IF(V39=Dienste!$A$36,Dienste!$C$36,)))))))))))))))))))))))))))))))))))</f>
        <v>#REF!</v>
      </c>
      <c r="BQ39" s="27" t="e">
        <f>IF(W39=Dienste!$A$2,Dienste!$C$2,IF(W39=Dienste!$A$3,Dienste!$C$3,IF(W39=Dienste!$A$4,Dienste!$C$4,IF(W39=Dienste!$A$5,Dienste!$C$5,IF(W39=Dienste!$A$6,Dienste!$C$6,IF(W39=Dienste!$A$7,Dienste!$C$7,IF(W39=Dienste!$A$8,Dienste!$C$8,IF(W39=Dienste!$A$9,Dienste!$C$9,IF(W39=Dienste!$A$10,Dienste!$C$10,IF(W39=Dienste!$A$11,Dienste!$C$11,IF(W39=Dienste!$A$12,Dienste!$C$12,IF(W39=Dienste!$A$13,Dienste!$C$13,IF(W39=Dienste!$A$14,Dienste!$C$14,IF(W39=Dienste!$A$15,Dienste!$C$15,IF(W39=Dienste!$A$16,Dienste!$C$16,IF(W39=Dienste!$A$17,Dienste!$C$17,IF(W39=Dienste!$A$18,Dienste!$C$18,IF(W39=Dienste!$A$19,Dienste!$C$19,IF(W39=Dienste!$A$20,Dienste!$C$20,IF(W39=Dienste!$A$21,Dienste!$C$21,IF(W39=Dienste!$A$22,Dienste!$C$22,IF(W39=Dienste!$A$23,Dienste!$C$23,IF(W39=Dienste!$A$24,Dienste!$C$24,IF(W39=Dienste!$A$25,Dienste!$C$25,IF(W39=Dienste!$A$26,Dienste!$C$26,IF(W39=Dienste!$A$27,Dienste!$C$27,IF(W39=Dienste!$A$28,Dienste!$C$28,IF(W39=Dienste!#REF!,Dienste!#REF!,IF(W39=Dienste!#REF!,Dienste!#REF!,IF(W39=Dienste!#REF!,Dienste!#REF!,IF(W39=Dienste!#REF!,Dienste!#REF!,IF(W39=Dienste!$A$33,Dienste!$C$33,IF(W39=Dienste!$A$34,Dienste!$C$34,IF(W39=Dienste!$A$35,Dienste!$C$35,IF(W39=Dienste!$A$36,Dienste!$C$36,)))))))))))))))))))))))))))))))))))</f>
        <v>#REF!</v>
      </c>
      <c r="BR39" s="27" t="e">
        <f>IF(X39=Dienste!$A$2,Dienste!$C$2,IF(X39=Dienste!$A$3,Dienste!$C$3,IF(X39=Dienste!$A$4,Dienste!$C$4,IF(X39=Dienste!$A$5,Dienste!$C$5,IF(X39=Dienste!$A$6,Dienste!$C$6,IF(X39=Dienste!$A$7,Dienste!$C$7,IF(X39=Dienste!$A$8,Dienste!$C$8,IF(X39=Dienste!$A$9,Dienste!$C$9,IF(X39=Dienste!$A$10,Dienste!$C$10,IF(X39=Dienste!$A$11,Dienste!$C$11,IF(X39=Dienste!$A$12,Dienste!$C$12,IF(X39=Dienste!$A$13,Dienste!$C$13,IF(X39=Dienste!$A$14,Dienste!$C$14,IF(X39=Dienste!$A$15,Dienste!$C$15,IF(X39=Dienste!$A$16,Dienste!$C$16,IF(X39=Dienste!$A$17,Dienste!$C$17,IF(X39=Dienste!$A$18,Dienste!$C$18,IF(X39=Dienste!$A$19,Dienste!$C$19,IF(X39=Dienste!$A$20,Dienste!$C$20,IF(X39=Dienste!$A$21,Dienste!$C$21,IF(X39=Dienste!$A$22,Dienste!$C$22,IF(X39=Dienste!$A$23,Dienste!$C$23,IF(X39=Dienste!$A$24,Dienste!$C$24,IF(X39=Dienste!$A$25,Dienste!$C$25,IF(X39=Dienste!$A$26,Dienste!$C$26,IF(X39=Dienste!$A$27,Dienste!$C$27,IF(X39=Dienste!$A$28,Dienste!$C$28,IF(X39=Dienste!#REF!,Dienste!#REF!,IF(X39=Dienste!#REF!,Dienste!#REF!,IF(X39=Dienste!#REF!,Dienste!#REF!,IF(X39=Dienste!#REF!,Dienste!#REF!,IF(X39=Dienste!$A$33,Dienste!$C$33,IF(X39=Dienste!$A$34,Dienste!$C$34,IF(X39=Dienste!$A$35,Dienste!$C$35,IF(X39=Dienste!$A$36,Dienste!$C$36,)))))))))))))))))))))))))))))))))))</f>
        <v>#REF!</v>
      </c>
      <c r="BS39" s="27" t="e">
        <f>IF(Y39=Dienste!$A$2,Dienste!$C$2,IF(Y39=Dienste!$A$3,Dienste!$C$3,IF(Y39=Dienste!$A$4,Dienste!$C$4,IF(Y39=Dienste!$A$5,Dienste!$C$5,IF(Y39=Dienste!$A$6,Dienste!$C$6,IF(Y39=Dienste!$A$7,Dienste!$C$7,IF(Y39=Dienste!$A$8,Dienste!$C$8,IF(Y39=Dienste!$A$9,Dienste!$C$9,IF(Y39=Dienste!$A$10,Dienste!$C$10,IF(Y39=Dienste!$A$11,Dienste!$C$11,IF(Y39=Dienste!$A$12,Dienste!$C$12,IF(Y39=Dienste!$A$13,Dienste!$C$13,IF(Y39=Dienste!$A$14,Dienste!$C$14,IF(Y39=Dienste!$A$15,Dienste!$C$15,IF(Y39=Dienste!$A$16,Dienste!$C$16,IF(Y39=Dienste!$A$17,Dienste!$C$17,IF(Y39=Dienste!$A$18,Dienste!$C$18,IF(Y39=Dienste!$A$19,Dienste!$C$19,IF(Y39=Dienste!$A$20,Dienste!$C$20,IF(Y39=Dienste!$A$21,Dienste!$C$21,IF(Y39=Dienste!$A$22,Dienste!$C$22,IF(Y39=Dienste!$A$23,Dienste!$C$23,IF(Y39=Dienste!$A$24,Dienste!$C$24,IF(Y39=Dienste!$A$25,Dienste!$C$25,IF(Y39=Dienste!$A$26,Dienste!$C$26,IF(Y39=Dienste!$A$27,Dienste!$C$27,IF(Y39=Dienste!$A$28,Dienste!$C$28,IF(Y39=Dienste!#REF!,Dienste!#REF!,IF(Y39=Dienste!#REF!,Dienste!#REF!,IF(Y39=Dienste!#REF!,Dienste!#REF!,IF(Y39=Dienste!#REF!,Dienste!#REF!,IF(Y39=Dienste!$A$33,Dienste!$C$33,IF(Y39=Dienste!$A$34,Dienste!$C$34,IF(Y39=Dienste!$A$35,Dienste!$C$35,IF(Y39=Dienste!$A$36,Dienste!$C$36,)))))))))))))))))))))))))))))))))))</f>
        <v>#REF!</v>
      </c>
      <c r="BT39" s="27" t="e">
        <f>IF(Z39=Dienste!$A$2,Dienste!$C$2,IF(Z39=Dienste!$A$3,Dienste!$C$3,IF(Z39=Dienste!$A$4,Dienste!$C$4,IF(Z39=Dienste!$A$5,Dienste!$C$5,IF(Z39=Dienste!$A$6,Dienste!$C$6,IF(Z39=Dienste!$A$7,Dienste!$C$7,IF(Z39=Dienste!$A$8,Dienste!$C$8,IF(Z39=Dienste!$A$9,Dienste!$C$9,IF(Z39=Dienste!$A$10,Dienste!$C$10,IF(Z39=Dienste!$A$11,Dienste!$C$11,IF(Z39=Dienste!$A$12,Dienste!$C$12,IF(Z39=Dienste!$A$13,Dienste!$C$13,IF(Z39=Dienste!$A$14,Dienste!$C$14,IF(Z39=Dienste!$A$15,Dienste!$C$15,IF(Z39=Dienste!$A$16,Dienste!$C$16,IF(Z39=Dienste!$A$17,Dienste!$C$17,IF(Z39=Dienste!$A$18,Dienste!$C$18,IF(Z39=Dienste!$A$19,Dienste!$C$19,IF(Z39=Dienste!$A$20,Dienste!$C$20,IF(Z39=Dienste!$A$21,Dienste!$C$21,IF(Z39=Dienste!$A$22,Dienste!$C$22,IF(Z39=Dienste!$A$23,Dienste!$C$23,IF(Z39=Dienste!$A$24,Dienste!$C$24,IF(Z39=Dienste!$A$25,Dienste!$C$25,IF(Z39=Dienste!$A$26,Dienste!$C$26,IF(Z39=Dienste!$A$27,Dienste!$C$27,IF(Z39=Dienste!$A$28,Dienste!$C$28,IF(Z39=Dienste!#REF!,Dienste!#REF!,IF(Z39=Dienste!#REF!,Dienste!#REF!,IF(Z39=Dienste!#REF!,Dienste!#REF!,IF(Z39=Dienste!#REF!,Dienste!#REF!,IF(Z39=Dienste!$A$33,Dienste!$C$33,IF(Z39=Dienste!$A$34,Dienste!$C$34,IF(Z39=Dienste!$A$35,Dienste!$C$35,IF(Z39=Dienste!$A$36,Dienste!$C$36,)))))))))))))))))))))))))))))))))))</f>
        <v>#REF!</v>
      </c>
      <c r="BU39" s="27" t="e">
        <f>IF(AA39=Dienste!$A$2,Dienste!$C$2,IF(AA39=Dienste!$A$3,Dienste!$C$3,IF(AA39=Dienste!$A$4,Dienste!$C$4,IF(AA39=Dienste!$A$5,Dienste!$C$5,IF(AA39=Dienste!$A$6,Dienste!$C$6,IF(AA39=Dienste!$A$7,Dienste!$C$7,IF(AA39=Dienste!$A$8,Dienste!$C$8,IF(AA39=Dienste!$A$9,Dienste!$C$9,IF(AA39=Dienste!$A$10,Dienste!$C$10,IF(AA39=Dienste!$A$11,Dienste!$C$11,IF(AA39=Dienste!$A$12,Dienste!$C$12,IF(AA39=Dienste!$A$13,Dienste!$C$13,IF(AA39=Dienste!$A$14,Dienste!$C$14,IF(AA39=Dienste!$A$15,Dienste!$C$15,IF(AA39=Dienste!$A$16,Dienste!$C$16,IF(AA39=Dienste!$A$17,Dienste!$C$17,IF(AA39=Dienste!$A$18,Dienste!$C$18,IF(AA39=Dienste!$A$19,Dienste!$C$19,IF(AA39=Dienste!$A$20,Dienste!$C$20,IF(AA39=Dienste!$A$21,Dienste!$C$21,IF(AA39=Dienste!$A$22,Dienste!$C$22,IF(AA39=Dienste!$A$23,Dienste!$C$23,IF(AA39=Dienste!$A$24,Dienste!$C$24,IF(AA39=Dienste!$A$25,Dienste!$C$25,IF(AA39=Dienste!$A$26,Dienste!$C$26,IF(AA39=Dienste!$A$27,Dienste!$C$27,IF(AA39=Dienste!$A$28,Dienste!$C$28,IF(AA39=Dienste!#REF!,Dienste!#REF!,IF(AA39=Dienste!#REF!,Dienste!#REF!,IF(AA39=Dienste!#REF!,Dienste!#REF!,IF(AA39=Dienste!#REF!,Dienste!#REF!,IF(AA39=Dienste!$A$33,Dienste!$C$33,IF(AA39=Dienste!$A$34,Dienste!$C$34,IF(AA39=Dienste!$A$35,Dienste!$C$35,IF(AA39=Dienste!$A$36,Dienste!$C$36,)))))))))))))))))))))))))))))))))))</f>
        <v>#REF!</v>
      </c>
      <c r="BV39" s="27" t="e">
        <f>IF(AB39=Dienste!$A$2,Dienste!$C$2,IF(AB39=Dienste!$A$3,Dienste!$C$3,IF(AB39=Dienste!$A$4,Dienste!$C$4,IF(AB39=Dienste!$A$5,Dienste!$C$5,IF(AB39=Dienste!$A$6,Dienste!$C$6,IF(AB39=Dienste!$A$7,Dienste!$C$7,IF(AB39=Dienste!$A$8,Dienste!$C$8,IF(AB39=Dienste!$A$9,Dienste!$C$9,IF(AB39=Dienste!$A$10,Dienste!$C$10,IF(AB39=Dienste!$A$11,Dienste!$C$11,IF(AB39=Dienste!$A$12,Dienste!$C$12,IF(AB39=Dienste!$A$13,Dienste!$C$13,IF(AB39=Dienste!$A$14,Dienste!$C$14,IF(AB39=Dienste!$A$15,Dienste!$C$15,IF(AB39=Dienste!$A$16,Dienste!$C$16,IF(AB39=Dienste!$A$17,Dienste!$C$17,IF(AB39=Dienste!$A$18,Dienste!$C$18,IF(AB39=Dienste!$A$19,Dienste!$C$19,IF(AB39=Dienste!$A$20,Dienste!$C$20,IF(AB39=Dienste!$A$21,Dienste!$C$21,IF(AB39=Dienste!$A$22,Dienste!$C$22,IF(AB39=Dienste!$A$23,Dienste!$C$23,IF(AB39=Dienste!$A$24,Dienste!$C$24,IF(AB39=Dienste!$A$25,Dienste!$C$25,IF(AB39=Dienste!$A$26,Dienste!$C$26,IF(AB39=Dienste!$A$27,Dienste!$C$27,IF(AB39=Dienste!$A$28,Dienste!$C$28,IF(AB39=Dienste!#REF!,Dienste!#REF!,IF(AB39=Dienste!#REF!,Dienste!#REF!,IF(AB39=Dienste!#REF!,Dienste!#REF!,IF(AB39=Dienste!#REF!,Dienste!#REF!,IF(AB39=Dienste!$A$33,Dienste!$C$33,IF(AB39=Dienste!$A$34,Dienste!$C$34,IF(AB39=Dienste!$A$35,Dienste!$C$35,IF(AB39=Dienste!$A$36,Dienste!$C$36,)))))))))))))))))))))))))))))))))))</f>
        <v>#REF!</v>
      </c>
      <c r="BW39" s="27" t="e">
        <f>IF(AC39=Dienste!$A$2,Dienste!$C$2,IF(AC39=Dienste!$A$3,Dienste!$C$3,IF(AC39=Dienste!$A$4,Dienste!$C$4,IF(AC39=Dienste!$A$5,Dienste!$C$5,IF(AC39=Dienste!$A$6,Dienste!$C$6,IF(AC39=Dienste!$A$7,Dienste!$C$7,IF(AC39=Dienste!$A$8,Dienste!$C$8,IF(AC39=Dienste!$A$9,Dienste!$C$9,IF(AC39=Dienste!$A$10,Dienste!$C$10,IF(AC39=Dienste!$A$11,Dienste!$C$11,IF(AC39=Dienste!$A$12,Dienste!$C$12,IF(AC39=Dienste!$A$13,Dienste!$C$13,IF(AC39=Dienste!$A$14,Dienste!$C$14,IF(AC39=Dienste!$A$15,Dienste!$C$15,IF(AC39=Dienste!$A$16,Dienste!$C$16,IF(AC39=Dienste!$A$17,Dienste!$C$17,IF(AC39=Dienste!$A$18,Dienste!$C$18,IF(AC39=Dienste!$A$19,Dienste!$C$19,IF(AC39=Dienste!$A$20,Dienste!$C$20,IF(AC39=Dienste!$A$21,Dienste!$C$21,IF(AC39=Dienste!$A$22,Dienste!$C$22,IF(AC39=Dienste!$A$23,Dienste!$C$23,IF(AC39=Dienste!$A$24,Dienste!$C$24,IF(AC39=Dienste!$A$25,Dienste!$C$25,IF(AC39=Dienste!$A$26,Dienste!$C$26,IF(AC39=Dienste!$A$27,Dienste!$C$27,IF(AC39=Dienste!$A$28,Dienste!$C$28,IF(AC39=Dienste!#REF!,Dienste!#REF!,IF(AC39=Dienste!#REF!,Dienste!#REF!,IF(AC39=Dienste!#REF!,Dienste!#REF!,IF(AC39=Dienste!#REF!,Dienste!#REF!,IF(AC39=Dienste!$A$33,Dienste!$C$33,IF(AC39=Dienste!$A$34,Dienste!$C$34,IF(AC39=Dienste!$A$35,Dienste!$C$35,IF(AC39=Dienste!$A$36,Dienste!$C$36,)))))))))))))))))))))))))))))))))))</f>
        <v>#REF!</v>
      </c>
      <c r="BX39" s="27" t="e">
        <f>IF(AD39=Dienste!$A$2,Dienste!$C$2,IF(AD39=Dienste!$A$3,Dienste!$C$3,IF(AD39=Dienste!$A$4,Dienste!$C$4,IF(AD39=Dienste!$A$5,Dienste!$C$5,IF(AD39=Dienste!$A$6,Dienste!$C$6,IF(AD39=Dienste!$A$7,Dienste!$C$7,IF(AD39=Dienste!$A$8,Dienste!$C$8,IF(AD39=Dienste!$A$9,Dienste!$C$9,IF(AD39=Dienste!$A$10,Dienste!$C$10,IF(AD39=Dienste!$A$11,Dienste!$C$11,IF(AD39=Dienste!$A$12,Dienste!$C$12,IF(AD39=Dienste!$A$13,Dienste!$C$13,IF(AD39=Dienste!$A$14,Dienste!$C$14,IF(AD39=Dienste!$A$15,Dienste!$C$15,IF(AD39=Dienste!$A$16,Dienste!$C$16,IF(AD39=Dienste!$A$17,Dienste!$C$17,IF(AD39=Dienste!$A$18,Dienste!$C$18,IF(AD39=Dienste!$A$19,Dienste!$C$19,IF(AD39=Dienste!$A$20,Dienste!$C$20,IF(AD39=Dienste!$A$21,Dienste!$C$21,IF(AD39=Dienste!$A$22,Dienste!$C$22,IF(AD39=Dienste!$A$23,Dienste!$C$23,IF(AD39=Dienste!$A$24,Dienste!$C$24,IF(AD39=Dienste!$A$25,Dienste!$C$25,IF(AD39=Dienste!$A$26,Dienste!$C$26,IF(AD39=Dienste!$A$27,Dienste!$C$27,IF(AD39=Dienste!$A$28,Dienste!$C$28,IF(AD39=Dienste!#REF!,Dienste!#REF!,IF(AD39=Dienste!#REF!,Dienste!#REF!,IF(AD39=Dienste!#REF!,Dienste!#REF!,IF(AD39=Dienste!#REF!,Dienste!#REF!,IF(AD39=Dienste!$A$33,Dienste!$C$33,IF(AD39=Dienste!$A$34,Dienste!$C$34,IF(AD39=Dienste!$A$35,Dienste!$C$35,IF(AD39=Dienste!$A$36,Dienste!$C$36,)))))))))))))))))))))))))))))))))))</f>
        <v>#REF!</v>
      </c>
      <c r="BY39" s="27" t="e">
        <f>IF(AE39=Dienste!$A$2,Dienste!$C$2,IF(AE39=Dienste!$A$3,Dienste!$C$3,IF(AE39=Dienste!$A$4,Dienste!$C$4,IF(AE39=Dienste!$A$5,Dienste!$C$5,IF(AE39=Dienste!$A$6,Dienste!$C$6,IF(AE39=Dienste!$A$7,Dienste!$C$7,IF(AE39=Dienste!$A$8,Dienste!$C$8,IF(AE39=Dienste!$A$9,Dienste!$C$9,IF(AE39=Dienste!$A$10,Dienste!$C$10,IF(AE39=Dienste!$A$11,Dienste!$C$11,IF(AE39=Dienste!$A$12,Dienste!$C$12,IF(AE39=Dienste!$A$13,Dienste!$C$13,IF(AE39=Dienste!$A$14,Dienste!$C$14,IF(AE39=Dienste!$A$15,Dienste!$C$15,IF(AE39=Dienste!$A$16,Dienste!$C$16,IF(AE39=Dienste!$A$17,Dienste!$C$17,IF(AE39=Dienste!$A$18,Dienste!$C$18,IF(AE39=Dienste!$A$19,Dienste!$C$19,IF(AE39=Dienste!$A$20,Dienste!$C$20,IF(AE39=Dienste!$A$21,Dienste!$C$21,IF(AE39=Dienste!$A$22,Dienste!$C$22,IF(AE39=Dienste!$A$23,Dienste!$C$23,IF(AE39=Dienste!$A$24,Dienste!$C$24,IF(AE39=Dienste!$A$25,Dienste!$C$25,IF(AE39=Dienste!$A$26,Dienste!$C$26,IF(AE39=Dienste!$A$27,Dienste!$C$27,IF(AE39=Dienste!$A$28,Dienste!$C$28,IF(AE39=Dienste!#REF!,Dienste!#REF!,IF(AE39=Dienste!#REF!,Dienste!#REF!,IF(AE39=Dienste!#REF!,Dienste!#REF!,IF(AE39=Dienste!#REF!,Dienste!#REF!,IF(AE39=Dienste!$A$33,Dienste!$C$33,IF(AE39=Dienste!$A$34,Dienste!$C$34,IF(AE39=Dienste!$A$35,Dienste!$C$35,IF(AE39=Dienste!$A$36,Dienste!$C$36,)))))))))))))))))))))))))))))))))))</f>
        <v>#REF!</v>
      </c>
      <c r="BZ39" s="27" t="e">
        <f>IF(AF39=Dienste!$A$2,Dienste!$C$2,IF(AF39=Dienste!$A$3,Dienste!$C$3,IF(AF39=Dienste!$A$4,Dienste!$C$4,IF(AF39=Dienste!$A$5,Dienste!$C$5,IF(AF39=Dienste!$A$6,Dienste!$C$6,IF(AF39=Dienste!$A$7,Dienste!$C$7,IF(AF39=Dienste!$A$8,Dienste!$C$8,IF(AF39=Dienste!$A$9,Dienste!$C$9,IF(AF39=Dienste!$A$10,Dienste!$C$10,IF(AF39=Dienste!$A$11,Dienste!$C$11,IF(AF39=Dienste!$A$12,Dienste!$C$12,IF(AF39=Dienste!$A$13,Dienste!$C$13,IF(AF39=Dienste!$A$14,Dienste!$C$14,IF(AF39=Dienste!$A$15,Dienste!$C$15,IF(AF39=Dienste!$A$16,Dienste!$C$16,IF(AF39=Dienste!$A$17,Dienste!$C$17,IF(AF39=Dienste!$A$18,Dienste!$C$18,IF(AF39=Dienste!$A$19,Dienste!$C$19,IF(AF39=Dienste!$A$20,Dienste!$C$20,IF(AF39=Dienste!$A$21,Dienste!$C$21,IF(AF39=Dienste!$A$22,Dienste!$C$22,IF(AF39=Dienste!$A$23,Dienste!$C$23,IF(AF39=Dienste!$A$24,Dienste!$C$24,IF(AF39=Dienste!$A$25,Dienste!$C$25,IF(AF39=Dienste!$A$26,Dienste!$C$26,IF(AF39=Dienste!$A$27,Dienste!$C$27,IF(AF39=Dienste!$A$28,Dienste!$C$28,IF(AF39=Dienste!#REF!,Dienste!#REF!,IF(AF39=Dienste!#REF!,Dienste!#REF!,IF(AF39=Dienste!#REF!,Dienste!#REF!,IF(AF39=Dienste!#REF!,Dienste!#REF!,IF(AF39=Dienste!$A$33,Dienste!$C$33,IF(AF39=Dienste!$A$34,Dienste!$C$34,IF(AF39=Dienste!$A$35,Dienste!$C$35,IF(AF39=Dienste!$A$36,Dienste!$C$36,)))))))))))))))))))))))))))))))))))</f>
        <v>#REF!</v>
      </c>
      <c r="CA39" s="27" t="e">
        <f>IF(AG39=Dienste!$A$2,Dienste!$C$2,IF(AG39=Dienste!$A$3,Dienste!$C$3,IF(AG39=Dienste!$A$4,Dienste!$C$4,IF(AG39=Dienste!$A$5,Dienste!$C$5,IF(AG39=Dienste!$A$6,Dienste!$C$6,IF(AG39=Dienste!$A$7,Dienste!$C$7,IF(AG39=Dienste!$A$8,Dienste!$C$8,IF(AG39=Dienste!$A$9,Dienste!$C$9,IF(AG39=Dienste!$A$10,Dienste!$C$10,IF(AG39=Dienste!$A$11,Dienste!$C$11,IF(AG39=Dienste!$A$12,Dienste!$C$12,IF(AG39=Dienste!$A$13,Dienste!$C$13,IF(AG39=Dienste!$A$14,Dienste!$C$14,IF(AG39=Dienste!$A$15,Dienste!$C$15,IF(AG39=Dienste!$A$16,Dienste!$C$16,IF(AG39=Dienste!$A$17,Dienste!$C$17,IF(AG39=Dienste!$A$18,Dienste!$C$18,IF(AG39=Dienste!$A$19,Dienste!$C$19,IF(AG39=Dienste!$A$20,Dienste!$C$20,IF(AG39=Dienste!$A$21,Dienste!$C$21,IF(AG39=Dienste!$A$22,Dienste!$C$22,IF(AG39=Dienste!$A$23,Dienste!$C$23,IF(AG39=Dienste!$A$24,Dienste!$C$24,IF(AG39=Dienste!$A$25,Dienste!$C$25,IF(AG39=Dienste!$A$26,Dienste!$C$26,IF(AG39=Dienste!$A$27,Dienste!$C$27,IF(AG39=Dienste!$A$28,Dienste!$C$28,IF(AG39=Dienste!#REF!,Dienste!#REF!,IF(AG39=Dienste!#REF!,Dienste!#REF!,IF(AG39=Dienste!#REF!,Dienste!#REF!,IF(AG39=Dienste!#REF!,Dienste!#REF!,IF(AG39=Dienste!$A$33,Dienste!$C$33,IF(AG39=Dienste!$A$34,Dienste!$C$34,IF(AG39=Dienste!$A$35,Dienste!$C$35,IF(AG39=Dienste!$A$36,Dienste!$C$36,)))))))))))))))))))))))))))))))))))</f>
        <v>#REF!</v>
      </c>
      <c r="CB39" s="27" t="e">
        <f>IF(AH39=Dienste!$A$2,Dienste!$C$2,IF(AH39=Dienste!$A$3,Dienste!$C$3,IF(AH39=Dienste!$A$4,Dienste!$C$4,IF(AH39=Dienste!$A$5,Dienste!$C$5,IF(AH39=Dienste!$A$6,Dienste!$C$6,IF(AH39=Dienste!$A$7,Dienste!$C$7,IF(AH39=Dienste!$A$8,Dienste!$C$8,IF(AH39=Dienste!$A$9,Dienste!$C$9,IF(AH39=Dienste!$A$10,Dienste!$C$10,IF(AH39=Dienste!$A$11,Dienste!$C$11,IF(AH39=Dienste!$A$12,Dienste!$C$12,IF(AH39=Dienste!$A$13,Dienste!$C$13,IF(AH39=Dienste!$A$14,Dienste!$C$14,IF(AH39=Dienste!$A$15,Dienste!$C$15,IF(AH39=Dienste!$A$16,Dienste!$C$16,IF(AH39=Dienste!$A$17,Dienste!$C$17,IF(AH39=Dienste!$A$18,Dienste!$C$18,IF(AH39=Dienste!$A$19,Dienste!$C$19,IF(AH39=Dienste!$A$20,Dienste!$C$20,IF(AH39=Dienste!$A$21,Dienste!$C$21,IF(AH39=Dienste!$A$22,Dienste!$C$22,IF(AH39=Dienste!$A$23,Dienste!$C$23,IF(AH39=Dienste!$A$24,Dienste!$C$24,IF(AH39=Dienste!$A$25,Dienste!$C$25,IF(AH39=Dienste!$A$26,Dienste!$C$26,IF(AH39=Dienste!$A$27,Dienste!$C$27,IF(AH39=Dienste!$A$28,Dienste!$C$28,IF(AH39=Dienste!#REF!,Dienste!#REF!,IF(AH39=Dienste!#REF!,Dienste!#REF!,IF(AH39=Dienste!#REF!,Dienste!#REF!,IF(AH39=Dienste!#REF!,Dienste!#REF!,IF(AH39=Dienste!$A$33,Dienste!$C$33,IF(AH39=Dienste!$A$34,Dienste!$C$34,IF(AH39=Dienste!$A$35,Dienste!$C$35,IF(AH39=Dienste!$A$36,Dienste!$C$36,)))))))))))))))))))))))))))))))))))</f>
        <v>#REF!</v>
      </c>
      <c r="CC39" s="27" t="e">
        <f>IF(AI39=Dienste!$A$2,Dienste!$C$2,IF(AI39=Dienste!$A$3,Dienste!$C$3,IF(AI39=Dienste!$A$4,Dienste!$C$4,IF(AI39=Dienste!$A$5,Dienste!$C$5,IF(AI39=Dienste!$A$6,Dienste!$C$6,IF(AI39=Dienste!$A$7,Dienste!$C$7,IF(AI39=Dienste!$A$8,Dienste!$C$8,IF(AI39=Dienste!$A$9,Dienste!$C$9,IF(AI39=Dienste!$A$10,Dienste!$C$10,IF(AI39=Dienste!$A$11,Dienste!$C$11,IF(AI39=Dienste!$A$12,Dienste!$C$12,IF(AI39=Dienste!$A$13,Dienste!$C$13,IF(AI39=Dienste!$A$14,Dienste!$C$14,IF(AI39=Dienste!$A$15,Dienste!$C$15,IF(AI39=Dienste!$A$16,Dienste!$C$16,IF(AI39=Dienste!$A$17,Dienste!$C$17,IF(AI39=Dienste!$A$18,Dienste!$C$18,IF(AI39=Dienste!$A$19,Dienste!$C$19,IF(AI39=Dienste!$A$20,Dienste!$C$20,IF(AI39=Dienste!$A$21,Dienste!$C$21,IF(AI39=Dienste!$A$22,Dienste!$C$22,IF(AI39=Dienste!$A$23,Dienste!$C$23,IF(AI39=Dienste!$A$24,Dienste!$C$24,IF(AI39=Dienste!$A$25,Dienste!$C$25,IF(AI39=Dienste!$A$26,Dienste!$C$26,IF(AI39=Dienste!$A$27,Dienste!$C$27,IF(AI39=Dienste!$A$28,Dienste!$C$28,IF(AI39=Dienste!#REF!,Dienste!#REF!,IF(AI39=Dienste!#REF!,Dienste!#REF!,IF(AI39=Dienste!#REF!,Dienste!#REF!,IF(AI39=Dienste!#REF!,Dienste!#REF!,IF(AI39=Dienste!$A$33,Dienste!$C$33,IF(AI39=Dienste!$A$34,Dienste!$C$34,IF(AI39=Dienste!$A$35,Dienste!$C$35,IF(AI39=Dienste!$A$36,Dienste!$C$36,)))))))))))))))))))))))))))))))))))</f>
        <v>#REF!</v>
      </c>
    </row>
    <row r="40" spans="1:81" hidden="1" x14ac:dyDescent="0.25">
      <c r="A40" s="109"/>
      <c r="B40" s="15"/>
      <c r="C40" s="15"/>
      <c r="D40" s="98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4"/>
      <c r="AK40" s="152"/>
      <c r="AL40" s="154"/>
      <c r="AM40" s="152"/>
      <c r="AN40" s="152"/>
      <c r="AO40" s="154"/>
      <c r="AP40" s="152"/>
      <c r="AQ40" s="153"/>
      <c r="AR40" s="154"/>
      <c r="AS40" s="152"/>
      <c r="AT40" s="153"/>
      <c r="AU40" s="27" t="e">
        <f t="shared" si="3"/>
        <v>#REF!</v>
      </c>
      <c r="AV40" s="27" t="e">
        <f t="shared" si="7"/>
        <v>#REF!</v>
      </c>
      <c r="AW40" s="58" t="e">
        <f t="shared" si="6"/>
        <v>#REF!</v>
      </c>
      <c r="AY40" s="27" t="e">
        <f>IF(E40=Dienste!$A$2,Dienste!$C$2,IF(E40=Dienste!$A$3,Dienste!$C$3,IF(E40=Dienste!$A$4,Dienste!$C$4,IF(E40=Dienste!$A$5,Dienste!$C$5,IF(E40=Dienste!$A$6,Dienste!$C$6,IF(E40=Dienste!$A$7,Dienste!$C$7,IF(E40=Dienste!$A$8,Dienste!$C$8,IF(E40=Dienste!$A$9,Dienste!$C$9,IF(E40=Dienste!$A$10,Dienste!$C$10,IF(E40=Dienste!$A$11,Dienste!$C$11,IF(E40=Dienste!$A$12,Dienste!$C$12,IF(E40=Dienste!$A$13,Dienste!$C$13,IF(E40=Dienste!$A$14,Dienste!$C$14,IF(E40=Dienste!$A$15,Dienste!$C$15,IF(E40=Dienste!$A$16,Dienste!$C$16,IF(E40=Dienste!$A$17,Dienste!$C$17,IF(E40=Dienste!$A$18,Dienste!$C$18,IF(E40=Dienste!$A$19,Dienste!$C$19,IF(E40=Dienste!$A$20,Dienste!$C$20,IF(E40=Dienste!$A$21,Dienste!$C$21,IF(E40=Dienste!$A$22,Dienste!$C$22,IF(E40=Dienste!$A$23,Dienste!$C$23,IF(E40=Dienste!$A$24,Dienste!$C$24,IF(E40=Dienste!$A$25,Dienste!$C$25,IF(E40=Dienste!$A$26,Dienste!$C$26,IF(E40=Dienste!$A$27,Dienste!$C$27,IF(E40=Dienste!$A$28,Dienste!$C$28,IF(E40=Dienste!#REF!,Dienste!#REF!,IF(E40=Dienste!#REF!,Dienste!#REF!,IF(E40=Dienste!#REF!,Dienste!#REF!,IF(E40=Dienste!#REF!,Dienste!#REF!,IF(E40=Dienste!$A$33,Dienste!$C$33,IF(E40=Dienste!$A$34,Dienste!$C$34,IF(E40=Dienste!$A$35,Dienste!$C$35,IF(E40=Dienste!$A$36,Dienste!$C$36,)))))))))))))))))))))))))))))))))))</f>
        <v>#REF!</v>
      </c>
      <c r="AZ40" s="27" t="e">
        <f>IF(F40=Dienste!$A$2,Dienste!$C$2,IF(F40=Dienste!$A$3,Dienste!$C$3,IF(F40=Dienste!$A$4,Dienste!$C$4,IF(F40=Dienste!$A$5,Dienste!$C$5,IF(F40=Dienste!$A$6,Dienste!$C$6,IF(F40=Dienste!$A$7,Dienste!$C$7,IF(F40=Dienste!$A$8,Dienste!$C$8,IF(F40=Dienste!$A$9,Dienste!$C$9,IF(F40=Dienste!$A$10,Dienste!$C$10,IF(F40=Dienste!$A$11,Dienste!$C$11,IF(F40=Dienste!$A$12,Dienste!$C$12,IF(F40=Dienste!$A$13,Dienste!$C$13,IF(F40=Dienste!$A$14,Dienste!$C$14,IF(F40=Dienste!$A$15,Dienste!$C$15,IF(F40=Dienste!$A$16,Dienste!$C$16,IF(F40=Dienste!$A$17,Dienste!$C$17,IF(F40=Dienste!$A$18,Dienste!$C$18,IF(F40=Dienste!$A$19,Dienste!$C$19,IF(F40=Dienste!$A$20,Dienste!$C$20,IF(F40=Dienste!$A$21,Dienste!$C$21,IF(F40=Dienste!$A$22,Dienste!$C$22,IF(F40=Dienste!$A$23,Dienste!$C$23,IF(F40=Dienste!$A$24,Dienste!$C$24,IF(F40=Dienste!$A$25,Dienste!$C$25,IF(F40=Dienste!$A$26,Dienste!$C$26,IF(F40=Dienste!$A$27,Dienste!$C$27,IF(F40=Dienste!$A$28,Dienste!$C$28,IF(F40=Dienste!#REF!,Dienste!#REF!,IF(F40=Dienste!#REF!,Dienste!#REF!,IF(F40=Dienste!#REF!,Dienste!#REF!,IF(F40=Dienste!#REF!,Dienste!#REF!,IF(F40=Dienste!$A$33,Dienste!$C$33,IF(F40=Dienste!$A$34,Dienste!$C$34,IF(F40=Dienste!$A$35,Dienste!$C$35,IF(F40=Dienste!$A$36,Dienste!$C$36,)))))))))))))))))))))))))))))))))))</f>
        <v>#REF!</v>
      </c>
      <c r="BA40" s="27" t="e">
        <f>IF(G40=Dienste!$A$2,Dienste!$C$2,IF(G40=Dienste!$A$3,Dienste!$C$3,IF(G40=Dienste!$A$4,Dienste!$C$4,IF(G40=Dienste!$A$5,Dienste!$C$5,IF(G40=Dienste!$A$6,Dienste!$C$6,IF(G40=Dienste!$A$7,Dienste!$C$7,IF(G40=Dienste!$A$8,Dienste!$C$8,IF(G40=Dienste!$A$9,Dienste!$C$9,IF(G40=Dienste!$A$10,Dienste!$C$10,IF(G40=Dienste!$A$11,Dienste!$C$11,IF(G40=Dienste!$A$12,Dienste!$C$12,IF(G40=Dienste!$A$13,Dienste!$C$13,IF(G40=Dienste!$A$14,Dienste!$C$14,IF(G40=Dienste!$A$15,Dienste!$C$15,IF(G40=Dienste!$A$16,Dienste!$C$16,IF(G40=Dienste!$A$17,Dienste!$C$17,IF(G40=Dienste!$A$18,Dienste!$C$18,IF(G40=Dienste!$A$19,Dienste!$C$19,IF(G40=Dienste!$A$20,Dienste!$C$20,IF(G40=Dienste!$A$21,Dienste!$C$21,IF(G40=Dienste!$A$22,Dienste!$C$22,IF(G40=Dienste!$A$23,Dienste!$C$23,IF(G40=Dienste!$A$24,Dienste!$C$24,IF(G40=Dienste!$A$25,Dienste!$C$25,IF(G40=Dienste!$A$26,Dienste!$C$26,IF(G40=Dienste!$A$27,Dienste!$C$27,IF(G40=Dienste!$A$28,Dienste!$C$28,IF(G40=Dienste!#REF!,Dienste!#REF!,IF(G40=Dienste!#REF!,Dienste!#REF!,IF(G40=Dienste!#REF!,Dienste!#REF!,IF(G40=Dienste!#REF!,Dienste!#REF!,IF(G40=Dienste!$A$33,Dienste!$C$33,IF(G40=Dienste!$A$34,Dienste!$C$34,IF(G40=Dienste!$A$35,Dienste!$C$35,IF(G40=Dienste!$A$36,Dienste!$C$36,)))))))))))))))))))))))))))))))))))</f>
        <v>#REF!</v>
      </c>
      <c r="BB40" s="27" t="e">
        <f>IF(H40=Dienste!$A$2,Dienste!$C$2,IF(H40=Dienste!$A$3,Dienste!$C$3,IF(H40=Dienste!$A$4,Dienste!$C$4,IF(H40=Dienste!$A$5,Dienste!$C$5,IF(H40=Dienste!$A$6,Dienste!$C$6,IF(H40=Dienste!$A$7,Dienste!$C$7,IF(H40=Dienste!$A$8,Dienste!$C$8,IF(H40=Dienste!$A$9,Dienste!$C$9,IF(H40=Dienste!$A$10,Dienste!$C$10,IF(H40=Dienste!$A$11,Dienste!$C$11,IF(H40=Dienste!$A$12,Dienste!$C$12,IF(H40=Dienste!$A$13,Dienste!$C$13,IF(H40=Dienste!$A$14,Dienste!$C$14,IF(H40=Dienste!$A$15,Dienste!$C$15,IF(H40=Dienste!$A$16,Dienste!$C$16,IF(H40=Dienste!$A$17,Dienste!$C$17,IF(H40=Dienste!$A$18,Dienste!$C$18,IF(H40=Dienste!$A$19,Dienste!$C$19,IF(H40=Dienste!$A$20,Dienste!$C$20,IF(H40=Dienste!$A$21,Dienste!$C$21,IF(H40=Dienste!$A$22,Dienste!$C$22,IF(H40=Dienste!$A$23,Dienste!$C$23,IF(H40=Dienste!$A$24,Dienste!$C$24,IF(H40=Dienste!$A$25,Dienste!$C$25,IF(H40=Dienste!$A$26,Dienste!$C$26,IF(H40=Dienste!$A$27,Dienste!$C$27,IF(H40=Dienste!$A$28,Dienste!$C$28,IF(H40=Dienste!#REF!,Dienste!#REF!,IF(H40=Dienste!#REF!,Dienste!#REF!,IF(H40=Dienste!#REF!,Dienste!#REF!,IF(H40=Dienste!#REF!,Dienste!#REF!,IF(H40=Dienste!$A$33,Dienste!$C$33,IF(H40=Dienste!$A$34,Dienste!$C$34,IF(H40=Dienste!$A$35,Dienste!$C$35,IF(H40=Dienste!$A$36,Dienste!$C$36,)))))))))))))))))))))))))))))))))))</f>
        <v>#REF!</v>
      </c>
      <c r="BC40" s="27" t="e">
        <f>IF(I40=Dienste!$A$2,Dienste!$C$2,IF(I40=Dienste!$A$3,Dienste!$C$3,IF(I40=Dienste!$A$4,Dienste!$C$4,IF(I40=Dienste!$A$5,Dienste!$C$5,IF(I40=Dienste!$A$6,Dienste!$C$6,IF(I40=Dienste!$A$7,Dienste!$C$7,IF(I40=Dienste!$A$8,Dienste!$C$8,IF(I40=Dienste!$A$9,Dienste!$C$9,IF(I40=Dienste!$A$10,Dienste!$C$10,IF(I40=Dienste!$A$11,Dienste!$C$11,IF(I40=Dienste!$A$12,Dienste!$C$12,IF(I40=Dienste!$A$13,Dienste!$C$13,IF(I40=Dienste!$A$14,Dienste!$C$14,IF(I40=Dienste!$A$15,Dienste!$C$15,IF(I40=Dienste!$A$16,Dienste!$C$16,IF(I40=Dienste!$A$17,Dienste!$C$17,IF(I40=Dienste!$A$18,Dienste!$C$18,IF(I40=Dienste!$A$19,Dienste!$C$19,IF(I40=Dienste!$A$20,Dienste!$C$20,IF(I40=Dienste!$A$21,Dienste!$C$21,IF(I40=Dienste!$A$22,Dienste!$C$22,IF(I40=Dienste!$A$23,Dienste!$C$23,IF(I40=Dienste!$A$24,Dienste!$C$24,IF(I40=Dienste!$A$25,Dienste!$C$25,IF(I40=Dienste!$A$26,Dienste!$C$26,IF(I40=Dienste!$A$27,Dienste!$C$27,IF(I40=Dienste!$A$28,Dienste!$C$28,IF(I40=Dienste!#REF!,Dienste!#REF!,IF(I40=Dienste!#REF!,Dienste!#REF!,IF(I40=Dienste!#REF!,Dienste!#REF!,IF(I40=Dienste!#REF!,Dienste!#REF!,IF(I40=Dienste!$A$33,Dienste!$C$33,IF(I40=Dienste!$A$34,Dienste!$C$34,IF(I40=Dienste!$A$35,Dienste!$C$35,IF(I40=Dienste!$A$36,Dienste!$C$36,)))))))))))))))))))))))))))))))))))</f>
        <v>#REF!</v>
      </c>
      <c r="BD40" s="27" t="e">
        <f>IF(J40=Dienste!$A$2,Dienste!$C$2,IF(J40=Dienste!$A$3,Dienste!$C$3,IF(J40=Dienste!$A$4,Dienste!$C$4,IF(J40=Dienste!$A$5,Dienste!$C$5,IF(J40=Dienste!$A$6,Dienste!$C$6,IF(J40=Dienste!$A$7,Dienste!$C$7,IF(J40=Dienste!$A$8,Dienste!$C$8,IF(J40=Dienste!$A$9,Dienste!$C$9,IF(J40=Dienste!$A$10,Dienste!$C$10,IF(J40=Dienste!$A$11,Dienste!$C$11,IF(J40=Dienste!$A$12,Dienste!$C$12,IF(J40=Dienste!$A$13,Dienste!$C$13,IF(J40=Dienste!$A$14,Dienste!$C$14,IF(J40=Dienste!$A$15,Dienste!$C$15,IF(J40=Dienste!$A$16,Dienste!$C$16,IF(J40=Dienste!$A$17,Dienste!$C$17,IF(J40=Dienste!$A$18,Dienste!$C$18,IF(J40=Dienste!$A$19,Dienste!$C$19,IF(J40=Dienste!$A$20,Dienste!$C$20,IF(J40=Dienste!$A$21,Dienste!$C$21,IF(J40=Dienste!$A$22,Dienste!$C$22,IF(J40=Dienste!$A$23,Dienste!$C$23,IF(J40=Dienste!$A$24,Dienste!$C$24,IF(J40=Dienste!$A$25,Dienste!$C$25,IF(J40=Dienste!$A$26,Dienste!$C$26,IF(J40=Dienste!$A$27,Dienste!$C$27,IF(J40=Dienste!$A$28,Dienste!$C$28,IF(J40=Dienste!#REF!,Dienste!#REF!,IF(J40=Dienste!#REF!,Dienste!#REF!,IF(J40=Dienste!#REF!,Dienste!#REF!,IF(J40=Dienste!#REF!,Dienste!#REF!,IF(J40=Dienste!$A$33,Dienste!$C$33,IF(J40=Dienste!$A$34,Dienste!$C$34,IF(J40=Dienste!$A$35,Dienste!$C$35,IF(J40=Dienste!$A$36,Dienste!$C$36,)))))))))))))))))))))))))))))))))))</f>
        <v>#REF!</v>
      </c>
      <c r="BE40" s="27" t="e">
        <f>IF(K40=Dienste!$A$2,Dienste!$C$2,IF(K40=Dienste!$A$3,Dienste!$C$3,IF(K40=Dienste!$A$4,Dienste!$C$4,IF(K40=Dienste!$A$5,Dienste!$C$5,IF(K40=Dienste!$A$6,Dienste!$C$6,IF(K40=Dienste!$A$7,Dienste!$C$7,IF(K40=Dienste!$A$8,Dienste!$C$8,IF(K40=Dienste!$A$9,Dienste!$C$9,IF(K40=Dienste!$A$10,Dienste!$C$10,IF(K40=Dienste!$A$11,Dienste!$C$11,IF(K40=Dienste!$A$12,Dienste!$C$12,IF(K40=Dienste!$A$13,Dienste!$C$13,IF(K40=Dienste!$A$14,Dienste!$C$14,IF(K40=Dienste!$A$15,Dienste!$C$15,IF(K40=Dienste!$A$16,Dienste!$C$16,IF(K40=Dienste!$A$17,Dienste!$C$17,IF(K40=Dienste!$A$18,Dienste!$C$18,IF(K40=Dienste!$A$19,Dienste!$C$19,IF(K40=Dienste!$A$20,Dienste!$C$20,IF(K40=Dienste!$A$21,Dienste!$C$21,IF(K40=Dienste!$A$22,Dienste!$C$22,IF(K40=Dienste!$A$23,Dienste!$C$23,IF(K40=Dienste!$A$24,Dienste!$C$24,IF(K40=Dienste!$A$25,Dienste!$C$25,IF(K40=Dienste!$A$26,Dienste!$C$26,IF(K40=Dienste!$A$27,Dienste!$C$27,IF(K40=Dienste!$A$28,Dienste!$C$28,IF(K40=Dienste!#REF!,Dienste!#REF!,IF(K40=Dienste!#REF!,Dienste!#REF!,IF(K40=Dienste!#REF!,Dienste!#REF!,IF(K40=Dienste!#REF!,Dienste!#REF!,IF(K40=Dienste!$A$33,Dienste!$C$33,IF(K40=Dienste!$A$34,Dienste!$C$34,IF(K40=Dienste!$A$35,Dienste!$C$35,IF(K40=Dienste!$A$36,Dienste!$C$36,)))))))))))))))))))))))))))))))))))</f>
        <v>#REF!</v>
      </c>
      <c r="BF40" s="27" t="e">
        <f>IF(L40=Dienste!$A$2,Dienste!$C$2,IF(L40=Dienste!$A$3,Dienste!$C$3,IF(L40=Dienste!$A$4,Dienste!$C$4,IF(L40=Dienste!$A$5,Dienste!$C$5,IF(L40=Dienste!$A$6,Dienste!$C$6,IF(L40=Dienste!$A$7,Dienste!$C$7,IF(L40=Dienste!$A$8,Dienste!$C$8,IF(L40=Dienste!$A$9,Dienste!$C$9,IF(L40=Dienste!$A$10,Dienste!$C$10,IF(L40=Dienste!$A$11,Dienste!$C$11,IF(L40=Dienste!$A$12,Dienste!$C$12,IF(L40=Dienste!$A$13,Dienste!$C$13,IF(L40=Dienste!$A$14,Dienste!$C$14,IF(L40=Dienste!$A$15,Dienste!$C$15,IF(L40=Dienste!$A$16,Dienste!$C$16,IF(L40=Dienste!$A$17,Dienste!$C$17,IF(L40=Dienste!$A$18,Dienste!$C$18,IF(L40=Dienste!$A$19,Dienste!$C$19,IF(L40=Dienste!$A$20,Dienste!$C$20,IF(L40=Dienste!$A$21,Dienste!$C$21,IF(L40=Dienste!$A$22,Dienste!$C$22,IF(L40=Dienste!$A$23,Dienste!$C$23,IF(L40=Dienste!$A$24,Dienste!$C$24,IF(L40=Dienste!$A$25,Dienste!$C$25,IF(L40=Dienste!$A$26,Dienste!$C$26,IF(L40=Dienste!$A$27,Dienste!$C$27,IF(L40=Dienste!$A$28,Dienste!$C$28,IF(L40=Dienste!#REF!,Dienste!#REF!,IF(L40=Dienste!#REF!,Dienste!#REF!,IF(L40=Dienste!#REF!,Dienste!#REF!,IF(L40=Dienste!#REF!,Dienste!#REF!,IF(L40=Dienste!$A$33,Dienste!$C$33,IF(L40=Dienste!$A$34,Dienste!$C$34,IF(L40=Dienste!$A$35,Dienste!$C$35,IF(L40=Dienste!$A$36,Dienste!$C$36,)))))))))))))))))))))))))))))))))))</f>
        <v>#REF!</v>
      </c>
      <c r="BG40" s="27" t="e">
        <f>IF(M40=Dienste!$A$2,Dienste!$C$2,IF(M40=Dienste!$A$3,Dienste!$C$3,IF(M40=Dienste!$A$4,Dienste!$C$4,IF(M40=Dienste!$A$5,Dienste!$C$5,IF(M40=Dienste!$A$6,Dienste!$C$6,IF(M40=Dienste!$A$7,Dienste!$C$7,IF(M40=Dienste!$A$8,Dienste!$C$8,IF(M40=Dienste!$A$9,Dienste!$C$9,IF(M40=Dienste!$A$10,Dienste!$C$10,IF(M40=Dienste!$A$11,Dienste!$C$11,IF(M40=Dienste!$A$12,Dienste!$C$12,IF(M40=Dienste!$A$13,Dienste!$C$13,IF(M40=Dienste!$A$14,Dienste!$C$14,IF(M40=Dienste!$A$15,Dienste!$C$15,IF(M40=Dienste!$A$16,Dienste!$C$16,IF(M40=Dienste!$A$17,Dienste!$C$17,IF(M40=Dienste!$A$18,Dienste!$C$18,IF(M40=Dienste!$A$19,Dienste!$C$19,IF(M40=Dienste!$A$20,Dienste!$C$20,IF(M40=Dienste!$A$21,Dienste!$C$21,IF(M40=Dienste!$A$22,Dienste!$C$22,IF(M40=Dienste!$A$23,Dienste!$C$23,IF(M40=Dienste!$A$24,Dienste!$C$24,IF(M40=Dienste!$A$25,Dienste!$C$25,IF(M40=Dienste!$A$26,Dienste!$C$26,IF(M40=Dienste!$A$27,Dienste!$C$27,IF(M40=Dienste!$A$28,Dienste!$C$28,IF(M40=Dienste!#REF!,Dienste!#REF!,IF(M40=Dienste!#REF!,Dienste!#REF!,IF(M40=Dienste!#REF!,Dienste!#REF!,IF(M40=Dienste!#REF!,Dienste!#REF!,IF(M40=Dienste!$A$33,Dienste!$C$33,IF(M40=Dienste!$A$34,Dienste!$C$34,IF(M40=Dienste!$A$35,Dienste!$C$35,IF(M40=Dienste!$A$36,Dienste!$C$36,)))))))))))))))))))))))))))))))))))</f>
        <v>#REF!</v>
      </c>
      <c r="BH40" s="27" t="e">
        <f>IF(N40=Dienste!$A$2,Dienste!$C$2,IF(N40=Dienste!$A$3,Dienste!$C$3,IF(N40=Dienste!$A$4,Dienste!$C$4,IF(N40=Dienste!$A$5,Dienste!$C$5,IF(N40=Dienste!$A$6,Dienste!$C$6,IF(N40=Dienste!$A$7,Dienste!$C$7,IF(N40=Dienste!$A$8,Dienste!$C$8,IF(N40=Dienste!$A$9,Dienste!$C$9,IF(N40=Dienste!$A$10,Dienste!$C$10,IF(N40=Dienste!$A$11,Dienste!$C$11,IF(N40=Dienste!$A$12,Dienste!$C$12,IF(N40=Dienste!$A$13,Dienste!$C$13,IF(N40=Dienste!$A$14,Dienste!$C$14,IF(N40=Dienste!$A$15,Dienste!$C$15,IF(N40=Dienste!$A$16,Dienste!$C$16,IF(N40=Dienste!$A$17,Dienste!$C$17,IF(N40=Dienste!$A$18,Dienste!$C$18,IF(N40=Dienste!$A$19,Dienste!$C$19,IF(N40=Dienste!$A$20,Dienste!$C$20,IF(N40=Dienste!$A$21,Dienste!$C$21,IF(N40=Dienste!$A$22,Dienste!$C$22,IF(N40=Dienste!$A$23,Dienste!$C$23,IF(N40=Dienste!$A$24,Dienste!$C$24,IF(N40=Dienste!$A$25,Dienste!$C$25,IF(N40=Dienste!$A$26,Dienste!$C$26,IF(N40=Dienste!$A$27,Dienste!$C$27,IF(N40=Dienste!$A$28,Dienste!$C$28,IF(N40=Dienste!#REF!,Dienste!#REF!,IF(N40=Dienste!#REF!,Dienste!#REF!,IF(N40=Dienste!#REF!,Dienste!#REF!,IF(N40=Dienste!#REF!,Dienste!#REF!,IF(N40=Dienste!$A$33,Dienste!$C$33,IF(N40=Dienste!$A$34,Dienste!$C$34,IF(N40=Dienste!$A$35,Dienste!$C$35,IF(N40=Dienste!$A$36,Dienste!$C$36,)))))))))))))))))))))))))))))))))))</f>
        <v>#REF!</v>
      </c>
      <c r="BI40" s="27" t="e">
        <f>IF(O40=Dienste!$A$2,Dienste!$C$2,IF(O40=Dienste!$A$3,Dienste!$C$3,IF(O40=Dienste!$A$4,Dienste!$C$4,IF(O40=Dienste!$A$5,Dienste!$C$5,IF(O40=Dienste!$A$6,Dienste!$C$6,IF(O40=Dienste!$A$7,Dienste!$C$7,IF(O40=Dienste!$A$8,Dienste!$C$8,IF(O40=Dienste!$A$9,Dienste!$C$9,IF(O40=Dienste!$A$10,Dienste!$C$10,IF(O40=Dienste!$A$11,Dienste!$C$11,IF(O40=Dienste!$A$12,Dienste!$C$12,IF(O40=Dienste!$A$13,Dienste!$C$13,IF(O40=Dienste!$A$14,Dienste!$C$14,IF(O40=Dienste!$A$15,Dienste!$C$15,IF(O40=Dienste!$A$16,Dienste!$C$16,IF(O40=Dienste!$A$17,Dienste!$C$17,IF(O40=Dienste!$A$18,Dienste!$C$18,IF(O40=Dienste!$A$19,Dienste!$C$19,IF(O40=Dienste!$A$20,Dienste!$C$20,IF(O40=Dienste!$A$21,Dienste!$C$21,IF(O40=Dienste!$A$22,Dienste!$C$22,IF(O40=Dienste!$A$23,Dienste!$C$23,IF(O40=Dienste!$A$24,Dienste!$C$24,IF(O40=Dienste!$A$25,Dienste!$C$25,IF(O40=Dienste!$A$26,Dienste!$C$26,IF(O40=Dienste!$A$27,Dienste!$C$27,IF(O40=Dienste!$A$28,Dienste!$C$28,IF(O40=Dienste!#REF!,Dienste!#REF!,IF(O40=Dienste!#REF!,Dienste!#REF!,IF(O40=Dienste!#REF!,Dienste!#REF!,IF(O40=Dienste!#REF!,Dienste!#REF!,IF(O40=Dienste!$A$33,Dienste!$C$33,IF(O40=Dienste!$A$34,Dienste!$C$34,IF(O40=Dienste!$A$35,Dienste!$C$35,IF(O40=Dienste!$A$36,Dienste!$C$36,)))))))))))))))))))))))))))))))))))</f>
        <v>#REF!</v>
      </c>
      <c r="BJ40" s="27" t="e">
        <f>IF(P40=Dienste!$A$2,Dienste!$C$2,IF(P40=Dienste!$A$3,Dienste!$C$3,IF(P40=Dienste!$A$4,Dienste!$C$4,IF(P40=Dienste!$A$5,Dienste!$C$5,IF(P40=Dienste!$A$6,Dienste!$C$6,IF(P40=Dienste!$A$7,Dienste!$C$7,IF(P40=Dienste!$A$8,Dienste!$C$8,IF(P40=Dienste!$A$9,Dienste!$C$9,IF(P40=Dienste!$A$10,Dienste!$C$10,IF(P40=Dienste!$A$11,Dienste!$C$11,IF(P40=Dienste!$A$12,Dienste!$C$12,IF(P40=Dienste!$A$13,Dienste!$C$13,IF(P40=Dienste!$A$14,Dienste!$C$14,IF(P40=Dienste!$A$15,Dienste!$C$15,IF(P40=Dienste!$A$16,Dienste!$C$16,IF(P40=Dienste!$A$17,Dienste!$C$17,IF(P40=Dienste!$A$18,Dienste!$C$18,IF(P40=Dienste!$A$19,Dienste!$C$19,IF(P40=Dienste!$A$20,Dienste!$C$20,IF(P40=Dienste!$A$21,Dienste!$C$21,IF(P40=Dienste!$A$22,Dienste!$C$22,IF(P40=Dienste!$A$23,Dienste!$C$23,IF(P40=Dienste!$A$24,Dienste!$C$24,IF(P40=Dienste!$A$25,Dienste!$C$25,IF(P40=Dienste!$A$26,Dienste!$C$26,IF(P40=Dienste!$A$27,Dienste!$C$27,IF(P40=Dienste!$A$28,Dienste!$C$28,IF(P40=Dienste!#REF!,Dienste!#REF!,IF(P40=Dienste!#REF!,Dienste!#REF!,IF(P40=Dienste!#REF!,Dienste!#REF!,IF(P40=Dienste!#REF!,Dienste!#REF!,IF(P40=Dienste!$A$33,Dienste!$C$33,IF(P40=Dienste!$A$34,Dienste!$C$34,IF(P40=Dienste!$A$35,Dienste!$C$35,IF(P40=Dienste!$A$36,Dienste!$C$36,)))))))))))))))))))))))))))))))))))</f>
        <v>#REF!</v>
      </c>
      <c r="BK40" s="27" t="e">
        <f>IF(Q40=Dienste!$A$2,Dienste!$C$2,IF(Q40=Dienste!$A$3,Dienste!$C$3,IF(Q40=Dienste!$A$4,Dienste!$C$4,IF(Q40=Dienste!$A$5,Dienste!$C$5,IF(Q40=Dienste!$A$6,Dienste!$C$6,IF(Q40=Dienste!$A$7,Dienste!$C$7,IF(Q40=Dienste!$A$8,Dienste!$C$8,IF(Q40=Dienste!$A$9,Dienste!$C$9,IF(Q40=Dienste!$A$10,Dienste!$C$10,IF(Q40=Dienste!$A$11,Dienste!$C$11,IF(Q40=Dienste!$A$12,Dienste!$C$12,IF(Q40=Dienste!$A$13,Dienste!$C$13,IF(Q40=Dienste!$A$14,Dienste!$C$14,IF(Q40=Dienste!$A$15,Dienste!$C$15,IF(Q40=Dienste!$A$16,Dienste!$C$16,IF(Q40=Dienste!$A$17,Dienste!$C$17,IF(Q40=Dienste!$A$18,Dienste!$C$18,IF(Q40=Dienste!$A$19,Dienste!$C$19,IF(Q40=Dienste!$A$20,Dienste!$C$20,IF(Q40=Dienste!$A$21,Dienste!$C$21,IF(Q40=Dienste!$A$22,Dienste!$C$22,IF(Q40=Dienste!$A$23,Dienste!$C$23,IF(Q40=Dienste!$A$24,Dienste!$C$24,IF(Q40=Dienste!$A$25,Dienste!$C$25,IF(Q40=Dienste!$A$26,Dienste!$C$26,IF(Q40=Dienste!$A$27,Dienste!$C$27,IF(Q40=Dienste!$A$28,Dienste!$C$28,IF(Q40=Dienste!#REF!,Dienste!#REF!,IF(Q40=Dienste!#REF!,Dienste!#REF!,IF(Q40=Dienste!#REF!,Dienste!#REF!,IF(Q40=Dienste!#REF!,Dienste!#REF!,IF(Q40=Dienste!$A$33,Dienste!$C$33,IF(Q40=Dienste!$A$34,Dienste!$C$34,IF(Q40=Dienste!$A$35,Dienste!$C$35,IF(Q40=Dienste!$A$36,Dienste!$C$36,)))))))))))))))))))))))))))))))))))</f>
        <v>#REF!</v>
      </c>
      <c r="BL40" s="27" t="e">
        <f>IF(R40=Dienste!$A$2,Dienste!$C$2,IF(R40=Dienste!$A$3,Dienste!$C$3,IF(R40=Dienste!$A$4,Dienste!$C$4,IF(R40=Dienste!$A$5,Dienste!$C$5,IF(R40=Dienste!$A$6,Dienste!$C$6,IF(R40=Dienste!$A$7,Dienste!$C$7,IF(R40=Dienste!$A$8,Dienste!$C$8,IF(R40=Dienste!$A$9,Dienste!$C$9,IF(R40=Dienste!$A$10,Dienste!$C$10,IF(R40=Dienste!$A$11,Dienste!$C$11,IF(R40=Dienste!$A$12,Dienste!$C$12,IF(R40=Dienste!$A$13,Dienste!$C$13,IF(R40=Dienste!$A$14,Dienste!$C$14,IF(R40=Dienste!$A$15,Dienste!$C$15,IF(R40=Dienste!$A$16,Dienste!$C$16,IF(R40=Dienste!$A$17,Dienste!$C$17,IF(R40=Dienste!$A$18,Dienste!$C$18,IF(R40=Dienste!$A$19,Dienste!$C$19,IF(R40=Dienste!$A$20,Dienste!$C$20,IF(R40=Dienste!$A$21,Dienste!$C$21,IF(R40=Dienste!$A$22,Dienste!$C$22,IF(R40=Dienste!$A$23,Dienste!$C$23,IF(R40=Dienste!$A$24,Dienste!$C$24,IF(R40=Dienste!$A$25,Dienste!$C$25,IF(R40=Dienste!$A$26,Dienste!$C$26,IF(R40=Dienste!$A$27,Dienste!$C$27,IF(R40=Dienste!$A$28,Dienste!$C$28,IF(R40=Dienste!#REF!,Dienste!#REF!,IF(R40=Dienste!#REF!,Dienste!#REF!,IF(R40=Dienste!#REF!,Dienste!#REF!,IF(R40=Dienste!#REF!,Dienste!#REF!,IF(R40=Dienste!$A$33,Dienste!$C$33,IF(R40=Dienste!$A$34,Dienste!$C$34,IF(R40=Dienste!$A$35,Dienste!$C$35,IF(R40=Dienste!$A$36,Dienste!$C$36,)))))))))))))))))))))))))))))))))))</f>
        <v>#REF!</v>
      </c>
      <c r="BM40" s="27" t="e">
        <f>IF(S40=Dienste!$A$2,Dienste!$C$2,IF(S40=Dienste!$A$3,Dienste!$C$3,IF(S40=Dienste!$A$4,Dienste!$C$4,IF(S40=Dienste!$A$5,Dienste!$C$5,IF(S40=Dienste!$A$6,Dienste!$C$6,IF(S40=Dienste!$A$7,Dienste!$C$7,IF(S40=Dienste!$A$8,Dienste!$C$8,IF(S40=Dienste!$A$9,Dienste!$C$9,IF(S40=Dienste!$A$10,Dienste!$C$10,IF(S40=Dienste!$A$11,Dienste!$C$11,IF(S40=Dienste!$A$12,Dienste!$C$12,IF(S40=Dienste!$A$13,Dienste!$C$13,IF(S40=Dienste!$A$14,Dienste!$C$14,IF(S40=Dienste!$A$15,Dienste!$C$15,IF(S40=Dienste!$A$16,Dienste!$C$16,IF(S40=Dienste!$A$17,Dienste!$C$17,IF(S40=Dienste!$A$18,Dienste!$C$18,IF(S40=Dienste!$A$19,Dienste!$C$19,IF(S40=Dienste!$A$20,Dienste!$C$20,IF(S40=Dienste!$A$21,Dienste!$C$21,IF(S40=Dienste!$A$22,Dienste!$C$22,IF(S40=Dienste!$A$23,Dienste!$C$23,IF(S40=Dienste!$A$24,Dienste!$C$24,IF(S40=Dienste!$A$25,Dienste!$C$25,IF(S40=Dienste!$A$26,Dienste!$C$26,IF(S40=Dienste!$A$27,Dienste!$C$27,IF(S40=Dienste!$A$28,Dienste!$C$28,IF(S40=Dienste!#REF!,Dienste!#REF!,IF(S40=Dienste!#REF!,Dienste!#REF!,IF(S40=Dienste!#REF!,Dienste!#REF!,IF(S40=Dienste!#REF!,Dienste!#REF!,IF(S40=Dienste!$A$33,Dienste!$C$33,IF(S40=Dienste!$A$34,Dienste!$C$34,IF(S40=Dienste!$A$35,Dienste!$C$35,IF(S40=Dienste!$A$36,Dienste!$C$36,)))))))))))))))))))))))))))))))))))</f>
        <v>#REF!</v>
      </c>
      <c r="BN40" s="27" t="e">
        <f>IF(T40=Dienste!$A$2,Dienste!$C$2,IF(T40=Dienste!$A$3,Dienste!$C$3,IF(T40=Dienste!$A$4,Dienste!$C$4,IF(T40=Dienste!$A$5,Dienste!$C$5,IF(T40=Dienste!$A$6,Dienste!$C$6,IF(T40=Dienste!$A$7,Dienste!$C$7,IF(T40=Dienste!$A$8,Dienste!$C$8,IF(T40=Dienste!$A$9,Dienste!$C$9,IF(T40=Dienste!$A$10,Dienste!$C$10,IF(T40=Dienste!$A$11,Dienste!$C$11,IF(T40=Dienste!$A$12,Dienste!$C$12,IF(T40=Dienste!$A$13,Dienste!$C$13,IF(T40=Dienste!$A$14,Dienste!$C$14,IF(T40=Dienste!$A$15,Dienste!$C$15,IF(T40=Dienste!$A$16,Dienste!$C$16,IF(T40=Dienste!$A$17,Dienste!$C$17,IF(T40=Dienste!$A$18,Dienste!$C$18,IF(T40=Dienste!$A$19,Dienste!$C$19,IF(T40=Dienste!$A$20,Dienste!$C$20,IF(T40=Dienste!$A$21,Dienste!$C$21,IF(T40=Dienste!$A$22,Dienste!$C$22,IF(T40=Dienste!$A$23,Dienste!$C$23,IF(T40=Dienste!$A$24,Dienste!$C$24,IF(T40=Dienste!$A$25,Dienste!$C$25,IF(T40=Dienste!$A$26,Dienste!$C$26,IF(T40=Dienste!$A$27,Dienste!$C$27,IF(T40=Dienste!$A$28,Dienste!$C$28,IF(T40=Dienste!#REF!,Dienste!#REF!,IF(T40=Dienste!#REF!,Dienste!#REF!,IF(T40=Dienste!#REF!,Dienste!#REF!,IF(T40=Dienste!#REF!,Dienste!#REF!,IF(T40=Dienste!$A$33,Dienste!$C$33,IF(T40=Dienste!$A$34,Dienste!$C$34,IF(T40=Dienste!$A$35,Dienste!$C$35,IF(T40=Dienste!$A$36,Dienste!$C$36,)))))))))))))))))))))))))))))))))))</f>
        <v>#REF!</v>
      </c>
      <c r="BO40" s="27" t="e">
        <f>IF(U40=Dienste!$A$2,Dienste!$C$2,IF(U40=Dienste!$A$3,Dienste!$C$3,IF(U40=Dienste!$A$4,Dienste!$C$4,IF(U40=Dienste!$A$5,Dienste!$C$5,IF(U40=Dienste!$A$6,Dienste!$C$6,IF(U40=Dienste!$A$7,Dienste!$C$7,IF(U40=Dienste!$A$8,Dienste!$C$8,IF(U40=Dienste!$A$9,Dienste!$C$9,IF(U40=Dienste!$A$10,Dienste!$C$10,IF(U40=Dienste!$A$11,Dienste!$C$11,IF(U40=Dienste!$A$12,Dienste!$C$12,IF(U40=Dienste!$A$13,Dienste!$C$13,IF(U40=Dienste!$A$14,Dienste!$C$14,IF(U40=Dienste!$A$15,Dienste!$C$15,IF(U40=Dienste!$A$16,Dienste!$C$16,IF(U40=Dienste!$A$17,Dienste!$C$17,IF(U40=Dienste!$A$18,Dienste!$C$18,IF(U40=Dienste!$A$19,Dienste!$C$19,IF(U40=Dienste!$A$20,Dienste!$C$20,IF(U40=Dienste!$A$21,Dienste!$C$21,IF(U40=Dienste!$A$22,Dienste!$C$22,IF(U40=Dienste!$A$23,Dienste!$C$23,IF(U40=Dienste!$A$24,Dienste!$C$24,IF(U40=Dienste!$A$25,Dienste!$C$25,IF(U40=Dienste!$A$26,Dienste!$C$26,IF(U40=Dienste!$A$27,Dienste!$C$27,IF(U40=Dienste!$A$28,Dienste!$C$28,IF(U40=Dienste!#REF!,Dienste!#REF!,IF(U40=Dienste!#REF!,Dienste!#REF!,IF(U40=Dienste!#REF!,Dienste!#REF!,IF(U40=Dienste!#REF!,Dienste!#REF!,IF(U40=Dienste!$A$33,Dienste!$C$33,IF(U40=Dienste!$A$34,Dienste!$C$34,IF(U40=Dienste!$A$35,Dienste!$C$35,IF(U40=Dienste!$A$36,Dienste!$C$36,)))))))))))))))))))))))))))))))))))</f>
        <v>#REF!</v>
      </c>
      <c r="BP40" s="27" t="e">
        <f>IF(V40=Dienste!$A$2,Dienste!$C$2,IF(V40=Dienste!$A$3,Dienste!$C$3,IF(V40=Dienste!$A$4,Dienste!$C$4,IF(V40=Dienste!$A$5,Dienste!$C$5,IF(V40=Dienste!$A$6,Dienste!$C$6,IF(V40=Dienste!$A$7,Dienste!$C$7,IF(V40=Dienste!$A$8,Dienste!$C$8,IF(V40=Dienste!$A$9,Dienste!$C$9,IF(V40=Dienste!$A$10,Dienste!$C$10,IF(V40=Dienste!$A$11,Dienste!$C$11,IF(V40=Dienste!$A$12,Dienste!$C$12,IF(V40=Dienste!$A$13,Dienste!$C$13,IF(V40=Dienste!$A$14,Dienste!$C$14,IF(V40=Dienste!$A$15,Dienste!$C$15,IF(V40=Dienste!$A$16,Dienste!$C$16,IF(V40=Dienste!$A$17,Dienste!$C$17,IF(V40=Dienste!$A$18,Dienste!$C$18,IF(V40=Dienste!$A$19,Dienste!$C$19,IF(V40=Dienste!$A$20,Dienste!$C$20,IF(V40=Dienste!$A$21,Dienste!$C$21,IF(V40=Dienste!$A$22,Dienste!$C$22,IF(V40=Dienste!$A$23,Dienste!$C$23,IF(V40=Dienste!$A$24,Dienste!$C$24,IF(V40=Dienste!$A$25,Dienste!$C$25,IF(V40=Dienste!$A$26,Dienste!$C$26,IF(V40=Dienste!$A$27,Dienste!$C$27,IF(V40=Dienste!$A$28,Dienste!$C$28,IF(V40=Dienste!#REF!,Dienste!#REF!,IF(V40=Dienste!#REF!,Dienste!#REF!,IF(V40=Dienste!#REF!,Dienste!#REF!,IF(V40=Dienste!#REF!,Dienste!#REF!,IF(V40=Dienste!$A$33,Dienste!$C$33,IF(V40=Dienste!$A$34,Dienste!$C$34,IF(V40=Dienste!$A$35,Dienste!$C$35,IF(V40=Dienste!$A$36,Dienste!$C$36,)))))))))))))))))))))))))))))))))))</f>
        <v>#REF!</v>
      </c>
      <c r="BQ40" s="27" t="e">
        <f>IF(W40=Dienste!$A$2,Dienste!$C$2,IF(W40=Dienste!$A$3,Dienste!$C$3,IF(W40=Dienste!$A$4,Dienste!$C$4,IF(W40=Dienste!$A$5,Dienste!$C$5,IF(W40=Dienste!$A$6,Dienste!$C$6,IF(W40=Dienste!$A$7,Dienste!$C$7,IF(W40=Dienste!$A$8,Dienste!$C$8,IF(W40=Dienste!$A$9,Dienste!$C$9,IF(W40=Dienste!$A$10,Dienste!$C$10,IF(W40=Dienste!$A$11,Dienste!$C$11,IF(W40=Dienste!$A$12,Dienste!$C$12,IF(W40=Dienste!$A$13,Dienste!$C$13,IF(W40=Dienste!$A$14,Dienste!$C$14,IF(W40=Dienste!$A$15,Dienste!$C$15,IF(W40=Dienste!$A$16,Dienste!$C$16,IF(W40=Dienste!$A$17,Dienste!$C$17,IF(W40=Dienste!$A$18,Dienste!$C$18,IF(W40=Dienste!$A$19,Dienste!$C$19,IF(W40=Dienste!$A$20,Dienste!$C$20,IF(W40=Dienste!$A$21,Dienste!$C$21,IF(W40=Dienste!$A$22,Dienste!$C$22,IF(W40=Dienste!$A$23,Dienste!$C$23,IF(W40=Dienste!$A$24,Dienste!$C$24,IF(W40=Dienste!$A$25,Dienste!$C$25,IF(W40=Dienste!$A$26,Dienste!$C$26,IF(W40=Dienste!$A$27,Dienste!$C$27,IF(W40=Dienste!$A$28,Dienste!$C$28,IF(W40=Dienste!#REF!,Dienste!#REF!,IF(W40=Dienste!#REF!,Dienste!#REF!,IF(W40=Dienste!#REF!,Dienste!#REF!,IF(W40=Dienste!#REF!,Dienste!#REF!,IF(W40=Dienste!$A$33,Dienste!$C$33,IF(W40=Dienste!$A$34,Dienste!$C$34,IF(W40=Dienste!$A$35,Dienste!$C$35,IF(W40=Dienste!$A$36,Dienste!$C$36,)))))))))))))))))))))))))))))))))))</f>
        <v>#REF!</v>
      </c>
      <c r="BR40" s="27" t="e">
        <f>IF(X40=Dienste!$A$2,Dienste!$C$2,IF(X40=Dienste!$A$3,Dienste!$C$3,IF(X40=Dienste!$A$4,Dienste!$C$4,IF(X40=Dienste!$A$5,Dienste!$C$5,IF(X40=Dienste!$A$6,Dienste!$C$6,IF(X40=Dienste!$A$7,Dienste!$C$7,IF(X40=Dienste!$A$8,Dienste!$C$8,IF(X40=Dienste!$A$9,Dienste!$C$9,IF(X40=Dienste!$A$10,Dienste!$C$10,IF(X40=Dienste!$A$11,Dienste!$C$11,IF(X40=Dienste!$A$12,Dienste!$C$12,IF(X40=Dienste!$A$13,Dienste!$C$13,IF(X40=Dienste!$A$14,Dienste!$C$14,IF(X40=Dienste!$A$15,Dienste!$C$15,IF(X40=Dienste!$A$16,Dienste!$C$16,IF(X40=Dienste!$A$17,Dienste!$C$17,IF(X40=Dienste!$A$18,Dienste!$C$18,IF(X40=Dienste!$A$19,Dienste!$C$19,IF(X40=Dienste!$A$20,Dienste!$C$20,IF(X40=Dienste!$A$21,Dienste!$C$21,IF(X40=Dienste!$A$22,Dienste!$C$22,IF(X40=Dienste!$A$23,Dienste!$C$23,IF(X40=Dienste!$A$24,Dienste!$C$24,IF(X40=Dienste!$A$25,Dienste!$C$25,IF(X40=Dienste!$A$26,Dienste!$C$26,IF(X40=Dienste!$A$27,Dienste!$C$27,IF(X40=Dienste!$A$28,Dienste!$C$28,IF(X40=Dienste!#REF!,Dienste!#REF!,IF(X40=Dienste!#REF!,Dienste!#REF!,IF(X40=Dienste!#REF!,Dienste!#REF!,IF(X40=Dienste!#REF!,Dienste!#REF!,IF(X40=Dienste!$A$33,Dienste!$C$33,IF(X40=Dienste!$A$34,Dienste!$C$34,IF(X40=Dienste!$A$35,Dienste!$C$35,IF(X40=Dienste!$A$36,Dienste!$C$36,)))))))))))))))))))))))))))))))))))</f>
        <v>#REF!</v>
      </c>
      <c r="BS40" s="27" t="e">
        <f>IF(Y40=Dienste!$A$2,Dienste!$C$2,IF(Y40=Dienste!$A$3,Dienste!$C$3,IF(Y40=Dienste!$A$4,Dienste!$C$4,IF(Y40=Dienste!$A$5,Dienste!$C$5,IF(Y40=Dienste!$A$6,Dienste!$C$6,IF(Y40=Dienste!$A$7,Dienste!$C$7,IF(Y40=Dienste!$A$8,Dienste!$C$8,IF(Y40=Dienste!$A$9,Dienste!$C$9,IF(Y40=Dienste!$A$10,Dienste!$C$10,IF(Y40=Dienste!$A$11,Dienste!$C$11,IF(Y40=Dienste!$A$12,Dienste!$C$12,IF(Y40=Dienste!$A$13,Dienste!$C$13,IF(Y40=Dienste!$A$14,Dienste!$C$14,IF(Y40=Dienste!$A$15,Dienste!$C$15,IF(Y40=Dienste!$A$16,Dienste!$C$16,IF(Y40=Dienste!$A$17,Dienste!$C$17,IF(Y40=Dienste!$A$18,Dienste!$C$18,IF(Y40=Dienste!$A$19,Dienste!$C$19,IF(Y40=Dienste!$A$20,Dienste!$C$20,IF(Y40=Dienste!$A$21,Dienste!$C$21,IF(Y40=Dienste!$A$22,Dienste!$C$22,IF(Y40=Dienste!$A$23,Dienste!$C$23,IF(Y40=Dienste!$A$24,Dienste!$C$24,IF(Y40=Dienste!$A$25,Dienste!$C$25,IF(Y40=Dienste!$A$26,Dienste!$C$26,IF(Y40=Dienste!$A$27,Dienste!$C$27,IF(Y40=Dienste!$A$28,Dienste!$C$28,IF(Y40=Dienste!#REF!,Dienste!#REF!,IF(Y40=Dienste!#REF!,Dienste!#REF!,IF(Y40=Dienste!#REF!,Dienste!#REF!,IF(Y40=Dienste!#REF!,Dienste!#REF!,IF(Y40=Dienste!$A$33,Dienste!$C$33,IF(Y40=Dienste!$A$34,Dienste!$C$34,IF(Y40=Dienste!$A$35,Dienste!$C$35,IF(Y40=Dienste!$A$36,Dienste!$C$36,)))))))))))))))))))))))))))))))))))</f>
        <v>#REF!</v>
      </c>
      <c r="BT40" s="27" t="e">
        <f>IF(Z40=Dienste!$A$2,Dienste!$C$2,IF(Z40=Dienste!$A$3,Dienste!$C$3,IF(Z40=Dienste!$A$4,Dienste!$C$4,IF(Z40=Dienste!$A$5,Dienste!$C$5,IF(Z40=Dienste!$A$6,Dienste!$C$6,IF(Z40=Dienste!$A$7,Dienste!$C$7,IF(Z40=Dienste!$A$8,Dienste!$C$8,IF(Z40=Dienste!$A$9,Dienste!$C$9,IF(Z40=Dienste!$A$10,Dienste!$C$10,IF(Z40=Dienste!$A$11,Dienste!$C$11,IF(Z40=Dienste!$A$12,Dienste!$C$12,IF(Z40=Dienste!$A$13,Dienste!$C$13,IF(Z40=Dienste!$A$14,Dienste!$C$14,IF(Z40=Dienste!$A$15,Dienste!$C$15,IF(Z40=Dienste!$A$16,Dienste!$C$16,IF(Z40=Dienste!$A$17,Dienste!$C$17,IF(Z40=Dienste!$A$18,Dienste!$C$18,IF(Z40=Dienste!$A$19,Dienste!$C$19,IF(Z40=Dienste!$A$20,Dienste!$C$20,IF(Z40=Dienste!$A$21,Dienste!$C$21,IF(Z40=Dienste!$A$22,Dienste!$C$22,IF(Z40=Dienste!$A$23,Dienste!$C$23,IF(Z40=Dienste!$A$24,Dienste!$C$24,IF(Z40=Dienste!$A$25,Dienste!$C$25,IF(Z40=Dienste!$A$26,Dienste!$C$26,IF(Z40=Dienste!$A$27,Dienste!$C$27,IF(Z40=Dienste!$A$28,Dienste!$C$28,IF(Z40=Dienste!#REF!,Dienste!#REF!,IF(Z40=Dienste!#REF!,Dienste!#REF!,IF(Z40=Dienste!#REF!,Dienste!#REF!,IF(Z40=Dienste!#REF!,Dienste!#REF!,IF(Z40=Dienste!$A$33,Dienste!$C$33,IF(Z40=Dienste!$A$34,Dienste!$C$34,IF(Z40=Dienste!$A$35,Dienste!$C$35,IF(Z40=Dienste!$A$36,Dienste!$C$36,)))))))))))))))))))))))))))))))))))</f>
        <v>#REF!</v>
      </c>
      <c r="BU40" s="27" t="e">
        <f>IF(AA40=Dienste!$A$2,Dienste!$C$2,IF(AA40=Dienste!$A$3,Dienste!$C$3,IF(AA40=Dienste!$A$4,Dienste!$C$4,IF(AA40=Dienste!$A$5,Dienste!$C$5,IF(AA40=Dienste!$A$6,Dienste!$C$6,IF(AA40=Dienste!$A$7,Dienste!$C$7,IF(AA40=Dienste!$A$8,Dienste!$C$8,IF(AA40=Dienste!$A$9,Dienste!$C$9,IF(AA40=Dienste!$A$10,Dienste!$C$10,IF(AA40=Dienste!$A$11,Dienste!$C$11,IF(AA40=Dienste!$A$12,Dienste!$C$12,IF(AA40=Dienste!$A$13,Dienste!$C$13,IF(AA40=Dienste!$A$14,Dienste!$C$14,IF(AA40=Dienste!$A$15,Dienste!$C$15,IF(AA40=Dienste!$A$16,Dienste!$C$16,IF(AA40=Dienste!$A$17,Dienste!$C$17,IF(AA40=Dienste!$A$18,Dienste!$C$18,IF(AA40=Dienste!$A$19,Dienste!$C$19,IF(AA40=Dienste!$A$20,Dienste!$C$20,IF(AA40=Dienste!$A$21,Dienste!$C$21,IF(AA40=Dienste!$A$22,Dienste!$C$22,IF(AA40=Dienste!$A$23,Dienste!$C$23,IF(AA40=Dienste!$A$24,Dienste!$C$24,IF(AA40=Dienste!$A$25,Dienste!$C$25,IF(AA40=Dienste!$A$26,Dienste!$C$26,IF(AA40=Dienste!$A$27,Dienste!$C$27,IF(AA40=Dienste!$A$28,Dienste!$C$28,IF(AA40=Dienste!#REF!,Dienste!#REF!,IF(AA40=Dienste!#REF!,Dienste!#REF!,IF(AA40=Dienste!#REF!,Dienste!#REF!,IF(AA40=Dienste!#REF!,Dienste!#REF!,IF(AA40=Dienste!$A$33,Dienste!$C$33,IF(AA40=Dienste!$A$34,Dienste!$C$34,IF(AA40=Dienste!$A$35,Dienste!$C$35,IF(AA40=Dienste!$A$36,Dienste!$C$36,)))))))))))))))))))))))))))))))))))</f>
        <v>#REF!</v>
      </c>
      <c r="BV40" s="27" t="e">
        <f>IF(AB40=Dienste!$A$2,Dienste!$C$2,IF(AB40=Dienste!$A$3,Dienste!$C$3,IF(AB40=Dienste!$A$4,Dienste!$C$4,IF(AB40=Dienste!$A$5,Dienste!$C$5,IF(AB40=Dienste!$A$6,Dienste!$C$6,IF(AB40=Dienste!$A$7,Dienste!$C$7,IF(AB40=Dienste!$A$8,Dienste!$C$8,IF(AB40=Dienste!$A$9,Dienste!$C$9,IF(AB40=Dienste!$A$10,Dienste!$C$10,IF(AB40=Dienste!$A$11,Dienste!$C$11,IF(AB40=Dienste!$A$12,Dienste!$C$12,IF(AB40=Dienste!$A$13,Dienste!$C$13,IF(AB40=Dienste!$A$14,Dienste!$C$14,IF(AB40=Dienste!$A$15,Dienste!$C$15,IF(AB40=Dienste!$A$16,Dienste!$C$16,IF(AB40=Dienste!$A$17,Dienste!$C$17,IF(AB40=Dienste!$A$18,Dienste!$C$18,IF(AB40=Dienste!$A$19,Dienste!$C$19,IF(AB40=Dienste!$A$20,Dienste!$C$20,IF(AB40=Dienste!$A$21,Dienste!$C$21,IF(AB40=Dienste!$A$22,Dienste!$C$22,IF(AB40=Dienste!$A$23,Dienste!$C$23,IF(AB40=Dienste!$A$24,Dienste!$C$24,IF(AB40=Dienste!$A$25,Dienste!$C$25,IF(AB40=Dienste!$A$26,Dienste!$C$26,IF(AB40=Dienste!$A$27,Dienste!$C$27,IF(AB40=Dienste!$A$28,Dienste!$C$28,IF(AB40=Dienste!#REF!,Dienste!#REF!,IF(AB40=Dienste!#REF!,Dienste!#REF!,IF(AB40=Dienste!#REF!,Dienste!#REF!,IF(AB40=Dienste!#REF!,Dienste!#REF!,IF(AB40=Dienste!$A$33,Dienste!$C$33,IF(AB40=Dienste!$A$34,Dienste!$C$34,IF(AB40=Dienste!$A$35,Dienste!$C$35,IF(AB40=Dienste!$A$36,Dienste!$C$36,)))))))))))))))))))))))))))))))))))</f>
        <v>#REF!</v>
      </c>
      <c r="BW40" s="27" t="e">
        <f>IF(AC40=Dienste!$A$2,Dienste!$C$2,IF(AC40=Dienste!$A$3,Dienste!$C$3,IF(AC40=Dienste!$A$4,Dienste!$C$4,IF(AC40=Dienste!$A$5,Dienste!$C$5,IF(AC40=Dienste!$A$6,Dienste!$C$6,IF(AC40=Dienste!$A$7,Dienste!$C$7,IF(AC40=Dienste!$A$8,Dienste!$C$8,IF(AC40=Dienste!$A$9,Dienste!$C$9,IF(AC40=Dienste!$A$10,Dienste!$C$10,IF(AC40=Dienste!$A$11,Dienste!$C$11,IF(AC40=Dienste!$A$12,Dienste!$C$12,IF(AC40=Dienste!$A$13,Dienste!$C$13,IF(AC40=Dienste!$A$14,Dienste!$C$14,IF(AC40=Dienste!$A$15,Dienste!$C$15,IF(AC40=Dienste!$A$16,Dienste!$C$16,IF(AC40=Dienste!$A$17,Dienste!$C$17,IF(AC40=Dienste!$A$18,Dienste!$C$18,IF(AC40=Dienste!$A$19,Dienste!$C$19,IF(AC40=Dienste!$A$20,Dienste!$C$20,IF(AC40=Dienste!$A$21,Dienste!$C$21,IF(AC40=Dienste!$A$22,Dienste!$C$22,IF(AC40=Dienste!$A$23,Dienste!$C$23,IF(AC40=Dienste!$A$24,Dienste!$C$24,IF(AC40=Dienste!$A$25,Dienste!$C$25,IF(AC40=Dienste!$A$26,Dienste!$C$26,IF(AC40=Dienste!$A$27,Dienste!$C$27,IF(AC40=Dienste!$A$28,Dienste!$C$28,IF(AC40=Dienste!#REF!,Dienste!#REF!,IF(AC40=Dienste!#REF!,Dienste!#REF!,IF(AC40=Dienste!#REF!,Dienste!#REF!,IF(AC40=Dienste!#REF!,Dienste!#REF!,IF(AC40=Dienste!$A$33,Dienste!$C$33,IF(AC40=Dienste!$A$34,Dienste!$C$34,IF(AC40=Dienste!$A$35,Dienste!$C$35,IF(AC40=Dienste!$A$36,Dienste!$C$36,)))))))))))))))))))))))))))))))))))</f>
        <v>#REF!</v>
      </c>
      <c r="BX40" s="27" t="e">
        <f>IF(AD40=Dienste!$A$2,Dienste!$C$2,IF(AD40=Dienste!$A$3,Dienste!$C$3,IF(AD40=Dienste!$A$4,Dienste!$C$4,IF(AD40=Dienste!$A$5,Dienste!$C$5,IF(AD40=Dienste!$A$6,Dienste!$C$6,IF(AD40=Dienste!$A$7,Dienste!$C$7,IF(AD40=Dienste!$A$8,Dienste!$C$8,IF(AD40=Dienste!$A$9,Dienste!$C$9,IF(AD40=Dienste!$A$10,Dienste!$C$10,IF(AD40=Dienste!$A$11,Dienste!$C$11,IF(AD40=Dienste!$A$12,Dienste!$C$12,IF(AD40=Dienste!$A$13,Dienste!$C$13,IF(AD40=Dienste!$A$14,Dienste!$C$14,IF(AD40=Dienste!$A$15,Dienste!$C$15,IF(AD40=Dienste!$A$16,Dienste!$C$16,IF(AD40=Dienste!$A$17,Dienste!$C$17,IF(AD40=Dienste!$A$18,Dienste!$C$18,IF(AD40=Dienste!$A$19,Dienste!$C$19,IF(AD40=Dienste!$A$20,Dienste!$C$20,IF(AD40=Dienste!$A$21,Dienste!$C$21,IF(AD40=Dienste!$A$22,Dienste!$C$22,IF(AD40=Dienste!$A$23,Dienste!$C$23,IF(AD40=Dienste!$A$24,Dienste!$C$24,IF(AD40=Dienste!$A$25,Dienste!$C$25,IF(AD40=Dienste!$A$26,Dienste!$C$26,IF(AD40=Dienste!$A$27,Dienste!$C$27,IF(AD40=Dienste!$A$28,Dienste!$C$28,IF(AD40=Dienste!#REF!,Dienste!#REF!,IF(AD40=Dienste!#REF!,Dienste!#REF!,IF(AD40=Dienste!#REF!,Dienste!#REF!,IF(AD40=Dienste!#REF!,Dienste!#REF!,IF(AD40=Dienste!$A$33,Dienste!$C$33,IF(AD40=Dienste!$A$34,Dienste!$C$34,IF(AD40=Dienste!$A$35,Dienste!$C$35,IF(AD40=Dienste!$A$36,Dienste!$C$36,)))))))))))))))))))))))))))))))))))</f>
        <v>#REF!</v>
      </c>
      <c r="BY40" s="27" t="e">
        <f>IF(AE40=Dienste!$A$2,Dienste!$C$2,IF(AE40=Dienste!$A$3,Dienste!$C$3,IF(AE40=Dienste!$A$4,Dienste!$C$4,IF(AE40=Dienste!$A$5,Dienste!$C$5,IF(AE40=Dienste!$A$6,Dienste!$C$6,IF(AE40=Dienste!$A$7,Dienste!$C$7,IF(AE40=Dienste!$A$8,Dienste!$C$8,IF(AE40=Dienste!$A$9,Dienste!$C$9,IF(AE40=Dienste!$A$10,Dienste!$C$10,IF(AE40=Dienste!$A$11,Dienste!$C$11,IF(AE40=Dienste!$A$12,Dienste!$C$12,IF(AE40=Dienste!$A$13,Dienste!$C$13,IF(AE40=Dienste!$A$14,Dienste!$C$14,IF(AE40=Dienste!$A$15,Dienste!$C$15,IF(AE40=Dienste!$A$16,Dienste!$C$16,IF(AE40=Dienste!$A$17,Dienste!$C$17,IF(AE40=Dienste!$A$18,Dienste!$C$18,IF(AE40=Dienste!$A$19,Dienste!$C$19,IF(AE40=Dienste!$A$20,Dienste!$C$20,IF(AE40=Dienste!$A$21,Dienste!$C$21,IF(AE40=Dienste!$A$22,Dienste!$C$22,IF(AE40=Dienste!$A$23,Dienste!$C$23,IF(AE40=Dienste!$A$24,Dienste!$C$24,IF(AE40=Dienste!$A$25,Dienste!$C$25,IF(AE40=Dienste!$A$26,Dienste!$C$26,IF(AE40=Dienste!$A$27,Dienste!$C$27,IF(AE40=Dienste!$A$28,Dienste!$C$28,IF(AE40=Dienste!#REF!,Dienste!#REF!,IF(AE40=Dienste!#REF!,Dienste!#REF!,IF(AE40=Dienste!#REF!,Dienste!#REF!,IF(AE40=Dienste!#REF!,Dienste!#REF!,IF(AE40=Dienste!$A$33,Dienste!$C$33,IF(AE40=Dienste!$A$34,Dienste!$C$34,IF(AE40=Dienste!$A$35,Dienste!$C$35,IF(AE40=Dienste!$A$36,Dienste!$C$36,)))))))))))))))))))))))))))))))))))</f>
        <v>#REF!</v>
      </c>
      <c r="BZ40" s="27" t="e">
        <f>IF(AF40=Dienste!$A$2,Dienste!$C$2,IF(AF40=Dienste!$A$3,Dienste!$C$3,IF(AF40=Dienste!$A$4,Dienste!$C$4,IF(AF40=Dienste!$A$5,Dienste!$C$5,IF(AF40=Dienste!$A$6,Dienste!$C$6,IF(AF40=Dienste!$A$7,Dienste!$C$7,IF(AF40=Dienste!$A$8,Dienste!$C$8,IF(AF40=Dienste!$A$9,Dienste!$C$9,IF(AF40=Dienste!$A$10,Dienste!$C$10,IF(AF40=Dienste!$A$11,Dienste!$C$11,IF(AF40=Dienste!$A$12,Dienste!$C$12,IF(AF40=Dienste!$A$13,Dienste!$C$13,IF(AF40=Dienste!$A$14,Dienste!$C$14,IF(AF40=Dienste!$A$15,Dienste!$C$15,IF(AF40=Dienste!$A$16,Dienste!$C$16,IF(AF40=Dienste!$A$17,Dienste!$C$17,IF(AF40=Dienste!$A$18,Dienste!$C$18,IF(AF40=Dienste!$A$19,Dienste!$C$19,IF(AF40=Dienste!$A$20,Dienste!$C$20,IF(AF40=Dienste!$A$21,Dienste!$C$21,IF(AF40=Dienste!$A$22,Dienste!$C$22,IF(AF40=Dienste!$A$23,Dienste!$C$23,IF(AF40=Dienste!$A$24,Dienste!$C$24,IF(AF40=Dienste!$A$25,Dienste!$C$25,IF(AF40=Dienste!$A$26,Dienste!$C$26,IF(AF40=Dienste!$A$27,Dienste!$C$27,IF(AF40=Dienste!$A$28,Dienste!$C$28,IF(AF40=Dienste!#REF!,Dienste!#REF!,IF(AF40=Dienste!#REF!,Dienste!#REF!,IF(AF40=Dienste!#REF!,Dienste!#REF!,IF(AF40=Dienste!#REF!,Dienste!#REF!,IF(AF40=Dienste!$A$33,Dienste!$C$33,IF(AF40=Dienste!$A$34,Dienste!$C$34,IF(AF40=Dienste!$A$35,Dienste!$C$35,IF(AF40=Dienste!$A$36,Dienste!$C$36,)))))))))))))))))))))))))))))))))))</f>
        <v>#REF!</v>
      </c>
      <c r="CA40" s="27" t="e">
        <f>IF(AG40=Dienste!$A$2,Dienste!$C$2,IF(AG40=Dienste!$A$3,Dienste!$C$3,IF(AG40=Dienste!$A$4,Dienste!$C$4,IF(AG40=Dienste!$A$5,Dienste!$C$5,IF(AG40=Dienste!$A$6,Dienste!$C$6,IF(AG40=Dienste!$A$7,Dienste!$C$7,IF(AG40=Dienste!$A$8,Dienste!$C$8,IF(AG40=Dienste!$A$9,Dienste!$C$9,IF(AG40=Dienste!$A$10,Dienste!$C$10,IF(AG40=Dienste!$A$11,Dienste!$C$11,IF(AG40=Dienste!$A$12,Dienste!$C$12,IF(AG40=Dienste!$A$13,Dienste!$C$13,IF(AG40=Dienste!$A$14,Dienste!$C$14,IF(AG40=Dienste!$A$15,Dienste!$C$15,IF(AG40=Dienste!$A$16,Dienste!$C$16,IF(AG40=Dienste!$A$17,Dienste!$C$17,IF(AG40=Dienste!$A$18,Dienste!$C$18,IF(AG40=Dienste!$A$19,Dienste!$C$19,IF(AG40=Dienste!$A$20,Dienste!$C$20,IF(AG40=Dienste!$A$21,Dienste!$C$21,IF(AG40=Dienste!$A$22,Dienste!$C$22,IF(AG40=Dienste!$A$23,Dienste!$C$23,IF(AG40=Dienste!$A$24,Dienste!$C$24,IF(AG40=Dienste!$A$25,Dienste!$C$25,IF(AG40=Dienste!$A$26,Dienste!$C$26,IF(AG40=Dienste!$A$27,Dienste!$C$27,IF(AG40=Dienste!$A$28,Dienste!$C$28,IF(AG40=Dienste!#REF!,Dienste!#REF!,IF(AG40=Dienste!#REF!,Dienste!#REF!,IF(AG40=Dienste!#REF!,Dienste!#REF!,IF(AG40=Dienste!#REF!,Dienste!#REF!,IF(AG40=Dienste!$A$33,Dienste!$C$33,IF(AG40=Dienste!$A$34,Dienste!$C$34,IF(AG40=Dienste!$A$35,Dienste!$C$35,IF(AG40=Dienste!$A$36,Dienste!$C$36,)))))))))))))))))))))))))))))))))))</f>
        <v>#REF!</v>
      </c>
      <c r="CB40" s="27" t="e">
        <f>IF(AH40=Dienste!$A$2,Dienste!$C$2,IF(AH40=Dienste!$A$3,Dienste!$C$3,IF(AH40=Dienste!$A$4,Dienste!$C$4,IF(AH40=Dienste!$A$5,Dienste!$C$5,IF(AH40=Dienste!$A$6,Dienste!$C$6,IF(AH40=Dienste!$A$7,Dienste!$C$7,IF(AH40=Dienste!$A$8,Dienste!$C$8,IF(AH40=Dienste!$A$9,Dienste!$C$9,IF(AH40=Dienste!$A$10,Dienste!$C$10,IF(AH40=Dienste!$A$11,Dienste!$C$11,IF(AH40=Dienste!$A$12,Dienste!$C$12,IF(AH40=Dienste!$A$13,Dienste!$C$13,IF(AH40=Dienste!$A$14,Dienste!$C$14,IF(AH40=Dienste!$A$15,Dienste!$C$15,IF(AH40=Dienste!$A$16,Dienste!$C$16,IF(AH40=Dienste!$A$17,Dienste!$C$17,IF(AH40=Dienste!$A$18,Dienste!$C$18,IF(AH40=Dienste!$A$19,Dienste!$C$19,IF(AH40=Dienste!$A$20,Dienste!$C$20,IF(AH40=Dienste!$A$21,Dienste!$C$21,IF(AH40=Dienste!$A$22,Dienste!$C$22,IF(AH40=Dienste!$A$23,Dienste!$C$23,IF(AH40=Dienste!$A$24,Dienste!$C$24,IF(AH40=Dienste!$A$25,Dienste!$C$25,IF(AH40=Dienste!$A$26,Dienste!$C$26,IF(AH40=Dienste!$A$27,Dienste!$C$27,IF(AH40=Dienste!$A$28,Dienste!$C$28,IF(AH40=Dienste!#REF!,Dienste!#REF!,IF(AH40=Dienste!#REF!,Dienste!#REF!,IF(AH40=Dienste!#REF!,Dienste!#REF!,IF(AH40=Dienste!#REF!,Dienste!#REF!,IF(AH40=Dienste!$A$33,Dienste!$C$33,IF(AH40=Dienste!$A$34,Dienste!$C$34,IF(AH40=Dienste!$A$35,Dienste!$C$35,IF(AH40=Dienste!$A$36,Dienste!$C$36,)))))))))))))))))))))))))))))))))))</f>
        <v>#REF!</v>
      </c>
      <c r="CC40" s="27" t="e">
        <f>IF(AI40=Dienste!$A$2,Dienste!$C$2,IF(AI40=Dienste!$A$3,Dienste!$C$3,IF(AI40=Dienste!$A$4,Dienste!$C$4,IF(AI40=Dienste!$A$5,Dienste!$C$5,IF(AI40=Dienste!$A$6,Dienste!$C$6,IF(AI40=Dienste!$A$7,Dienste!$C$7,IF(AI40=Dienste!$A$8,Dienste!$C$8,IF(AI40=Dienste!$A$9,Dienste!$C$9,IF(AI40=Dienste!$A$10,Dienste!$C$10,IF(AI40=Dienste!$A$11,Dienste!$C$11,IF(AI40=Dienste!$A$12,Dienste!$C$12,IF(AI40=Dienste!$A$13,Dienste!$C$13,IF(AI40=Dienste!$A$14,Dienste!$C$14,IF(AI40=Dienste!$A$15,Dienste!$C$15,IF(AI40=Dienste!$A$16,Dienste!$C$16,IF(AI40=Dienste!$A$17,Dienste!$C$17,IF(AI40=Dienste!$A$18,Dienste!$C$18,IF(AI40=Dienste!$A$19,Dienste!$C$19,IF(AI40=Dienste!$A$20,Dienste!$C$20,IF(AI40=Dienste!$A$21,Dienste!$C$21,IF(AI40=Dienste!$A$22,Dienste!$C$22,IF(AI40=Dienste!$A$23,Dienste!$C$23,IF(AI40=Dienste!$A$24,Dienste!$C$24,IF(AI40=Dienste!$A$25,Dienste!$C$25,IF(AI40=Dienste!$A$26,Dienste!$C$26,IF(AI40=Dienste!$A$27,Dienste!$C$27,IF(AI40=Dienste!$A$28,Dienste!$C$28,IF(AI40=Dienste!#REF!,Dienste!#REF!,IF(AI40=Dienste!#REF!,Dienste!#REF!,IF(AI40=Dienste!#REF!,Dienste!#REF!,IF(AI40=Dienste!#REF!,Dienste!#REF!,IF(AI40=Dienste!$A$33,Dienste!$C$33,IF(AI40=Dienste!$A$34,Dienste!$C$34,IF(AI40=Dienste!$A$35,Dienste!$C$35,IF(AI40=Dienste!$A$36,Dienste!$C$36,)))))))))))))))))))))))))))))))))))</f>
        <v>#REF!</v>
      </c>
    </row>
    <row r="41" spans="1:81" hidden="1" x14ac:dyDescent="0.25">
      <c r="A41" s="109"/>
      <c r="B41" s="15"/>
      <c r="C41" s="15"/>
      <c r="D41" s="98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4"/>
      <c r="AK41" s="152"/>
      <c r="AL41" s="154"/>
      <c r="AM41" s="152"/>
      <c r="AN41" s="152"/>
      <c r="AO41" s="154"/>
      <c r="AP41" s="152"/>
      <c r="AQ41" s="153"/>
      <c r="AR41" s="154"/>
      <c r="AS41" s="152"/>
      <c r="AT41" s="153"/>
      <c r="AU41" s="27" t="e">
        <f t="shared" si="3"/>
        <v>#REF!</v>
      </c>
      <c r="AV41" s="27" t="e">
        <f t="shared" si="7"/>
        <v>#REF!</v>
      </c>
      <c r="AW41" s="58" t="e">
        <f t="shared" si="6"/>
        <v>#REF!</v>
      </c>
      <c r="AY41" s="27" t="e">
        <f>IF(E41=Dienste!$A$2,Dienste!$C$2,IF(E41=Dienste!$A$3,Dienste!$C$3,IF(E41=Dienste!$A$4,Dienste!$C$4,IF(E41=Dienste!$A$5,Dienste!$C$5,IF(E41=Dienste!$A$6,Dienste!$C$6,IF(E41=Dienste!$A$7,Dienste!$C$7,IF(E41=Dienste!$A$8,Dienste!$C$8,IF(E41=Dienste!$A$9,Dienste!$C$9,IF(E41=Dienste!$A$10,Dienste!$C$10,IF(E41=Dienste!$A$11,Dienste!$C$11,IF(E41=Dienste!$A$12,Dienste!$C$12,IF(E41=Dienste!$A$13,Dienste!$C$13,IF(E41=Dienste!$A$14,Dienste!$C$14,IF(E41=Dienste!$A$15,Dienste!$C$15,IF(E41=Dienste!$A$16,Dienste!$C$16,IF(E41=Dienste!$A$17,Dienste!$C$17,IF(E41=Dienste!$A$18,Dienste!$C$18,IF(E41=Dienste!$A$19,Dienste!$C$19,IF(E41=Dienste!$A$20,Dienste!$C$20,IF(E41=Dienste!$A$21,Dienste!$C$21,IF(E41=Dienste!$A$22,Dienste!$C$22,IF(E41=Dienste!$A$23,Dienste!$C$23,IF(E41=Dienste!$A$24,Dienste!$C$24,IF(E41=Dienste!$A$25,Dienste!$C$25,IF(E41=Dienste!$A$26,Dienste!$C$26,IF(E41=Dienste!$A$27,Dienste!$C$27,IF(E41=Dienste!$A$28,Dienste!$C$28,IF(E41=Dienste!#REF!,Dienste!#REF!,IF(E41=Dienste!#REF!,Dienste!#REF!,IF(E41=Dienste!#REF!,Dienste!#REF!,IF(E41=Dienste!#REF!,Dienste!#REF!,IF(E41=Dienste!$A$33,Dienste!$C$33,IF(E41=Dienste!$A$34,Dienste!$C$34,IF(E41=Dienste!$A$35,Dienste!$C$35,IF(E41=Dienste!$A$36,Dienste!$C$36,)))))))))))))))))))))))))))))))))))</f>
        <v>#REF!</v>
      </c>
      <c r="AZ41" s="27" t="e">
        <f>IF(F41=Dienste!$A$2,Dienste!$C$2,IF(F41=Dienste!$A$3,Dienste!$C$3,IF(F41=Dienste!$A$4,Dienste!$C$4,IF(F41=Dienste!$A$5,Dienste!$C$5,IF(F41=Dienste!$A$6,Dienste!$C$6,IF(F41=Dienste!$A$7,Dienste!$C$7,IF(F41=Dienste!$A$8,Dienste!$C$8,IF(F41=Dienste!$A$9,Dienste!$C$9,IF(F41=Dienste!$A$10,Dienste!$C$10,IF(F41=Dienste!$A$11,Dienste!$C$11,IF(F41=Dienste!$A$12,Dienste!$C$12,IF(F41=Dienste!$A$13,Dienste!$C$13,IF(F41=Dienste!$A$14,Dienste!$C$14,IF(F41=Dienste!$A$15,Dienste!$C$15,IF(F41=Dienste!$A$16,Dienste!$C$16,IF(F41=Dienste!$A$17,Dienste!$C$17,IF(F41=Dienste!$A$18,Dienste!$C$18,IF(F41=Dienste!$A$19,Dienste!$C$19,IF(F41=Dienste!$A$20,Dienste!$C$20,IF(F41=Dienste!$A$21,Dienste!$C$21,IF(F41=Dienste!$A$22,Dienste!$C$22,IF(F41=Dienste!$A$23,Dienste!$C$23,IF(F41=Dienste!$A$24,Dienste!$C$24,IF(F41=Dienste!$A$25,Dienste!$C$25,IF(F41=Dienste!$A$26,Dienste!$C$26,IF(F41=Dienste!$A$27,Dienste!$C$27,IF(F41=Dienste!$A$28,Dienste!$C$28,IF(F41=Dienste!#REF!,Dienste!#REF!,IF(F41=Dienste!#REF!,Dienste!#REF!,IF(F41=Dienste!#REF!,Dienste!#REF!,IF(F41=Dienste!#REF!,Dienste!#REF!,IF(F41=Dienste!$A$33,Dienste!$C$33,IF(F41=Dienste!$A$34,Dienste!$C$34,IF(F41=Dienste!$A$35,Dienste!$C$35,IF(F41=Dienste!$A$36,Dienste!$C$36,)))))))))))))))))))))))))))))))))))</f>
        <v>#REF!</v>
      </c>
      <c r="BA41" s="27" t="e">
        <f>IF(G41=Dienste!$A$2,Dienste!$C$2,IF(G41=Dienste!$A$3,Dienste!$C$3,IF(G41=Dienste!$A$4,Dienste!$C$4,IF(G41=Dienste!$A$5,Dienste!$C$5,IF(G41=Dienste!$A$6,Dienste!$C$6,IF(G41=Dienste!$A$7,Dienste!$C$7,IF(G41=Dienste!$A$8,Dienste!$C$8,IF(G41=Dienste!$A$9,Dienste!$C$9,IF(G41=Dienste!$A$10,Dienste!$C$10,IF(G41=Dienste!$A$11,Dienste!$C$11,IF(G41=Dienste!$A$12,Dienste!$C$12,IF(G41=Dienste!$A$13,Dienste!$C$13,IF(G41=Dienste!$A$14,Dienste!$C$14,IF(G41=Dienste!$A$15,Dienste!$C$15,IF(G41=Dienste!$A$16,Dienste!$C$16,IF(G41=Dienste!$A$17,Dienste!$C$17,IF(G41=Dienste!$A$18,Dienste!$C$18,IF(G41=Dienste!$A$19,Dienste!$C$19,IF(G41=Dienste!$A$20,Dienste!$C$20,IF(G41=Dienste!$A$21,Dienste!$C$21,IF(G41=Dienste!$A$22,Dienste!$C$22,IF(G41=Dienste!$A$23,Dienste!$C$23,IF(G41=Dienste!$A$24,Dienste!$C$24,IF(G41=Dienste!$A$25,Dienste!$C$25,IF(G41=Dienste!$A$26,Dienste!$C$26,IF(G41=Dienste!$A$27,Dienste!$C$27,IF(G41=Dienste!$A$28,Dienste!$C$28,IF(G41=Dienste!#REF!,Dienste!#REF!,IF(G41=Dienste!#REF!,Dienste!#REF!,IF(G41=Dienste!#REF!,Dienste!#REF!,IF(G41=Dienste!#REF!,Dienste!#REF!,IF(G41=Dienste!$A$33,Dienste!$C$33,IF(G41=Dienste!$A$34,Dienste!$C$34,IF(G41=Dienste!$A$35,Dienste!$C$35,IF(G41=Dienste!$A$36,Dienste!$C$36,)))))))))))))))))))))))))))))))))))</f>
        <v>#REF!</v>
      </c>
      <c r="BB41" s="27" t="e">
        <f>IF(H41=Dienste!$A$2,Dienste!$C$2,IF(H41=Dienste!$A$3,Dienste!$C$3,IF(H41=Dienste!$A$4,Dienste!$C$4,IF(H41=Dienste!$A$5,Dienste!$C$5,IF(H41=Dienste!$A$6,Dienste!$C$6,IF(H41=Dienste!$A$7,Dienste!$C$7,IF(H41=Dienste!$A$8,Dienste!$C$8,IF(H41=Dienste!$A$9,Dienste!$C$9,IF(H41=Dienste!$A$10,Dienste!$C$10,IF(H41=Dienste!$A$11,Dienste!$C$11,IF(H41=Dienste!$A$12,Dienste!$C$12,IF(H41=Dienste!$A$13,Dienste!$C$13,IF(H41=Dienste!$A$14,Dienste!$C$14,IF(H41=Dienste!$A$15,Dienste!$C$15,IF(H41=Dienste!$A$16,Dienste!$C$16,IF(H41=Dienste!$A$17,Dienste!$C$17,IF(H41=Dienste!$A$18,Dienste!$C$18,IF(H41=Dienste!$A$19,Dienste!$C$19,IF(H41=Dienste!$A$20,Dienste!$C$20,IF(H41=Dienste!$A$21,Dienste!$C$21,IF(H41=Dienste!$A$22,Dienste!$C$22,IF(H41=Dienste!$A$23,Dienste!$C$23,IF(H41=Dienste!$A$24,Dienste!$C$24,IF(H41=Dienste!$A$25,Dienste!$C$25,IF(H41=Dienste!$A$26,Dienste!$C$26,IF(H41=Dienste!$A$27,Dienste!$C$27,IF(H41=Dienste!$A$28,Dienste!$C$28,IF(H41=Dienste!#REF!,Dienste!#REF!,IF(H41=Dienste!#REF!,Dienste!#REF!,IF(H41=Dienste!#REF!,Dienste!#REF!,IF(H41=Dienste!#REF!,Dienste!#REF!,IF(H41=Dienste!$A$33,Dienste!$C$33,IF(H41=Dienste!$A$34,Dienste!$C$34,IF(H41=Dienste!$A$35,Dienste!$C$35,IF(H41=Dienste!$A$36,Dienste!$C$36,)))))))))))))))))))))))))))))))))))</f>
        <v>#REF!</v>
      </c>
      <c r="BC41" s="27" t="e">
        <f>IF(I41=Dienste!$A$2,Dienste!$C$2,IF(I41=Dienste!$A$3,Dienste!$C$3,IF(I41=Dienste!$A$4,Dienste!$C$4,IF(I41=Dienste!$A$5,Dienste!$C$5,IF(I41=Dienste!$A$6,Dienste!$C$6,IF(I41=Dienste!$A$7,Dienste!$C$7,IF(I41=Dienste!$A$8,Dienste!$C$8,IF(I41=Dienste!$A$9,Dienste!$C$9,IF(I41=Dienste!$A$10,Dienste!$C$10,IF(I41=Dienste!$A$11,Dienste!$C$11,IF(I41=Dienste!$A$12,Dienste!$C$12,IF(I41=Dienste!$A$13,Dienste!$C$13,IF(I41=Dienste!$A$14,Dienste!$C$14,IF(I41=Dienste!$A$15,Dienste!$C$15,IF(I41=Dienste!$A$16,Dienste!$C$16,IF(I41=Dienste!$A$17,Dienste!$C$17,IF(I41=Dienste!$A$18,Dienste!$C$18,IF(I41=Dienste!$A$19,Dienste!$C$19,IF(I41=Dienste!$A$20,Dienste!$C$20,IF(I41=Dienste!$A$21,Dienste!$C$21,IF(I41=Dienste!$A$22,Dienste!$C$22,IF(I41=Dienste!$A$23,Dienste!$C$23,IF(I41=Dienste!$A$24,Dienste!$C$24,IF(I41=Dienste!$A$25,Dienste!$C$25,IF(I41=Dienste!$A$26,Dienste!$C$26,IF(I41=Dienste!$A$27,Dienste!$C$27,IF(I41=Dienste!$A$28,Dienste!$C$28,IF(I41=Dienste!#REF!,Dienste!#REF!,IF(I41=Dienste!#REF!,Dienste!#REF!,IF(I41=Dienste!#REF!,Dienste!#REF!,IF(I41=Dienste!#REF!,Dienste!#REF!,IF(I41=Dienste!$A$33,Dienste!$C$33,IF(I41=Dienste!$A$34,Dienste!$C$34,IF(I41=Dienste!$A$35,Dienste!$C$35,IF(I41=Dienste!$A$36,Dienste!$C$36,)))))))))))))))))))))))))))))))))))</f>
        <v>#REF!</v>
      </c>
      <c r="BD41" s="27" t="e">
        <f>IF(J41=Dienste!$A$2,Dienste!$C$2,IF(J41=Dienste!$A$3,Dienste!$C$3,IF(J41=Dienste!$A$4,Dienste!$C$4,IF(J41=Dienste!$A$5,Dienste!$C$5,IF(J41=Dienste!$A$6,Dienste!$C$6,IF(J41=Dienste!$A$7,Dienste!$C$7,IF(J41=Dienste!$A$8,Dienste!$C$8,IF(J41=Dienste!$A$9,Dienste!$C$9,IF(J41=Dienste!$A$10,Dienste!$C$10,IF(J41=Dienste!$A$11,Dienste!$C$11,IF(J41=Dienste!$A$12,Dienste!$C$12,IF(J41=Dienste!$A$13,Dienste!$C$13,IF(J41=Dienste!$A$14,Dienste!$C$14,IF(J41=Dienste!$A$15,Dienste!$C$15,IF(J41=Dienste!$A$16,Dienste!$C$16,IF(J41=Dienste!$A$17,Dienste!$C$17,IF(J41=Dienste!$A$18,Dienste!$C$18,IF(J41=Dienste!$A$19,Dienste!$C$19,IF(J41=Dienste!$A$20,Dienste!$C$20,IF(J41=Dienste!$A$21,Dienste!$C$21,IF(J41=Dienste!$A$22,Dienste!$C$22,IF(J41=Dienste!$A$23,Dienste!$C$23,IF(J41=Dienste!$A$24,Dienste!$C$24,IF(J41=Dienste!$A$25,Dienste!$C$25,IF(J41=Dienste!$A$26,Dienste!$C$26,IF(J41=Dienste!$A$27,Dienste!$C$27,IF(J41=Dienste!$A$28,Dienste!$C$28,IF(J41=Dienste!#REF!,Dienste!#REF!,IF(J41=Dienste!#REF!,Dienste!#REF!,IF(J41=Dienste!#REF!,Dienste!#REF!,IF(J41=Dienste!#REF!,Dienste!#REF!,IF(J41=Dienste!$A$33,Dienste!$C$33,IF(J41=Dienste!$A$34,Dienste!$C$34,IF(J41=Dienste!$A$35,Dienste!$C$35,IF(J41=Dienste!$A$36,Dienste!$C$36,)))))))))))))))))))))))))))))))))))</f>
        <v>#REF!</v>
      </c>
      <c r="BE41" s="27" t="e">
        <f>IF(K41=Dienste!$A$2,Dienste!$C$2,IF(K41=Dienste!$A$3,Dienste!$C$3,IF(K41=Dienste!$A$4,Dienste!$C$4,IF(K41=Dienste!$A$5,Dienste!$C$5,IF(K41=Dienste!$A$6,Dienste!$C$6,IF(K41=Dienste!$A$7,Dienste!$C$7,IF(K41=Dienste!$A$8,Dienste!$C$8,IF(K41=Dienste!$A$9,Dienste!$C$9,IF(K41=Dienste!$A$10,Dienste!$C$10,IF(K41=Dienste!$A$11,Dienste!$C$11,IF(K41=Dienste!$A$12,Dienste!$C$12,IF(K41=Dienste!$A$13,Dienste!$C$13,IF(K41=Dienste!$A$14,Dienste!$C$14,IF(K41=Dienste!$A$15,Dienste!$C$15,IF(K41=Dienste!$A$16,Dienste!$C$16,IF(K41=Dienste!$A$17,Dienste!$C$17,IF(K41=Dienste!$A$18,Dienste!$C$18,IF(K41=Dienste!$A$19,Dienste!$C$19,IF(K41=Dienste!$A$20,Dienste!$C$20,IF(K41=Dienste!$A$21,Dienste!$C$21,IF(K41=Dienste!$A$22,Dienste!$C$22,IF(K41=Dienste!$A$23,Dienste!$C$23,IF(K41=Dienste!$A$24,Dienste!$C$24,IF(K41=Dienste!$A$25,Dienste!$C$25,IF(K41=Dienste!$A$26,Dienste!$C$26,IF(K41=Dienste!$A$27,Dienste!$C$27,IF(K41=Dienste!$A$28,Dienste!$C$28,IF(K41=Dienste!#REF!,Dienste!#REF!,IF(K41=Dienste!#REF!,Dienste!#REF!,IF(K41=Dienste!#REF!,Dienste!#REF!,IF(K41=Dienste!#REF!,Dienste!#REF!,IF(K41=Dienste!$A$33,Dienste!$C$33,IF(K41=Dienste!$A$34,Dienste!$C$34,IF(K41=Dienste!$A$35,Dienste!$C$35,IF(K41=Dienste!$A$36,Dienste!$C$36,)))))))))))))))))))))))))))))))))))</f>
        <v>#REF!</v>
      </c>
      <c r="BF41" s="27" t="e">
        <f>IF(L41=Dienste!$A$2,Dienste!$C$2,IF(L41=Dienste!$A$3,Dienste!$C$3,IF(L41=Dienste!$A$4,Dienste!$C$4,IF(L41=Dienste!$A$5,Dienste!$C$5,IF(L41=Dienste!$A$6,Dienste!$C$6,IF(L41=Dienste!$A$7,Dienste!$C$7,IF(L41=Dienste!$A$8,Dienste!$C$8,IF(L41=Dienste!$A$9,Dienste!$C$9,IF(L41=Dienste!$A$10,Dienste!$C$10,IF(L41=Dienste!$A$11,Dienste!$C$11,IF(L41=Dienste!$A$12,Dienste!$C$12,IF(L41=Dienste!$A$13,Dienste!$C$13,IF(L41=Dienste!$A$14,Dienste!$C$14,IF(L41=Dienste!$A$15,Dienste!$C$15,IF(L41=Dienste!$A$16,Dienste!$C$16,IF(L41=Dienste!$A$17,Dienste!$C$17,IF(L41=Dienste!$A$18,Dienste!$C$18,IF(L41=Dienste!$A$19,Dienste!$C$19,IF(L41=Dienste!$A$20,Dienste!$C$20,IF(L41=Dienste!$A$21,Dienste!$C$21,IF(L41=Dienste!$A$22,Dienste!$C$22,IF(L41=Dienste!$A$23,Dienste!$C$23,IF(L41=Dienste!$A$24,Dienste!$C$24,IF(L41=Dienste!$A$25,Dienste!$C$25,IF(L41=Dienste!$A$26,Dienste!$C$26,IF(L41=Dienste!$A$27,Dienste!$C$27,IF(L41=Dienste!$A$28,Dienste!$C$28,IF(L41=Dienste!#REF!,Dienste!#REF!,IF(L41=Dienste!#REF!,Dienste!#REF!,IF(L41=Dienste!#REF!,Dienste!#REF!,IF(L41=Dienste!#REF!,Dienste!#REF!,IF(L41=Dienste!$A$33,Dienste!$C$33,IF(L41=Dienste!$A$34,Dienste!$C$34,IF(L41=Dienste!$A$35,Dienste!$C$35,IF(L41=Dienste!$A$36,Dienste!$C$36,)))))))))))))))))))))))))))))))))))</f>
        <v>#REF!</v>
      </c>
      <c r="BG41" s="27" t="e">
        <f>IF(M41=Dienste!$A$2,Dienste!$C$2,IF(M41=Dienste!$A$3,Dienste!$C$3,IF(M41=Dienste!$A$4,Dienste!$C$4,IF(M41=Dienste!$A$5,Dienste!$C$5,IF(M41=Dienste!$A$6,Dienste!$C$6,IF(M41=Dienste!$A$7,Dienste!$C$7,IF(M41=Dienste!$A$8,Dienste!$C$8,IF(M41=Dienste!$A$9,Dienste!$C$9,IF(M41=Dienste!$A$10,Dienste!$C$10,IF(M41=Dienste!$A$11,Dienste!$C$11,IF(M41=Dienste!$A$12,Dienste!$C$12,IF(M41=Dienste!$A$13,Dienste!$C$13,IF(M41=Dienste!$A$14,Dienste!$C$14,IF(M41=Dienste!$A$15,Dienste!$C$15,IF(M41=Dienste!$A$16,Dienste!$C$16,IF(M41=Dienste!$A$17,Dienste!$C$17,IF(M41=Dienste!$A$18,Dienste!$C$18,IF(M41=Dienste!$A$19,Dienste!$C$19,IF(M41=Dienste!$A$20,Dienste!$C$20,IF(M41=Dienste!$A$21,Dienste!$C$21,IF(M41=Dienste!$A$22,Dienste!$C$22,IF(M41=Dienste!$A$23,Dienste!$C$23,IF(M41=Dienste!$A$24,Dienste!$C$24,IF(M41=Dienste!$A$25,Dienste!$C$25,IF(M41=Dienste!$A$26,Dienste!$C$26,IF(M41=Dienste!$A$27,Dienste!$C$27,IF(M41=Dienste!$A$28,Dienste!$C$28,IF(M41=Dienste!#REF!,Dienste!#REF!,IF(M41=Dienste!#REF!,Dienste!#REF!,IF(M41=Dienste!#REF!,Dienste!#REF!,IF(M41=Dienste!#REF!,Dienste!#REF!,IF(M41=Dienste!$A$33,Dienste!$C$33,IF(M41=Dienste!$A$34,Dienste!$C$34,IF(M41=Dienste!$A$35,Dienste!$C$35,IF(M41=Dienste!$A$36,Dienste!$C$36,)))))))))))))))))))))))))))))))))))</f>
        <v>#REF!</v>
      </c>
      <c r="BH41" s="27" t="e">
        <f>IF(N41=Dienste!$A$2,Dienste!$C$2,IF(N41=Dienste!$A$3,Dienste!$C$3,IF(N41=Dienste!$A$4,Dienste!$C$4,IF(N41=Dienste!$A$5,Dienste!$C$5,IF(N41=Dienste!$A$6,Dienste!$C$6,IF(N41=Dienste!$A$7,Dienste!$C$7,IF(N41=Dienste!$A$8,Dienste!$C$8,IF(N41=Dienste!$A$9,Dienste!$C$9,IF(N41=Dienste!$A$10,Dienste!$C$10,IF(N41=Dienste!$A$11,Dienste!$C$11,IF(N41=Dienste!$A$12,Dienste!$C$12,IF(N41=Dienste!$A$13,Dienste!$C$13,IF(N41=Dienste!$A$14,Dienste!$C$14,IF(N41=Dienste!$A$15,Dienste!$C$15,IF(N41=Dienste!$A$16,Dienste!$C$16,IF(N41=Dienste!$A$17,Dienste!$C$17,IF(N41=Dienste!$A$18,Dienste!$C$18,IF(N41=Dienste!$A$19,Dienste!$C$19,IF(N41=Dienste!$A$20,Dienste!$C$20,IF(N41=Dienste!$A$21,Dienste!$C$21,IF(N41=Dienste!$A$22,Dienste!$C$22,IF(N41=Dienste!$A$23,Dienste!$C$23,IF(N41=Dienste!$A$24,Dienste!$C$24,IF(N41=Dienste!$A$25,Dienste!$C$25,IF(N41=Dienste!$A$26,Dienste!$C$26,IF(N41=Dienste!$A$27,Dienste!$C$27,IF(N41=Dienste!$A$28,Dienste!$C$28,IF(N41=Dienste!#REF!,Dienste!#REF!,IF(N41=Dienste!#REF!,Dienste!#REF!,IF(N41=Dienste!#REF!,Dienste!#REF!,IF(N41=Dienste!#REF!,Dienste!#REF!,IF(N41=Dienste!$A$33,Dienste!$C$33,IF(N41=Dienste!$A$34,Dienste!$C$34,IF(N41=Dienste!$A$35,Dienste!$C$35,IF(N41=Dienste!$A$36,Dienste!$C$36,)))))))))))))))))))))))))))))))))))</f>
        <v>#REF!</v>
      </c>
      <c r="BI41" s="27" t="e">
        <f>IF(O41=Dienste!$A$2,Dienste!$C$2,IF(O41=Dienste!$A$3,Dienste!$C$3,IF(O41=Dienste!$A$4,Dienste!$C$4,IF(O41=Dienste!$A$5,Dienste!$C$5,IF(O41=Dienste!$A$6,Dienste!$C$6,IF(O41=Dienste!$A$7,Dienste!$C$7,IF(O41=Dienste!$A$8,Dienste!$C$8,IF(O41=Dienste!$A$9,Dienste!$C$9,IF(O41=Dienste!$A$10,Dienste!$C$10,IF(O41=Dienste!$A$11,Dienste!$C$11,IF(O41=Dienste!$A$12,Dienste!$C$12,IF(O41=Dienste!$A$13,Dienste!$C$13,IF(O41=Dienste!$A$14,Dienste!$C$14,IF(O41=Dienste!$A$15,Dienste!$C$15,IF(O41=Dienste!$A$16,Dienste!$C$16,IF(O41=Dienste!$A$17,Dienste!$C$17,IF(O41=Dienste!$A$18,Dienste!$C$18,IF(O41=Dienste!$A$19,Dienste!$C$19,IF(O41=Dienste!$A$20,Dienste!$C$20,IF(O41=Dienste!$A$21,Dienste!$C$21,IF(O41=Dienste!$A$22,Dienste!$C$22,IF(O41=Dienste!$A$23,Dienste!$C$23,IF(O41=Dienste!$A$24,Dienste!$C$24,IF(O41=Dienste!$A$25,Dienste!$C$25,IF(O41=Dienste!$A$26,Dienste!$C$26,IF(O41=Dienste!$A$27,Dienste!$C$27,IF(O41=Dienste!$A$28,Dienste!$C$28,IF(O41=Dienste!#REF!,Dienste!#REF!,IF(O41=Dienste!#REF!,Dienste!#REF!,IF(O41=Dienste!#REF!,Dienste!#REF!,IF(O41=Dienste!#REF!,Dienste!#REF!,IF(O41=Dienste!$A$33,Dienste!$C$33,IF(O41=Dienste!$A$34,Dienste!$C$34,IF(O41=Dienste!$A$35,Dienste!$C$35,IF(O41=Dienste!$A$36,Dienste!$C$36,)))))))))))))))))))))))))))))))))))</f>
        <v>#REF!</v>
      </c>
      <c r="BJ41" s="27" t="e">
        <f>IF(P41=Dienste!$A$2,Dienste!$C$2,IF(P41=Dienste!$A$3,Dienste!$C$3,IF(P41=Dienste!$A$4,Dienste!$C$4,IF(P41=Dienste!$A$5,Dienste!$C$5,IF(P41=Dienste!$A$6,Dienste!$C$6,IF(P41=Dienste!$A$7,Dienste!$C$7,IF(P41=Dienste!$A$8,Dienste!$C$8,IF(P41=Dienste!$A$9,Dienste!$C$9,IF(P41=Dienste!$A$10,Dienste!$C$10,IF(P41=Dienste!$A$11,Dienste!$C$11,IF(P41=Dienste!$A$12,Dienste!$C$12,IF(P41=Dienste!$A$13,Dienste!$C$13,IF(P41=Dienste!$A$14,Dienste!$C$14,IF(P41=Dienste!$A$15,Dienste!$C$15,IF(P41=Dienste!$A$16,Dienste!$C$16,IF(P41=Dienste!$A$17,Dienste!$C$17,IF(P41=Dienste!$A$18,Dienste!$C$18,IF(P41=Dienste!$A$19,Dienste!$C$19,IF(P41=Dienste!$A$20,Dienste!$C$20,IF(P41=Dienste!$A$21,Dienste!$C$21,IF(P41=Dienste!$A$22,Dienste!$C$22,IF(P41=Dienste!$A$23,Dienste!$C$23,IF(P41=Dienste!$A$24,Dienste!$C$24,IF(P41=Dienste!$A$25,Dienste!$C$25,IF(P41=Dienste!$A$26,Dienste!$C$26,IF(P41=Dienste!$A$27,Dienste!$C$27,IF(P41=Dienste!$A$28,Dienste!$C$28,IF(P41=Dienste!#REF!,Dienste!#REF!,IF(P41=Dienste!#REF!,Dienste!#REF!,IF(P41=Dienste!#REF!,Dienste!#REF!,IF(P41=Dienste!#REF!,Dienste!#REF!,IF(P41=Dienste!$A$33,Dienste!$C$33,IF(P41=Dienste!$A$34,Dienste!$C$34,IF(P41=Dienste!$A$35,Dienste!$C$35,IF(P41=Dienste!$A$36,Dienste!$C$36,)))))))))))))))))))))))))))))))))))</f>
        <v>#REF!</v>
      </c>
      <c r="BK41" s="27" t="e">
        <f>IF(Q41=Dienste!$A$2,Dienste!$C$2,IF(Q41=Dienste!$A$3,Dienste!$C$3,IF(Q41=Dienste!$A$4,Dienste!$C$4,IF(Q41=Dienste!$A$5,Dienste!$C$5,IF(Q41=Dienste!$A$6,Dienste!$C$6,IF(Q41=Dienste!$A$7,Dienste!$C$7,IF(Q41=Dienste!$A$8,Dienste!$C$8,IF(Q41=Dienste!$A$9,Dienste!$C$9,IF(Q41=Dienste!$A$10,Dienste!$C$10,IF(Q41=Dienste!$A$11,Dienste!$C$11,IF(Q41=Dienste!$A$12,Dienste!$C$12,IF(Q41=Dienste!$A$13,Dienste!$C$13,IF(Q41=Dienste!$A$14,Dienste!$C$14,IF(Q41=Dienste!$A$15,Dienste!$C$15,IF(Q41=Dienste!$A$16,Dienste!$C$16,IF(Q41=Dienste!$A$17,Dienste!$C$17,IF(Q41=Dienste!$A$18,Dienste!$C$18,IF(Q41=Dienste!$A$19,Dienste!$C$19,IF(Q41=Dienste!$A$20,Dienste!$C$20,IF(Q41=Dienste!$A$21,Dienste!$C$21,IF(Q41=Dienste!$A$22,Dienste!$C$22,IF(Q41=Dienste!$A$23,Dienste!$C$23,IF(Q41=Dienste!$A$24,Dienste!$C$24,IF(Q41=Dienste!$A$25,Dienste!$C$25,IF(Q41=Dienste!$A$26,Dienste!$C$26,IF(Q41=Dienste!$A$27,Dienste!$C$27,IF(Q41=Dienste!$A$28,Dienste!$C$28,IF(Q41=Dienste!#REF!,Dienste!#REF!,IF(Q41=Dienste!#REF!,Dienste!#REF!,IF(Q41=Dienste!#REF!,Dienste!#REF!,IF(Q41=Dienste!#REF!,Dienste!#REF!,IF(Q41=Dienste!$A$33,Dienste!$C$33,IF(Q41=Dienste!$A$34,Dienste!$C$34,IF(Q41=Dienste!$A$35,Dienste!$C$35,IF(Q41=Dienste!$A$36,Dienste!$C$36,)))))))))))))))))))))))))))))))))))</f>
        <v>#REF!</v>
      </c>
      <c r="BL41" s="27" t="e">
        <f>IF(R41=Dienste!$A$2,Dienste!$C$2,IF(R41=Dienste!$A$3,Dienste!$C$3,IF(R41=Dienste!$A$4,Dienste!$C$4,IF(R41=Dienste!$A$5,Dienste!$C$5,IF(R41=Dienste!$A$6,Dienste!$C$6,IF(R41=Dienste!$A$7,Dienste!$C$7,IF(R41=Dienste!$A$8,Dienste!$C$8,IF(R41=Dienste!$A$9,Dienste!$C$9,IF(R41=Dienste!$A$10,Dienste!$C$10,IF(R41=Dienste!$A$11,Dienste!$C$11,IF(R41=Dienste!$A$12,Dienste!$C$12,IF(R41=Dienste!$A$13,Dienste!$C$13,IF(R41=Dienste!$A$14,Dienste!$C$14,IF(R41=Dienste!$A$15,Dienste!$C$15,IF(R41=Dienste!$A$16,Dienste!$C$16,IF(R41=Dienste!$A$17,Dienste!$C$17,IF(R41=Dienste!$A$18,Dienste!$C$18,IF(R41=Dienste!$A$19,Dienste!$C$19,IF(R41=Dienste!$A$20,Dienste!$C$20,IF(R41=Dienste!$A$21,Dienste!$C$21,IF(R41=Dienste!$A$22,Dienste!$C$22,IF(R41=Dienste!$A$23,Dienste!$C$23,IF(R41=Dienste!$A$24,Dienste!$C$24,IF(R41=Dienste!$A$25,Dienste!$C$25,IF(R41=Dienste!$A$26,Dienste!$C$26,IF(R41=Dienste!$A$27,Dienste!$C$27,IF(R41=Dienste!$A$28,Dienste!$C$28,IF(R41=Dienste!#REF!,Dienste!#REF!,IF(R41=Dienste!#REF!,Dienste!#REF!,IF(R41=Dienste!#REF!,Dienste!#REF!,IF(R41=Dienste!#REF!,Dienste!#REF!,IF(R41=Dienste!$A$33,Dienste!$C$33,IF(R41=Dienste!$A$34,Dienste!$C$34,IF(R41=Dienste!$A$35,Dienste!$C$35,IF(R41=Dienste!$A$36,Dienste!$C$36,)))))))))))))))))))))))))))))))))))</f>
        <v>#REF!</v>
      </c>
      <c r="BM41" s="27" t="e">
        <f>IF(S41=Dienste!$A$2,Dienste!$C$2,IF(S41=Dienste!$A$3,Dienste!$C$3,IF(S41=Dienste!$A$4,Dienste!$C$4,IF(S41=Dienste!$A$5,Dienste!$C$5,IF(S41=Dienste!$A$6,Dienste!$C$6,IF(S41=Dienste!$A$7,Dienste!$C$7,IF(S41=Dienste!$A$8,Dienste!$C$8,IF(S41=Dienste!$A$9,Dienste!$C$9,IF(S41=Dienste!$A$10,Dienste!$C$10,IF(S41=Dienste!$A$11,Dienste!$C$11,IF(S41=Dienste!$A$12,Dienste!$C$12,IF(S41=Dienste!$A$13,Dienste!$C$13,IF(S41=Dienste!$A$14,Dienste!$C$14,IF(S41=Dienste!$A$15,Dienste!$C$15,IF(S41=Dienste!$A$16,Dienste!$C$16,IF(S41=Dienste!$A$17,Dienste!$C$17,IF(S41=Dienste!$A$18,Dienste!$C$18,IF(S41=Dienste!$A$19,Dienste!$C$19,IF(S41=Dienste!$A$20,Dienste!$C$20,IF(S41=Dienste!$A$21,Dienste!$C$21,IF(S41=Dienste!$A$22,Dienste!$C$22,IF(S41=Dienste!$A$23,Dienste!$C$23,IF(S41=Dienste!$A$24,Dienste!$C$24,IF(S41=Dienste!$A$25,Dienste!$C$25,IF(S41=Dienste!$A$26,Dienste!$C$26,IF(S41=Dienste!$A$27,Dienste!$C$27,IF(S41=Dienste!$A$28,Dienste!$C$28,IF(S41=Dienste!#REF!,Dienste!#REF!,IF(S41=Dienste!#REF!,Dienste!#REF!,IF(S41=Dienste!#REF!,Dienste!#REF!,IF(S41=Dienste!#REF!,Dienste!#REF!,IF(S41=Dienste!$A$33,Dienste!$C$33,IF(S41=Dienste!$A$34,Dienste!$C$34,IF(S41=Dienste!$A$35,Dienste!$C$35,IF(S41=Dienste!$A$36,Dienste!$C$36,)))))))))))))))))))))))))))))))))))</f>
        <v>#REF!</v>
      </c>
      <c r="BN41" s="27" t="e">
        <f>IF(T41=Dienste!$A$2,Dienste!$C$2,IF(T41=Dienste!$A$3,Dienste!$C$3,IF(T41=Dienste!$A$4,Dienste!$C$4,IF(T41=Dienste!$A$5,Dienste!$C$5,IF(T41=Dienste!$A$6,Dienste!$C$6,IF(T41=Dienste!$A$7,Dienste!$C$7,IF(T41=Dienste!$A$8,Dienste!$C$8,IF(T41=Dienste!$A$9,Dienste!$C$9,IF(T41=Dienste!$A$10,Dienste!$C$10,IF(T41=Dienste!$A$11,Dienste!$C$11,IF(T41=Dienste!$A$12,Dienste!$C$12,IF(T41=Dienste!$A$13,Dienste!$C$13,IF(T41=Dienste!$A$14,Dienste!$C$14,IF(T41=Dienste!$A$15,Dienste!$C$15,IF(T41=Dienste!$A$16,Dienste!$C$16,IF(T41=Dienste!$A$17,Dienste!$C$17,IF(T41=Dienste!$A$18,Dienste!$C$18,IF(T41=Dienste!$A$19,Dienste!$C$19,IF(T41=Dienste!$A$20,Dienste!$C$20,IF(T41=Dienste!$A$21,Dienste!$C$21,IF(T41=Dienste!$A$22,Dienste!$C$22,IF(T41=Dienste!$A$23,Dienste!$C$23,IF(T41=Dienste!$A$24,Dienste!$C$24,IF(T41=Dienste!$A$25,Dienste!$C$25,IF(T41=Dienste!$A$26,Dienste!$C$26,IF(T41=Dienste!$A$27,Dienste!$C$27,IF(T41=Dienste!$A$28,Dienste!$C$28,IF(T41=Dienste!#REF!,Dienste!#REF!,IF(T41=Dienste!#REF!,Dienste!#REF!,IF(T41=Dienste!#REF!,Dienste!#REF!,IF(T41=Dienste!#REF!,Dienste!#REF!,IF(T41=Dienste!$A$33,Dienste!$C$33,IF(T41=Dienste!$A$34,Dienste!$C$34,IF(T41=Dienste!$A$35,Dienste!$C$35,IF(T41=Dienste!$A$36,Dienste!$C$36,)))))))))))))))))))))))))))))))))))</f>
        <v>#REF!</v>
      </c>
      <c r="BO41" s="27" t="e">
        <f>IF(U41=Dienste!$A$2,Dienste!$C$2,IF(U41=Dienste!$A$3,Dienste!$C$3,IF(U41=Dienste!$A$4,Dienste!$C$4,IF(U41=Dienste!$A$5,Dienste!$C$5,IF(U41=Dienste!$A$6,Dienste!$C$6,IF(U41=Dienste!$A$7,Dienste!$C$7,IF(U41=Dienste!$A$8,Dienste!$C$8,IF(U41=Dienste!$A$9,Dienste!$C$9,IF(U41=Dienste!$A$10,Dienste!$C$10,IF(U41=Dienste!$A$11,Dienste!$C$11,IF(U41=Dienste!$A$12,Dienste!$C$12,IF(U41=Dienste!$A$13,Dienste!$C$13,IF(U41=Dienste!$A$14,Dienste!$C$14,IF(U41=Dienste!$A$15,Dienste!$C$15,IF(U41=Dienste!$A$16,Dienste!$C$16,IF(U41=Dienste!$A$17,Dienste!$C$17,IF(U41=Dienste!$A$18,Dienste!$C$18,IF(U41=Dienste!$A$19,Dienste!$C$19,IF(U41=Dienste!$A$20,Dienste!$C$20,IF(U41=Dienste!$A$21,Dienste!$C$21,IF(U41=Dienste!$A$22,Dienste!$C$22,IF(U41=Dienste!$A$23,Dienste!$C$23,IF(U41=Dienste!$A$24,Dienste!$C$24,IF(U41=Dienste!$A$25,Dienste!$C$25,IF(U41=Dienste!$A$26,Dienste!$C$26,IF(U41=Dienste!$A$27,Dienste!$C$27,IF(U41=Dienste!$A$28,Dienste!$C$28,IF(U41=Dienste!#REF!,Dienste!#REF!,IF(U41=Dienste!#REF!,Dienste!#REF!,IF(U41=Dienste!#REF!,Dienste!#REF!,IF(U41=Dienste!#REF!,Dienste!#REF!,IF(U41=Dienste!$A$33,Dienste!$C$33,IF(U41=Dienste!$A$34,Dienste!$C$34,IF(U41=Dienste!$A$35,Dienste!$C$35,IF(U41=Dienste!$A$36,Dienste!$C$36,)))))))))))))))))))))))))))))))))))</f>
        <v>#REF!</v>
      </c>
      <c r="BP41" s="27" t="e">
        <f>IF(V41=Dienste!$A$2,Dienste!$C$2,IF(V41=Dienste!$A$3,Dienste!$C$3,IF(V41=Dienste!$A$4,Dienste!$C$4,IF(V41=Dienste!$A$5,Dienste!$C$5,IF(V41=Dienste!$A$6,Dienste!$C$6,IF(V41=Dienste!$A$7,Dienste!$C$7,IF(V41=Dienste!$A$8,Dienste!$C$8,IF(V41=Dienste!$A$9,Dienste!$C$9,IF(V41=Dienste!$A$10,Dienste!$C$10,IF(V41=Dienste!$A$11,Dienste!$C$11,IF(V41=Dienste!$A$12,Dienste!$C$12,IF(V41=Dienste!$A$13,Dienste!$C$13,IF(V41=Dienste!$A$14,Dienste!$C$14,IF(V41=Dienste!$A$15,Dienste!$C$15,IF(V41=Dienste!$A$16,Dienste!$C$16,IF(V41=Dienste!$A$17,Dienste!$C$17,IF(V41=Dienste!$A$18,Dienste!$C$18,IF(V41=Dienste!$A$19,Dienste!$C$19,IF(V41=Dienste!$A$20,Dienste!$C$20,IF(V41=Dienste!$A$21,Dienste!$C$21,IF(V41=Dienste!$A$22,Dienste!$C$22,IF(V41=Dienste!$A$23,Dienste!$C$23,IF(V41=Dienste!$A$24,Dienste!$C$24,IF(V41=Dienste!$A$25,Dienste!$C$25,IF(V41=Dienste!$A$26,Dienste!$C$26,IF(V41=Dienste!$A$27,Dienste!$C$27,IF(V41=Dienste!$A$28,Dienste!$C$28,IF(V41=Dienste!#REF!,Dienste!#REF!,IF(V41=Dienste!#REF!,Dienste!#REF!,IF(V41=Dienste!#REF!,Dienste!#REF!,IF(V41=Dienste!#REF!,Dienste!#REF!,IF(V41=Dienste!$A$33,Dienste!$C$33,IF(V41=Dienste!$A$34,Dienste!$C$34,IF(V41=Dienste!$A$35,Dienste!$C$35,IF(V41=Dienste!$A$36,Dienste!$C$36,)))))))))))))))))))))))))))))))))))</f>
        <v>#REF!</v>
      </c>
      <c r="BQ41" s="27" t="e">
        <f>IF(W41=Dienste!$A$2,Dienste!$C$2,IF(W41=Dienste!$A$3,Dienste!$C$3,IF(W41=Dienste!$A$4,Dienste!$C$4,IF(W41=Dienste!$A$5,Dienste!$C$5,IF(W41=Dienste!$A$6,Dienste!$C$6,IF(W41=Dienste!$A$7,Dienste!$C$7,IF(W41=Dienste!$A$8,Dienste!$C$8,IF(W41=Dienste!$A$9,Dienste!$C$9,IF(W41=Dienste!$A$10,Dienste!$C$10,IF(W41=Dienste!$A$11,Dienste!$C$11,IF(W41=Dienste!$A$12,Dienste!$C$12,IF(W41=Dienste!$A$13,Dienste!$C$13,IF(W41=Dienste!$A$14,Dienste!$C$14,IF(W41=Dienste!$A$15,Dienste!$C$15,IF(W41=Dienste!$A$16,Dienste!$C$16,IF(W41=Dienste!$A$17,Dienste!$C$17,IF(W41=Dienste!$A$18,Dienste!$C$18,IF(W41=Dienste!$A$19,Dienste!$C$19,IF(W41=Dienste!$A$20,Dienste!$C$20,IF(W41=Dienste!$A$21,Dienste!$C$21,IF(W41=Dienste!$A$22,Dienste!$C$22,IF(W41=Dienste!$A$23,Dienste!$C$23,IF(W41=Dienste!$A$24,Dienste!$C$24,IF(W41=Dienste!$A$25,Dienste!$C$25,IF(W41=Dienste!$A$26,Dienste!$C$26,IF(W41=Dienste!$A$27,Dienste!$C$27,IF(W41=Dienste!$A$28,Dienste!$C$28,IF(W41=Dienste!#REF!,Dienste!#REF!,IF(W41=Dienste!#REF!,Dienste!#REF!,IF(W41=Dienste!#REF!,Dienste!#REF!,IF(W41=Dienste!#REF!,Dienste!#REF!,IF(W41=Dienste!$A$33,Dienste!$C$33,IF(W41=Dienste!$A$34,Dienste!$C$34,IF(W41=Dienste!$A$35,Dienste!$C$35,IF(W41=Dienste!$A$36,Dienste!$C$36,)))))))))))))))))))))))))))))))))))</f>
        <v>#REF!</v>
      </c>
      <c r="BR41" s="27" t="e">
        <f>IF(X41=Dienste!$A$2,Dienste!$C$2,IF(X41=Dienste!$A$3,Dienste!$C$3,IF(X41=Dienste!$A$4,Dienste!$C$4,IF(X41=Dienste!$A$5,Dienste!$C$5,IF(X41=Dienste!$A$6,Dienste!$C$6,IF(X41=Dienste!$A$7,Dienste!$C$7,IF(X41=Dienste!$A$8,Dienste!$C$8,IF(X41=Dienste!$A$9,Dienste!$C$9,IF(X41=Dienste!$A$10,Dienste!$C$10,IF(X41=Dienste!$A$11,Dienste!$C$11,IF(X41=Dienste!$A$12,Dienste!$C$12,IF(X41=Dienste!$A$13,Dienste!$C$13,IF(X41=Dienste!$A$14,Dienste!$C$14,IF(X41=Dienste!$A$15,Dienste!$C$15,IF(X41=Dienste!$A$16,Dienste!$C$16,IF(X41=Dienste!$A$17,Dienste!$C$17,IF(X41=Dienste!$A$18,Dienste!$C$18,IF(X41=Dienste!$A$19,Dienste!$C$19,IF(X41=Dienste!$A$20,Dienste!$C$20,IF(X41=Dienste!$A$21,Dienste!$C$21,IF(X41=Dienste!$A$22,Dienste!$C$22,IF(X41=Dienste!$A$23,Dienste!$C$23,IF(X41=Dienste!$A$24,Dienste!$C$24,IF(X41=Dienste!$A$25,Dienste!$C$25,IF(X41=Dienste!$A$26,Dienste!$C$26,IF(X41=Dienste!$A$27,Dienste!$C$27,IF(X41=Dienste!$A$28,Dienste!$C$28,IF(X41=Dienste!#REF!,Dienste!#REF!,IF(X41=Dienste!#REF!,Dienste!#REF!,IF(X41=Dienste!#REF!,Dienste!#REF!,IF(X41=Dienste!#REF!,Dienste!#REF!,IF(X41=Dienste!$A$33,Dienste!$C$33,IF(X41=Dienste!$A$34,Dienste!$C$34,IF(X41=Dienste!$A$35,Dienste!$C$35,IF(X41=Dienste!$A$36,Dienste!$C$36,)))))))))))))))))))))))))))))))))))</f>
        <v>#REF!</v>
      </c>
      <c r="BS41" s="27" t="e">
        <f>IF(Y41=Dienste!$A$2,Dienste!$C$2,IF(Y41=Dienste!$A$3,Dienste!$C$3,IF(Y41=Dienste!$A$4,Dienste!$C$4,IF(Y41=Dienste!$A$5,Dienste!$C$5,IF(Y41=Dienste!$A$6,Dienste!$C$6,IF(Y41=Dienste!$A$7,Dienste!$C$7,IF(Y41=Dienste!$A$8,Dienste!$C$8,IF(Y41=Dienste!$A$9,Dienste!$C$9,IF(Y41=Dienste!$A$10,Dienste!$C$10,IF(Y41=Dienste!$A$11,Dienste!$C$11,IF(Y41=Dienste!$A$12,Dienste!$C$12,IF(Y41=Dienste!$A$13,Dienste!$C$13,IF(Y41=Dienste!$A$14,Dienste!$C$14,IF(Y41=Dienste!$A$15,Dienste!$C$15,IF(Y41=Dienste!$A$16,Dienste!$C$16,IF(Y41=Dienste!$A$17,Dienste!$C$17,IF(Y41=Dienste!$A$18,Dienste!$C$18,IF(Y41=Dienste!$A$19,Dienste!$C$19,IF(Y41=Dienste!$A$20,Dienste!$C$20,IF(Y41=Dienste!$A$21,Dienste!$C$21,IF(Y41=Dienste!$A$22,Dienste!$C$22,IF(Y41=Dienste!$A$23,Dienste!$C$23,IF(Y41=Dienste!$A$24,Dienste!$C$24,IF(Y41=Dienste!$A$25,Dienste!$C$25,IF(Y41=Dienste!$A$26,Dienste!$C$26,IF(Y41=Dienste!$A$27,Dienste!$C$27,IF(Y41=Dienste!$A$28,Dienste!$C$28,IF(Y41=Dienste!#REF!,Dienste!#REF!,IF(Y41=Dienste!#REF!,Dienste!#REF!,IF(Y41=Dienste!#REF!,Dienste!#REF!,IF(Y41=Dienste!#REF!,Dienste!#REF!,IF(Y41=Dienste!$A$33,Dienste!$C$33,IF(Y41=Dienste!$A$34,Dienste!$C$34,IF(Y41=Dienste!$A$35,Dienste!$C$35,IF(Y41=Dienste!$A$36,Dienste!$C$36,)))))))))))))))))))))))))))))))))))</f>
        <v>#REF!</v>
      </c>
      <c r="BT41" s="27" t="e">
        <f>IF(Z41=Dienste!$A$2,Dienste!$C$2,IF(Z41=Dienste!$A$3,Dienste!$C$3,IF(Z41=Dienste!$A$4,Dienste!$C$4,IF(Z41=Dienste!$A$5,Dienste!$C$5,IF(Z41=Dienste!$A$6,Dienste!$C$6,IF(Z41=Dienste!$A$7,Dienste!$C$7,IF(Z41=Dienste!$A$8,Dienste!$C$8,IF(Z41=Dienste!$A$9,Dienste!$C$9,IF(Z41=Dienste!$A$10,Dienste!$C$10,IF(Z41=Dienste!$A$11,Dienste!$C$11,IF(Z41=Dienste!$A$12,Dienste!$C$12,IF(Z41=Dienste!$A$13,Dienste!$C$13,IF(Z41=Dienste!$A$14,Dienste!$C$14,IF(Z41=Dienste!$A$15,Dienste!$C$15,IF(Z41=Dienste!$A$16,Dienste!$C$16,IF(Z41=Dienste!$A$17,Dienste!$C$17,IF(Z41=Dienste!$A$18,Dienste!$C$18,IF(Z41=Dienste!$A$19,Dienste!$C$19,IF(Z41=Dienste!$A$20,Dienste!$C$20,IF(Z41=Dienste!$A$21,Dienste!$C$21,IF(Z41=Dienste!$A$22,Dienste!$C$22,IF(Z41=Dienste!$A$23,Dienste!$C$23,IF(Z41=Dienste!$A$24,Dienste!$C$24,IF(Z41=Dienste!$A$25,Dienste!$C$25,IF(Z41=Dienste!$A$26,Dienste!$C$26,IF(Z41=Dienste!$A$27,Dienste!$C$27,IF(Z41=Dienste!$A$28,Dienste!$C$28,IF(Z41=Dienste!#REF!,Dienste!#REF!,IF(Z41=Dienste!#REF!,Dienste!#REF!,IF(Z41=Dienste!#REF!,Dienste!#REF!,IF(Z41=Dienste!#REF!,Dienste!#REF!,IF(Z41=Dienste!$A$33,Dienste!$C$33,IF(Z41=Dienste!$A$34,Dienste!$C$34,IF(Z41=Dienste!$A$35,Dienste!$C$35,IF(Z41=Dienste!$A$36,Dienste!$C$36,)))))))))))))))))))))))))))))))))))</f>
        <v>#REF!</v>
      </c>
      <c r="BU41" s="27" t="e">
        <f>IF(AA41=Dienste!$A$2,Dienste!$C$2,IF(AA41=Dienste!$A$3,Dienste!$C$3,IF(AA41=Dienste!$A$4,Dienste!$C$4,IF(AA41=Dienste!$A$5,Dienste!$C$5,IF(AA41=Dienste!$A$6,Dienste!$C$6,IF(AA41=Dienste!$A$7,Dienste!$C$7,IF(AA41=Dienste!$A$8,Dienste!$C$8,IF(AA41=Dienste!$A$9,Dienste!$C$9,IF(AA41=Dienste!$A$10,Dienste!$C$10,IF(AA41=Dienste!$A$11,Dienste!$C$11,IF(AA41=Dienste!$A$12,Dienste!$C$12,IF(AA41=Dienste!$A$13,Dienste!$C$13,IF(AA41=Dienste!$A$14,Dienste!$C$14,IF(AA41=Dienste!$A$15,Dienste!$C$15,IF(AA41=Dienste!$A$16,Dienste!$C$16,IF(AA41=Dienste!$A$17,Dienste!$C$17,IF(AA41=Dienste!$A$18,Dienste!$C$18,IF(AA41=Dienste!$A$19,Dienste!$C$19,IF(AA41=Dienste!$A$20,Dienste!$C$20,IF(AA41=Dienste!$A$21,Dienste!$C$21,IF(AA41=Dienste!$A$22,Dienste!$C$22,IF(AA41=Dienste!$A$23,Dienste!$C$23,IF(AA41=Dienste!$A$24,Dienste!$C$24,IF(AA41=Dienste!$A$25,Dienste!$C$25,IF(AA41=Dienste!$A$26,Dienste!$C$26,IF(AA41=Dienste!$A$27,Dienste!$C$27,IF(AA41=Dienste!$A$28,Dienste!$C$28,IF(AA41=Dienste!#REF!,Dienste!#REF!,IF(AA41=Dienste!#REF!,Dienste!#REF!,IF(AA41=Dienste!#REF!,Dienste!#REF!,IF(AA41=Dienste!#REF!,Dienste!#REF!,IF(AA41=Dienste!$A$33,Dienste!$C$33,IF(AA41=Dienste!$A$34,Dienste!$C$34,IF(AA41=Dienste!$A$35,Dienste!$C$35,IF(AA41=Dienste!$A$36,Dienste!$C$36,)))))))))))))))))))))))))))))))))))</f>
        <v>#REF!</v>
      </c>
      <c r="BV41" s="27" t="e">
        <f>IF(AB41=Dienste!$A$2,Dienste!$C$2,IF(AB41=Dienste!$A$3,Dienste!$C$3,IF(AB41=Dienste!$A$4,Dienste!$C$4,IF(AB41=Dienste!$A$5,Dienste!$C$5,IF(AB41=Dienste!$A$6,Dienste!$C$6,IF(AB41=Dienste!$A$7,Dienste!$C$7,IF(AB41=Dienste!$A$8,Dienste!$C$8,IF(AB41=Dienste!$A$9,Dienste!$C$9,IF(AB41=Dienste!$A$10,Dienste!$C$10,IF(AB41=Dienste!$A$11,Dienste!$C$11,IF(AB41=Dienste!$A$12,Dienste!$C$12,IF(AB41=Dienste!$A$13,Dienste!$C$13,IF(AB41=Dienste!$A$14,Dienste!$C$14,IF(AB41=Dienste!$A$15,Dienste!$C$15,IF(AB41=Dienste!$A$16,Dienste!$C$16,IF(AB41=Dienste!$A$17,Dienste!$C$17,IF(AB41=Dienste!$A$18,Dienste!$C$18,IF(AB41=Dienste!$A$19,Dienste!$C$19,IF(AB41=Dienste!$A$20,Dienste!$C$20,IF(AB41=Dienste!$A$21,Dienste!$C$21,IF(AB41=Dienste!$A$22,Dienste!$C$22,IF(AB41=Dienste!$A$23,Dienste!$C$23,IF(AB41=Dienste!$A$24,Dienste!$C$24,IF(AB41=Dienste!$A$25,Dienste!$C$25,IF(AB41=Dienste!$A$26,Dienste!$C$26,IF(AB41=Dienste!$A$27,Dienste!$C$27,IF(AB41=Dienste!$A$28,Dienste!$C$28,IF(AB41=Dienste!#REF!,Dienste!#REF!,IF(AB41=Dienste!#REF!,Dienste!#REF!,IF(AB41=Dienste!#REF!,Dienste!#REF!,IF(AB41=Dienste!#REF!,Dienste!#REF!,IF(AB41=Dienste!$A$33,Dienste!$C$33,IF(AB41=Dienste!$A$34,Dienste!$C$34,IF(AB41=Dienste!$A$35,Dienste!$C$35,IF(AB41=Dienste!$A$36,Dienste!$C$36,)))))))))))))))))))))))))))))))))))</f>
        <v>#REF!</v>
      </c>
      <c r="BW41" s="27" t="e">
        <f>IF(AC41=Dienste!$A$2,Dienste!$C$2,IF(AC41=Dienste!$A$3,Dienste!$C$3,IF(AC41=Dienste!$A$4,Dienste!$C$4,IF(AC41=Dienste!$A$5,Dienste!$C$5,IF(AC41=Dienste!$A$6,Dienste!$C$6,IF(AC41=Dienste!$A$7,Dienste!$C$7,IF(AC41=Dienste!$A$8,Dienste!$C$8,IF(AC41=Dienste!$A$9,Dienste!$C$9,IF(AC41=Dienste!$A$10,Dienste!$C$10,IF(AC41=Dienste!$A$11,Dienste!$C$11,IF(AC41=Dienste!$A$12,Dienste!$C$12,IF(AC41=Dienste!$A$13,Dienste!$C$13,IF(AC41=Dienste!$A$14,Dienste!$C$14,IF(AC41=Dienste!$A$15,Dienste!$C$15,IF(AC41=Dienste!$A$16,Dienste!$C$16,IF(AC41=Dienste!$A$17,Dienste!$C$17,IF(AC41=Dienste!$A$18,Dienste!$C$18,IF(AC41=Dienste!$A$19,Dienste!$C$19,IF(AC41=Dienste!$A$20,Dienste!$C$20,IF(AC41=Dienste!$A$21,Dienste!$C$21,IF(AC41=Dienste!$A$22,Dienste!$C$22,IF(AC41=Dienste!$A$23,Dienste!$C$23,IF(AC41=Dienste!$A$24,Dienste!$C$24,IF(AC41=Dienste!$A$25,Dienste!$C$25,IF(AC41=Dienste!$A$26,Dienste!$C$26,IF(AC41=Dienste!$A$27,Dienste!$C$27,IF(AC41=Dienste!$A$28,Dienste!$C$28,IF(AC41=Dienste!#REF!,Dienste!#REF!,IF(AC41=Dienste!#REF!,Dienste!#REF!,IF(AC41=Dienste!#REF!,Dienste!#REF!,IF(AC41=Dienste!#REF!,Dienste!#REF!,IF(AC41=Dienste!$A$33,Dienste!$C$33,IF(AC41=Dienste!$A$34,Dienste!$C$34,IF(AC41=Dienste!$A$35,Dienste!$C$35,IF(AC41=Dienste!$A$36,Dienste!$C$36,)))))))))))))))))))))))))))))))))))</f>
        <v>#REF!</v>
      </c>
      <c r="BX41" s="27" t="e">
        <f>IF(AD41=Dienste!$A$2,Dienste!$C$2,IF(AD41=Dienste!$A$3,Dienste!$C$3,IF(AD41=Dienste!$A$4,Dienste!$C$4,IF(AD41=Dienste!$A$5,Dienste!$C$5,IF(AD41=Dienste!$A$6,Dienste!$C$6,IF(AD41=Dienste!$A$7,Dienste!$C$7,IF(AD41=Dienste!$A$8,Dienste!$C$8,IF(AD41=Dienste!$A$9,Dienste!$C$9,IF(AD41=Dienste!$A$10,Dienste!$C$10,IF(AD41=Dienste!$A$11,Dienste!$C$11,IF(AD41=Dienste!$A$12,Dienste!$C$12,IF(AD41=Dienste!$A$13,Dienste!$C$13,IF(AD41=Dienste!$A$14,Dienste!$C$14,IF(AD41=Dienste!$A$15,Dienste!$C$15,IF(AD41=Dienste!$A$16,Dienste!$C$16,IF(AD41=Dienste!$A$17,Dienste!$C$17,IF(AD41=Dienste!$A$18,Dienste!$C$18,IF(AD41=Dienste!$A$19,Dienste!$C$19,IF(AD41=Dienste!$A$20,Dienste!$C$20,IF(AD41=Dienste!$A$21,Dienste!$C$21,IF(AD41=Dienste!$A$22,Dienste!$C$22,IF(AD41=Dienste!$A$23,Dienste!$C$23,IF(AD41=Dienste!$A$24,Dienste!$C$24,IF(AD41=Dienste!$A$25,Dienste!$C$25,IF(AD41=Dienste!$A$26,Dienste!$C$26,IF(AD41=Dienste!$A$27,Dienste!$C$27,IF(AD41=Dienste!$A$28,Dienste!$C$28,IF(AD41=Dienste!#REF!,Dienste!#REF!,IF(AD41=Dienste!#REF!,Dienste!#REF!,IF(AD41=Dienste!#REF!,Dienste!#REF!,IF(AD41=Dienste!#REF!,Dienste!#REF!,IF(AD41=Dienste!$A$33,Dienste!$C$33,IF(AD41=Dienste!$A$34,Dienste!$C$34,IF(AD41=Dienste!$A$35,Dienste!$C$35,IF(AD41=Dienste!$A$36,Dienste!$C$36,)))))))))))))))))))))))))))))))))))</f>
        <v>#REF!</v>
      </c>
      <c r="BY41" s="27" t="e">
        <f>IF(AE41=Dienste!$A$2,Dienste!$C$2,IF(AE41=Dienste!$A$3,Dienste!$C$3,IF(AE41=Dienste!$A$4,Dienste!$C$4,IF(AE41=Dienste!$A$5,Dienste!$C$5,IF(AE41=Dienste!$A$6,Dienste!$C$6,IF(AE41=Dienste!$A$7,Dienste!$C$7,IF(AE41=Dienste!$A$8,Dienste!$C$8,IF(AE41=Dienste!$A$9,Dienste!$C$9,IF(AE41=Dienste!$A$10,Dienste!$C$10,IF(AE41=Dienste!$A$11,Dienste!$C$11,IF(AE41=Dienste!$A$12,Dienste!$C$12,IF(AE41=Dienste!$A$13,Dienste!$C$13,IF(AE41=Dienste!$A$14,Dienste!$C$14,IF(AE41=Dienste!$A$15,Dienste!$C$15,IF(AE41=Dienste!$A$16,Dienste!$C$16,IF(AE41=Dienste!$A$17,Dienste!$C$17,IF(AE41=Dienste!$A$18,Dienste!$C$18,IF(AE41=Dienste!$A$19,Dienste!$C$19,IF(AE41=Dienste!$A$20,Dienste!$C$20,IF(AE41=Dienste!$A$21,Dienste!$C$21,IF(AE41=Dienste!$A$22,Dienste!$C$22,IF(AE41=Dienste!$A$23,Dienste!$C$23,IF(AE41=Dienste!$A$24,Dienste!$C$24,IF(AE41=Dienste!$A$25,Dienste!$C$25,IF(AE41=Dienste!$A$26,Dienste!$C$26,IF(AE41=Dienste!$A$27,Dienste!$C$27,IF(AE41=Dienste!$A$28,Dienste!$C$28,IF(AE41=Dienste!#REF!,Dienste!#REF!,IF(AE41=Dienste!#REF!,Dienste!#REF!,IF(AE41=Dienste!#REF!,Dienste!#REF!,IF(AE41=Dienste!#REF!,Dienste!#REF!,IF(AE41=Dienste!$A$33,Dienste!$C$33,IF(AE41=Dienste!$A$34,Dienste!$C$34,IF(AE41=Dienste!$A$35,Dienste!$C$35,IF(AE41=Dienste!$A$36,Dienste!$C$36,)))))))))))))))))))))))))))))))))))</f>
        <v>#REF!</v>
      </c>
      <c r="BZ41" s="27" t="e">
        <f>IF(AF41=Dienste!$A$2,Dienste!$C$2,IF(AF41=Dienste!$A$3,Dienste!$C$3,IF(AF41=Dienste!$A$4,Dienste!$C$4,IF(AF41=Dienste!$A$5,Dienste!$C$5,IF(AF41=Dienste!$A$6,Dienste!$C$6,IF(AF41=Dienste!$A$7,Dienste!$C$7,IF(AF41=Dienste!$A$8,Dienste!$C$8,IF(AF41=Dienste!$A$9,Dienste!$C$9,IF(AF41=Dienste!$A$10,Dienste!$C$10,IF(AF41=Dienste!$A$11,Dienste!$C$11,IF(AF41=Dienste!$A$12,Dienste!$C$12,IF(AF41=Dienste!$A$13,Dienste!$C$13,IF(AF41=Dienste!$A$14,Dienste!$C$14,IF(AF41=Dienste!$A$15,Dienste!$C$15,IF(AF41=Dienste!$A$16,Dienste!$C$16,IF(AF41=Dienste!$A$17,Dienste!$C$17,IF(AF41=Dienste!$A$18,Dienste!$C$18,IF(AF41=Dienste!$A$19,Dienste!$C$19,IF(AF41=Dienste!$A$20,Dienste!$C$20,IF(AF41=Dienste!$A$21,Dienste!$C$21,IF(AF41=Dienste!$A$22,Dienste!$C$22,IF(AF41=Dienste!$A$23,Dienste!$C$23,IF(AF41=Dienste!$A$24,Dienste!$C$24,IF(AF41=Dienste!$A$25,Dienste!$C$25,IF(AF41=Dienste!$A$26,Dienste!$C$26,IF(AF41=Dienste!$A$27,Dienste!$C$27,IF(AF41=Dienste!$A$28,Dienste!$C$28,IF(AF41=Dienste!#REF!,Dienste!#REF!,IF(AF41=Dienste!#REF!,Dienste!#REF!,IF(AF41=Dienste!#REF!,Dienste!#REF!,IF(AF41=Dienste!#REF!,Dienste!#REF!,IF(AF41=Dienste!$A$33,Dienste!$C$33,IF(AF41=Dienste!$A$34,Dienste!$C$34,IF(AF41=Dienste!$A$35,Dienste!$C$35,IF(AF41=Dienste!$A$36,Dienste!$C$36,)))))))))))))))))))))))))))))))))))</f>
        <v>#REF!</v>
      </c>
      <c r="CA41" s="27" t="e">
        <f>IF(AG41=Dienste!$A$2,Dienste!$C$2,IF(AG41=Dienste!$A$3,Dienste!$C$3,IF(AG41=Dienste!$A$4,Dienste!$C$4,IF(AG41=Dienste!$A$5,Dienste!$C$5,IF(AG41=Dienste!$A$6,Dienste!$C$6,IF(AG41=Dienste!$A$7,Dienste!$C$7,IF(AG41=Dienste!$A$8,Dienste!$C$8,IF(AG41=Dienste!$A$9,Dienste!$C$9,IF(AG41=Dienste!$A$10,Dienste!$C$10,IF(AG41=Dienste!$A$11,Dienste!$C$11,IF(AG41=Dienste!$A$12,Dienste!$C$12,IF(AG41=Dienste!$A$13,Dienste!$C$13,IF(AG41=Dienste!$A$14,Dienste!$C$14,IF(AG41=Dienste!$A$15,Dienste!$C$15,IF(AG41=Dienste!$A$16,Dienste!$C$16,IF(AG41=Dienste!$A$17,Dienste!$C$17,IF(AG41=Dienste!$A$18,Dienste!$C$18,IF(AG41=Dienste!$A$19,Dienste!$C$19,IF(AG41=Dienste!$A$20,Dienste!$C$20,IF(AG41=Dienste!$A$21,Dienste!$C$21,IF(AG41=Dienste!$A$22,Dienste!$C$22,IF(AG41=Dienste!$A$23,Dienste!$C$23,IF(AG41=Dienste!$A$24,Dienste!$C$24,IF(AG41=Dienste!$A$25,Dienste!$C$25,IF(AG41=Dienste!$A$26,Dienste!$C$26,IF(AG41=Dienste!$A$27,Dienste!$C$27,IF(AG41=Dienste!$A$28,Dienste!$C$28,IF(AG41=Dienste!#REF!,Dienste!#REF!,IF(AG41=Dienste!#REF!,Dienste!#REF!,IF(AG41=Dienste!#REF!,Dienste!#REF!,IF(AG41=Dienste!#REF!,Dienste!#REF!,IF(AG41=Dienste!$A$33,Dienste!$C$33,IF(AG41=Dienste!$A$34,Dienste!$C$34,IF(AG41=Dienste!$A$35,Dienste!$C$35,IF(AG41=Dienste!$A$36,Dienste!$C$36,)))))))))))))))))))))))))))))))))))</f>
        <v>#REF!</v>
      </c>
      <c r="CB41" s="27" t="e">
        <f>IF(AH41=Dienste!$A$2,Dienste!$C$2,IF(AH41=Dienste!$A$3,Dienste!$C$3,IF(AH41=Dienste!$A$4,Dienste!$C$4,IF(AH41=Dienste!$A$5,Dienste!$C$5,IF(AH41=Dienste!$A$6,Dienste!$C$6,IF(AH41=Dienste!$A$7,Dienste!$C$7,IF(AH41=Dienste!$A$8,Dienste!$C$8,IF(AH41=Dienste!$A$9,Dienste!$C$9,IF(AH41=Dienste!$A$10,Dienste!$C$10,IF(AH41=Dienste!$A$11,Dienste!$C$11,IF(AH41=Dienste!$A$12,Dienste!$C$12,IF(AH41=Dienste!$A$13,Dienste!$C$13,IF(AH41=Dienste!$A$14,Dienste!$C$14,IF(AH41=Dienste!$A$15,Dienste!$C$15,IF(AH41=Dienste!$A$16,Dienste!$C$16,IF(AH41=Dienste!$A$17,Dienste!$C$17,IF(AH41=Dienste!$A$18,Dienste!$C$18,IF(AH41=Dienste!$A$19,Dienste!$C$19,IF(AH41=Dienste!$A$20,Dienste!$C$20,IF(AH41=Dienste!$A$21,Dienste!$C$21,IF(AH41=Dienste!$A$22,Dienste!$C$22,IF(AH41=Dienste!$A$23,Dienste!$C$23,IF(AH41=Dienste!$A$24,Dienste!$C$24,IF(AH41=Dienste!$A$25,Dienste!$C$25,IF(AH41=Dienste!$A$26,Dienste!$C$26,IF(AH41=Dienste!$A$27,Dienste!$C$27,IF(AH41=Dienste!$A$28,Dienste!$C$28,IF(AH41=Dienste!#REF!,Dienste!#REF!,IF(AH41=Dienste!#REF!,Dienste!#REF!,IF(AH41=Dienste!#REF!,Dienste!#REF!,IF(AH41=Dienste!#REF!,Dienste!#REF!,IF(AH41=Dienste!$A$33,Dienste!$C$33,IF(AH41=Dienste!$A$34,Dienste!$C$34,IF(AH41=Dienste!$A$35,Dienste!$C$35,IF(AH41=Dienste!$A$36,Dienste!$C$36,)))))))))))))))))))))))))))))))))))</f>
        <v>#REF!</v>
      </c>
      <c r="CC41" s="27" t="e">
        <f>IF(AI41=Dienste!$A$2,Dienste!$C$2,IF(AI41=Dienste!$A$3,Dienste!$C$3,IF(AI41=Dienste!$A$4,Dienste!$C$4,IF(AI41=Dienste!$A$5,Dienste!$C$5,IF(AI41=Dienste!$A$6,Dienste!$C$6,IF(AI41=Dienste!$A$7,Dienste!$C$7,IF(AI41=Dienste!$A$8,Dienste!$C$8,IF(AI41=Dienste!$A$9,Dienste!$C$9,IF(AI41=Dienste!$A$10,Dienste!$C$10,IF(AI41=Dienste!$A$11,Dienste!$C$11,IF(AI41=Dienste!$A$12,Dienste!$C$12,IF(AI41=Dienste!$A$13,Dienste!$C$13,IF(AI41=Dienste!$A$14,Dienste!$C$14,IF(AI41=Dienste!$A$15,Dienste!$C$15,IF(AI41=Dienste!$A$16,Dienste!$C$16,IF(AI41=Dienste!$A$17,Dienste!$C$17,IF(AI41=Dienste!$A$18,Dienste!$C$18,IF(AI41=Dienste!$A$19,Dienste!$C$19,IF(AI41=Dienste!$A$20,Dienste!$C$20,IF(AI41=Dienste!$A$21,Dienste!$C$21,IF(AI41=Dienste!$A$22,Dienste!$C$22,IF(AI41=Dienste!$A$23,Dienste!$C$23,IF(AI41=Dienste!$A$24,Dienste!$C$24,IF(AI41=Dienste!$A$25,Dienste!$C$25,IF(AI41=Dienste!$A$26,Dienste!$C$26,IF(AI41=Dienste!$A$27,Dienste!$C$27,IF(AI41=Dienste!$A$28,Dienste!$C$28,IF(AI41=Dienste!#REF!,Dienste!#REF!,IF(AI41=Dienste!#REF!,Dienste!#REF!,IF(AI41=Dienste!#REF!,Dienste!#REF!,IF(AI41=Dienste!#REF!,Dienste!#REF!,IF(AI41=Dienste!$A$33,Dienste!$C$33,IF(AI41=Dienste!$A$34,Dienste!$C$34,IF(AI41=Dienste!$A$35,Dienste!$C$35,IF(AI41=Dienste!$A$36,Dienste!$C$36,)))))))))))))))))))))))))))))))))))</f>
        <v>#REF!</v>
      </c>
    </row>
    <row r="42" spans="1:81" hidden="1" x14ac:dyDescent="0.25">
      <c r="A42" s="109"/>
      <c r="B42" s="15"/>
      <c r="C42" s="15"/>
      <c r="D42" s="98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4"/>
      <c r="AK42" s="152"/>
      <c r="AL42" s="154"/>
      <c r="AM42" s="152"/>
      <c r="AN42" s="152"/>
      <c r="AO42" s="154"/>
      <c r="AP42" s="152"/>
      <c r="AQ42" s="153"/>
      <c r="AR42" s="154"/>
      <c r="AS42" s="152"/>
      <c r="AT42" s="153"/>
      <c r="AU42" s="27" t="e">
        <f t="shared" si="3"/>
        <v>#REF!</v>
      </c>
      <c r="AV42" s="27" t="e">
        <f t="shared" si="7"/>
        <v>#REF!</v>
      </c>
      <c r="AW42" s="58" t="e">
        <f t="shared" si="6"/>
        <v>#REF!</v>
      </c>
      <c r="AY42" s="27" t="e">
        <f>IF(E42=Dienste!$A$2,Dienste!$C$2,IF(E42=Dienste!$A$3,Dienste!$C$3,IF(E42=Dienste!$A$4,Dienste!$C$4,IF(E42=Dienste!$A$5,Dienste!$C$5,IF(E42=Dienste!$A$6,Dienste!$C$6,IF(E42=Dienste!$A$7,Dienste!$C$7,IF(E42=Dienste!$A$8,Dienste!$C$8,IF(E42=Dienste!$A$9,Dienste!$C$9,IF(E42=Dienste!$A$10,Dienste!$C$10,IF(E42=Dienste!$A$11,Dienste!$C$11,IF(E42=Dienste!$A$12,Dienste!$C$12,IF(E42=Dienste!$A$13,Dienste!$C$13,IF(E42=Dienste!$A$14,Dienste!$C$14,IF(E42=Dienste!$A$15,Dienste!$C$15,IF(E42=Dienste!$A$16,Dienste!$C$16,IF(E42=Dienste!$A$17,Dienste!$C$17,IF(E42=Dienste!$A$18,Dienste!$C$18,IF(E42=Dienste!$A$19,Dienste!$C$19,IF(E42=Dienste!$A$20,Dienste!$C$20,IF(E42=Dienste!$A$21,Dienste!$C$21,IF(E42=Dienste!$A$22,Dienste!$C$22,IF(E42=Dienste!$A$23,Dienste!$C$23,IF(E42=Dienste!$A$24,Dienste!$C$24,IF(E42=Dienste!$A$25,Dienste!$C$25,IF(E42=Dienste!$A$26,Dienste!$C$26,IF(E42=Dienste!$A$27,Dienste!$C$27,IF(E42=Dienste!$A$28,Dienste!$C$28,IF(E42=Dienste!#REF!,Dienste!#REF!,IF(E42=Dienste!#REF!,Dienste!#REF!,IF(E42=Dienste!#REF!,Dienste!#REF!,IF(E42=Dienste!#REF!,Dienste!#REF!,IF(E42=Dienste!$A$33,Dienste!$C$33,IF(E42=Dienste!$A$34,Dienste!$C$34,IF(E42=Dienste!$A$35,Dienste!$C$35,IF(E42=Dienste!$A$36,Dienste!$C$36,)))))))))))))))))))))))))))))))))))</f>
        <v>#REF!</v>
      </c>
      <c r="AZ42" s="27" t="e">
        <f>IF(F42=Dienste!$A$2,Dienste!$C$2,IF(F42=Dienste!$A$3,Dienste!$C$3,IF(F42=Dienste!$A$4,Dienste!$C$4,IF(F42=Dienste!$A$5,Dienste!$C$5,IF(F42=Dienste!$A$6,Dienste!$C$6,IF(F42=Dienste!$A$7,Dienste!$C$7,IF(F42=Dienste!$A$8,Dienste!$C$8,IF(F42=Dienste!$A$9,Dienste!$C$9,IF(F42=Dienste!$A$10,Dienste!$C$10,IF(F42=Dienste!$A$11,Dienste!$C$11,IF(F42=Dienste!$A$12,Dienste!$C$12,IF(F42=Dienste!$A$13,Dienste!$C$13,IF(F42=Dienste!$A$14,Dienste!$C$14,IF(F42=Dienste!$A$15,Dienste!$C$15,IF(F42=Dienste!$A$16,Dienste!$C$16,IF(F42=Dienste!$A$17,Dienste!$C$17,IF(F42=Dienste!$A$18,Dienste!$C$18,IF(F42=Dienste!$A$19,Dienste!$C$19,IF(F42=Dienste!$A$20,Dienste!$C$20,IF(F42=Dienste!$A$21,Dienste!$C$21,IF(F42=Dienste!$A$22,Dienste!$C$22,IF(F42=Dienste!$A$23,Dienste!$C$23,IF(F42=Dienste!$A$24,Dienste!$C$24,IF(F42=Dienste!$A$25,Dienste!$C$25,IF(F42=Dienste!$A$26,Dienste!$C$26,IF(F42=Dienste!$A$27,Dienste!$C$27,IF(F42=Dienste!$A$28,Dienste!$C$28,IF(F42=Dienste!#REF!,Dienste!#REF!,IF(F42=Dienste!#REF!,Dienste!#REF!,IF(F42=Dienste!#REF!,Dienste!#REF!,IF(F42=Dienste!#REF!,Dienste!#REF!,IF(F42=Dienste!$A$33,Dienste!$C$33,IF(F42=Dienste!$A$34,Dienste!$C$34,IF(F42=Dienste!$A$35,Dienste!$C$35,IF(F42=Dienste!$A$36,Dienste!$C$36,)))))))))))))))))))))))))))))))))))</f>
        <v>#REF!</v>
      </c>
      <c r="BA42" s="27" t="e">
        <f>IF(G42=Dienste!$A$2,Dienste!$C$2,IF(G42=Dienste!$A$3,Dienste!$C$3,IF(G42=Dienste!$A$4,Dienste!$C$4,IF(G42=Dienste!$A$5,Dienste!$C$5,IF(G42=Dienste!$A$6,Dienste!$C$6,IF(G42=Dienste!$A$7,Dienste!$C$7,IF(G42=Dienste!$A$8,Dienste!$C$8,IF(G42=Dienste!$A$9,Dienste!$C$9,IF(G42=Dienste!$A$10,Dienste!$C$10,IF(G42=Dienste!$A$11,Dienste!$C$11,IF(G42=Dienste!$A$12,Dienste!$C$12,IF(G42=Dienste!$A$13,Dienste!$C$13,IF(G42=Dienste!$A$14,Dienste!$C$14,IF(G42=Dienste!$A$15,Dienste!$C$15,IF(G42=Dienste!$A$16,Dienste!$C$16,IF(G42=Dienste!$A$17,Dienste!$C$17,IF(G42=Dienste!$A$18,Dienste!$C$18,IF(G42=Dienste!$A$19,Dienste!$C$19,IF(G42=Dienste!$A$20,Dienste!$C$20,IF(G42=Dienste!$A$21,Dienste!$C$21,IF(G42=Dienste!$A$22,Dienste!$C$22,IF(G42=Dienste!$A$23,Dienste!$C$23,IF(G42=Dienste!$A$24,Dienste!$C$24,IF(G42=Dienste!$A$25,Dienste!$C$25,IF(G42=Dienste!$A$26,Dienste!$C$26,IF(G42=Dienste!$A$27,Dienste!$C$27,IF(G42=Dienste!$A$28,Dienste!$C$28,IF(G42=Dienste!#REF!,Dienste!#REF!,IF(G42=Dienste!#REF!,Dienste!#REF!,IF(G42=Dienste!#REF!,Dienste!#REF!,IF(G42=Dienste!#REF!,Dienste!#REF!,IF(G42=Dienste!$A$33,Dienste!$C$33,IF(G42=Dienste!$A$34,Dienste!$C$34,IF(G42=Dienste!$A$35,Dienste!$C$35,IF(G42=Dienste!$A$36,Dienste!$C$36,)))))))))))))))))))))))))))))))))))</f>
        <v>#REF!</v>
      </c>
      <c r="BB42" s="27" t="e">
        <f>IF(H42=Dienste!$A$2,Dienste!$C$2,IF(H42=Dienste!$A$3,Dienste!$C$3,IF(H42=Dienste!$A$4,Dienste!$C$4,IF(H42=Dienste!$A$5,Dienste!$C$5,IF(H42=Dienste!$A$6,Dienste!$C$6,IF(H42=Dienste!$A$7,Dienste!$C$7,IF(H42=Dienste!$A$8,Dienste!$C$8,IF(H42=Dienste!$A$9,Dienste!$C$9,IF(H42=Dienste!$A$10,Dienste!$C$10,IF(H42=Dienste!$A$11,Dienste!$C$11,IF(H42=Dienste!$A$12,Dienste!$C$12,IF(H42=Dienste!$A$13,Dienste!$C$13,IF(H42=Dienste!$A$14,Dienste!$C$14,IF(H42=Dienste!$A$15,Dienste!$C$15,IF(H42=Dienste!$A$16,Dienste!$C$16,IF(H42=Dienste!$A$17,Dienste!$C$17,IF(H42=Dienste!$A$18,Dienste!$C$18,IF(H42=Dienste!$A$19,Dienste!$C$19,IF(H42=Dienste!$A$20,Dienste!$C$20,IF(H42=Dienste!$A$21,Dienste!$C$21,IF(H42=Dienste!$A$22,Dienste!$C$22,IF(H42=Dienste!$A$23,Dienste!$C$23,IF(H42=Dienste!$A$24,Dienste!$C$24,IF(H42=Dienste!$A$25,Dienste!$C$25,IF(H42=Dienste!$A$26,Dienste!$C$26,IF(H42=Dienste!$A$27,Dienste!$C$27,IF(H42=Dienste!$A$28,Dienste!$C$28,IF(H42=Dienste!#REF!,Dienste!#REF!,IF(H42=Dienste!#REF!,Dienste!#REF!,IF(H42=Dienste!#REF!,Dienste!#REF!,IF(H42=Dienste!#REF!,Dienste!#REF!,IF(H42=Dienste!$A$33,Dienste!$C$33,IF(H42=Dienste!$A$34,Dienste!$C$34,IF(H42=Dienste!$A$35,Dienste!$C$35,IF(H42=Dienste!$A$36,Dienste!$C$36,)))))))))))))))))))))))))))))))))))</f>
        <v>#REF!</v>
      </c>
      <c r="BC42" s="27" t="e">
        <f>IF(I42=Dienste!$A$2,Dienste!$C$2,IF(I42=Dienste!$A$3,Dienste!$C$3,IF(I42=Dienste!$A$4,Dienste!$C$4,IF(I42=Dienste!$A$5,Dienste!$C$5,IF(I42=Dienste!$A$6,Dienste!$C$6,IF(I42=Dienste!$A$7,Dienste!$C$7,IF(I42=Dienste!$A$8,Dienste!$C$8,IF(I42=Dienste!$A$9,Dienste!$C$9,IF(I42=Dienste!$A$10,Dienste!$C$10,IF(I42=Dienste!$A$11,Dienste!$C$11,IF(I42=Dienste!$A$12,Dienste!$C$12,IF(I42=Dienste!$A$13,Dienste!$C$13,IF(I42=Dienste!$A$14,Dienste!$C$14,IF(I42=Dienste!$A$15,Dienste!$C$15,IF(I42=Dienste!$A$16,Dienste!$C$16,IF(I42=Dienste!$A$17,Dienste!$C$17,IF(I42=Dienste!$A$18,Dienste!$C$18,IF(I42=Dienste!$A$19,Dienste!$C$19,IF(I42=Dienste!$A$20,Dienste!$C$20,IF(I42=Dienste!$A$21,Dienste!$C$21,IF(I42=Dienste!$A$22,Dienste!$C$22,IF(I42=Dienste!$A$23,Dienste!$C$23,IF(I42=Dienste!$A$24,Dienste!$C$24,IF(I42=Dienste!$A$25,Dienste!$C$25,IF(I42=Dienste!$A$26,Dienste!$C$26,IF(I42=Dienste!$A$27,Dienste!$C$27,IF(I42=Dienste!$A$28,Dienste!$C$28,IF(I42=Dienste!#REF!,Dienste!#REF!,IF(I42=Dienste!#REF!,Dienste!#REF!,IF(I42=Dienste!#REF!,Dienste!#REF!,IF(I42=Dienste!#REF!,Dienste!#REF!,IF(I42=Dienste!$A$33,Dienste!$C$33,IF(I42=Dienste!$A$34,Dienste!$C$34,IF(I42=Dienste!$A$35,Dienste!$C$35,IF(I42=Dienste!$A$36,Dienste!$C$36,)))))))))))))))))))))))))))))))))))</f>
        <v>#REF!</v>
      </c>
      <c r="BD42" s="27" t="e">
        <f>IF(J42=Dienste!$A$2,Dienste!$C$2,IF(J42=Dienste!$A$3,Dienste!$C$3,IF(J42=Dienste!$A$4,Dienste!$C$4,IF(J42=Dienste!$A$5,Dienste!$C$5,IF(J42=Dienste!$A$6,Dienste!$C$6,IF(J42=Dienste!$A$7,Dienste!$C$7,IF(J42=Dienste!$A$8,Dienste!$C$8,IF(J42=Dienste!$A$9,Dienste!$C$9,IF(J42=Dienste!$A$10,Dienste!$C$10,IF(J42=Dienste!$A$11,Dienste!$C$11,IF(J42=Dienste!$A$12,Dienste!$C$12,IF(J42=Dienste!$A$13,Dienste!$C$13,IF(J42=Dienste!$A$14,Dienste!$C$14,IF(J42=Dienste!$A$15,Dienste!$C$15,IF(J42=Dienste!$A$16,Dienste!$C$16,IF(J42=Dienste!$A$17,Dienste!$C$17,IF(J42=Dienste!$A$18,Dienste!$C$18,IF(J42=Dienste!$A$19,Dienste!$C$19,IF(J42=Dienste!$A$20,Dienste!$C$20,IF(J42=Dienste!$A$21,Dienste!$C$21,IF(J42=Dienste!$A$22,Dienste!$C$22,IF(J42=Dienste!$A$23,Dienste!$C$23,IF(J42=Dienste!$A$24,Dienste!$C$24,IF(J42=Dienste!$A$25,Dienste!$C$25,IF(J42=Dienste!$A$26,Dienste!$C$26,IF(J42=Dienste!$A$27,Dienste!$C$27,IF(J42=Dienste!$A$28,Dienste!$C$28,IF(J42=Dienste!#REF!,Dienste!#REF!,IF(J42=Dienste!#REF!,Dienste!#REF!,IF(J42=Dienste!#REF!,Dienste!#REF!,IF(J42=Dienste!#REF!,Dienste!#REF!,IF(J42=Dienste!$A$33,Dienste!$C$33,IF(J42=Dienste!$A$34,Dienste!$C$34,IF(J42=Dienste!$A$35,Dienste!$C$35,IF(J42=Dienste!$A$36,Dienste!$C$36,)))))))))))))))))))))))))))))))))))</f>
        <v>#REF!</v>
      </c>
      <c r="BE42" s="27" t="e">
        <f>IF(K42=Dienste!$A$2,Dienste!$C$2,IF(K42=Dienste!$A$3,Dienste!$C$3,IF(K42=Dienste!$A$4,Dienste!$C$4,IF(K42=Dienste!$A$5,Dienste!$C$5,IF(K42=Dienste!$A$6,Dienste!$C$6,IF(K42=Dienste!$A$7,Dienste!$C$7,IF(K42=Dienste!$A$8,Dienste!$C$8,IF(K42=Dienste!$A$9,Dienste!$C$9,IF(K42=Dienste!$A$10,Dienste!$C$10,IF(K42=Dienste!$A$11,Dienste!$C$11,IF(K42=Dienste!$A$12,Dienste!$C$12,IF(K42=Dienste!$A$13,Dienste!$C$13,IF(K42=Dienste!$A$14,Dienste!$C$14,IF(K42=Dienste!$A$15,Dienste!$C$15,IF(K42=Dienste!$A$16,Dienste!$C$16,IF(K42=Dienste!$A$17,Dienste!$C$17,IF(K42=Dienste!$A$18,Dienste!$C$18,IF(K42=Dienste!$A$19,Dienste!$C$19,IF(K42=Dienste!$A$20,Dienste!$C$20,IF(K42=Dienste!$A$21,Dienste!$C$21,IF(K42=Dienste!$A$22,Dienste!$C$22,IF(K42=Dienste!$A$23,Dienste!$C$23,IF(K42=Dienste!$A$24,Dienste!$C$24,IF(K42=Dienste!$A$25,Dienste!$C$25,IF(K42=Dienste!$A$26,Dienste!$C$26,IF(K42=Dienste!$A$27,Dienste!$C$27,IF(K42=Dienste!$A$28,Dienste!$C$28,IF(K42=Dienste!#REF!,Dienste!#REF!,IF(K42=Dienste!#REF!,Dienste!#REF!,IF(K42=Dienste!#REF!,Dienste!#REF!,IF(K42=Dienste!#REF!,Dienste!#REF!,IF(K42=Dienste!$A$33,Dienste!$C$33,IF(K42=Dienste!$A$34,Dienste!$C$34,IF(K42=Dienste!$A$35,Dienste!$C$35,IF(K42=Dienste!$A$36,Dienste!$C$36,)))))))))))))))))))))))))))))))))))</f>
        <v>#REF!</v>
      </c>
      <c r="BF42" s="27" t="e">
        <f>IF(L42=Dienste!$A$2,Dienste!$C$2,IF(L42=Dienste!$A$3,Dienste!$C$3,IF(L42=Dienste!$A$4,Dienste!$C$4,IF(L42=Dienste!$A$5,Dienste!$C$5,IF(L42=Dienste!$A$6,Dienste!$C$6,IF(L42=Dienste!$A$7,Dienste!$C$7,IF(L42=Dienste!$A$8,Dienste!$C$8,IF(L42=Dienste!$A$9,Dienste!$C$9,IF(L42=Dienste!$A$10,Dienste!$C$10,IF(L42=Dienste!$A$11,Dienste!$C$11,IF(L42=Dienste!$A$12,Dienste!$C$12,IF(L42=Dienste!$A$13,Dienste!$C$13,IF(L42=Dienste!$A$14,Dienste!$C$14,IF(L42=Dienste!$A$15,Dienste!$C$15,IF(L42=Dienste!$A$16,Dienste!$C$16,IF(L42=Dienste!$A$17,Dienste!$C$17,IF(L42=Dienste!$A$18,Dienste!$C$18,IF(L42=Dienste!$A$19,Dienste!$C$19,IF(L42=Dienste!$A$20,Dienste!$C$20,IF(L42=Dienste!$A$21,Dienste!$C$21,IF(L42=Dienste!$A$22,Dienste!$C$22,IF(L42=Dienste!$A$23,Dienste!$C$23,IF(L42=Dienste!$A$24,Dienste!$C$24,IF(L42=Dienste!$A$25,Dienste!$C$25,IF(L42=Dienste!$A$26,Dienste!$C$26,IF(L42=Dienste!$A$27,Dienste!$C$27,IF(L42=Dienste!$A$28,Dienste!$C$28,IF(L42=Dienste!#REF!,Dienste!#REF!,IF(L42=Dienste!#REF!,Dienste!#REF!,IF(L42=Dienste!#REF!,Dienste!#REF!,IF(L42=Dienste!#REF!,Dienste!#REF!,IF(L42=Dienste!$A$33,Dienste!$C$33,IF(L42=Dienste!$A$34,Dienste!$C$34,IF(L42=Dienste!$A$35,Dienste!$C$35,IF(L42=Dienste!$A$36,Dienste!$C$36,)))))))))))))))))))))))))))))))))))</f>
        <v>#REF!</v>
      </c>
      <c r="BG42" s="27" t="e">
        <f>IF(M42=Dienste!$A$2,Dienste!$C$2,IF(M42=Dienste!$A$3,Dienste!$C$3,IF(M42=Dienste!$A$4,Dienste!$C$4,IF(M42=Dienste!$A$5,Dienste!$C$5,IF(M42=Dienste!$A$6,Dienste!$C$6,IF(M42=Dienste!$A$7,Dienste!$C$7,IF(M42=Dienste!$A$8,Dienste!$C$8,IF(M42=Dienste!$A$9,Dienste!$C$9,IF(M42=Dienste!$A$10,Dienste!$C$10,IF(M42=Dienste!$A$11,Dienste!$C$11,IF(M42=Dienste!$A$12,Dienste!$C$12,IF(M42=Dienste!$A$13,Dienste!$C$13,IF(M42=Dienste!$A$14,Dienste!$C$14,IF(M42=Dienste!$A$15,Dienste!$C$15,IF(M42=Dienste!$A$16,Dienste!$C$16,IF(M42=Dienste!$A$17,Dienste!$C$17,IF(M42=Dienste!$A$18,Dienste!$C$18,IF(M42=Dienste!$A$19,Dienste!$C$19,IF(M42=Dienste!$A$20,Dienste!$C$20,IF(M42=Dienste!$A$21,Dienste!$C$21,IF(M42=Dienste!$A$22,Dienste!$C$22,IF(M42=Dienste!$A$23,Dienste!$C$23,IF(M42=Dienste!$A$24,Dienste!$C$24,IF(M42=Dienste!$A$25,Dienste!$C$25,IF(M42=Dienste!$A$26,Dienste!$C$26,IF(M42=Dienste!$A$27,Dienste!$C$27,IF(M42=Dienste!$A$28,Dienste!$C$28,IF(M42=Dienste!#REF!,Dienste!#REF!,IF(M42=Dienste!#REF!,Dienste!#REF!,IF(M42=Dienste!#REF!,Dienste!#REF!,IF(M42=Dienste!#REF!,Dienste!#REF!,IF(M42=Dienste!$A$33,Dienste!$C$33,IF(M42=Dienste!$A$34,Dienste!$C$34,IF(M42=Dienste!$A$35,Dienste!$C$35,IF(M42=Dienste!$A$36,Dienste!$C$36,)))))))))))))))))))))))))))))))))))</f>
        <v>#REF!</v>
      </c>
      <c r="BH42" s="27" t="e">
        <f>IF(N42=Dienste!$A$2,Dienste!$C$2,IF(N42=Dienste!$A$3,Dienste!$C$3,IF(N42=Dienste!$A$4,Dienste!$C$4,IF(N42=Dienste!$A$5,Dienste!$C$5,IF(N42=Dienste!$A$6,Dienste!$C$6,IF(N42=Dienste!$A$7,Dienste!$C$7,IF(N42=Dienste!$A$8,Dienste!$C$8,IF(N42=Dienste!$A$9,Dienste!$C$9,IF(N42=Dienste!$A$10,Dienste!$C$10,IF(N42=Dienste!$A$11,Dienste!$C$11,IF(N42=Dienste!$A$12,Dienste!$C$12,IF(N42=Dienste!$A$13,Dienste!$C$13,IF(N42=Dienste!$A$14,Dienste!$C$14,IF(N42=Dienste!$A$15,Dienste!$C$15,IF(N42=Dienste!$A$16,Dienste!$C$16,IF(N42=Dienste!$A$17,Dienste!$C$17,IF(N42=Dienste!$A$18,Dienste!$C$18,IF(N42=Dienste!$A$19,Dienste!$C$19,IF(N42=Dienste!$A$20,Dienste!$C$20,IF(N42=Dienste!$A$21,Dienste!$C$21,IF(N42=Dienste!$A$22,Dienste!$C$22,IF(N42=Dienste!$A$23,Dienste!$C$23,IF(N42=Dienste!$A$24,Dienste!$C$24,IF(N42=Dienste!$A$25,Dienste!$C$25,IF(N42=Dienste!$A$26,Dienste!$C$26,IF(N42=Dienste!$A$27,Dienste!$C$27,IF(N42=Dienste!$A$28,Dienste!$C$28,IF(N42=Dienste!#REF!,Dienste!#REF!,IF(N42=Dienste!#REF!,Dienste!#REF!,IF(N42=Dienste!#REF!,Dienste!#REF!,IF(N42=Dienste!#REF!,Dienste!#REF!,IF(N42=Dienste!$A$33,Dienste!$C$33,IF(N42=Dienste!$A$34,Dienste!$C$34,IF(N42=Dienste!$A$35,Dienste!$C$35,IF(N42=Dienste!$A$36,Dienste!$C$36,)))))))))))))))))))))))))))))))))))</f>
        <v>#REF!</v>
      </c>
      <c r="BI42" s="27" t="e">
        <f>IF(O42=Dienste!$A$2,Dienste!$C$2,IF(O42=Dienste!$A$3,Dienste!$C$3,IF(O42=Dienste!$A$4,Dienste!$C$4,IF(O42=Dienste!$A$5,Dienste!$C$5,IF(O42=Dienste!$A$6,Dienste!$C$6,IF(O42=Dienste!$A$7,Dienste!$C$7,IF(O42=Dienste!$A$8,Dienste!$C$8,IF(O42=Dienste!$A$9,Dienste!$C$9,IF(O42=Dienste!$A$10,Dienste!$C$10,IF(O42=Dienste!$A$11,Dienste!$C$11,IF(O42=Dienste!$A$12,Dienste!$C$12,IF(O42=Dienste!$A$13,Dienste!$C$13,IF(O42=Dienste!$A$14,Dienste!$C$14,IF(O42=Dienste!$A$15,Dienste!$C$15,IF(O42=Dienste!$A$16,Dienste!$C$16,IF(O42=Dienste!$A$17,Dienste!$C$17,IF(O42=Dienste!$A$18,Dienste!$C$18,IF(O42=Dienste!$A$19,Dienste!$C$19,IF(O42=Dienste!$A$20,Dienste!$C$20,IF(O42=Dienste!$A$21,Dienste!$C$21,IF(O42=Dienste!$A$22,Dienste!$C$22,IF(O42=Dienste!$A$23,Dienste!$C$23,IF(O42=Dienste!$A$24,Dienste!$C$24,IF(O42=Dienste!$A$25,Dienste!$C$25,IF(O42=Dienste!$A$26,Dienste!$C$26,IF(O42=Dienste!$A$27,Dienste!$C$27,IF(O42=Dienste!$A$28,Dienste!$C$28,IF(O42=Dienste!#REF!,Dienste!#REF!,IF(O42=Dienste!#REF!,Dienste!#REF!,IF(O42=Dienste!#REF!,Dienste!#REF!,IF(O42=Dienste!#REF!,Dienste!#REF!,IF(O42=Dienste!$A$33,Dienste!$C$33,IF(O42=Dienste!$A$34,Dienste!$C$34,IF(O42=Dienste!$A$35,Dienste!$C$35,IF(O42=Dienste!$A$36,Dienste!$C$36,)))))))))))))))))))))))))))))))))))</f>
        <v>#REF!</v>
      </c>
      <c r="BJ42" s="27" t="e">
        <f>IF(P42=Dienste!$A$2,Dienste!$C$2,IF(P42=Dienste!$A$3,Dienste!$C$3,IF(P42=Dienste!$A$4,Dienste!$C$4,IF(P42=Dienste!$A$5,Dienste!$C$5,IF(P42=Dienste!$A$6,Dienste!$C$6,IF(P42=Dienste!$A$7,Dienste!$C$7,IF(P42=Dienste!$A$8,Dienste!$C$8,IF(P42=Dienste!$A$9,Dienste!$C$9,IF(P42=Dienste!$A$10,Dienste!$C$10,IF(P42=Dienste!$A$11,Dienste!$C$11,IF(P42=Dienste!$A$12,Dienste!$C$12,IF(P42=Dienste!$A$13,Dienste!$C$13,IF(P42=Dienste!$A$14,Dienste!$C$14,IF(P42=Dienste!$A$15,Dienste!$C$15,IF(P42=Dienste!$A$16,Dienste!$C$16,IF(P42=Dienste!$A$17,Dienste!$C$17,IF(P42=Dienste!$A$18,Dienste!$C$18,IF(P42=Dienste!$A$19,Dienste!$C$19,IF(P42=Dienste!$A$20,Dienste!$C$20,IF(P42=Dienste!$A$21,Dienste!$C$21,IF(P42=Dienste!$A$22,Dienste!$C$22,IF(P42=Dienste!$A$23,Dienste!$C$23,IF(P42=Dienste!$A$24,Dienste!$C$24,IF(P42=Dienste!$A$25,Dienste!$C$25,IF(P42=Dienste!$A$26,Dienste!$C$26,IF(P42=Dienste!$A$27,Dienste!$C$27,IF(P42=Dienste!$A$28,Dienste!$C$28,IF(P42=Dienste!#REF!,Dienste!#REF!,IF(P42=Dienste!#REF!,Dienste!#REF!,IF(P42=Dienste!#REF!,Dienste!#REF!,IF(P42=Dienste!#REF!,Dienste!#REF!,IF(P42=Dienste!$A$33,Dienste!$C$33,IF(P42=Dienste!$A$34,Dienste!$C$34,IF(P42=Dienste!$A$35,Dienste!$C$35,IF(P42=Dienste!$A$36,Dienste!$C$36,)))))))))))))))))))))))))))))))))))</f>
        <v>#REF!</v>
      </c>
      <c r="BK42" s="27" t="e">
        <f>IF(Q42=Dienste!$A$2,Dienste!$C$2,IF(Q42=Dienste!$A$3,Dienste!$C$3,IF(Q42=Dienste!$A$4,Dienste!$C$4,IF(Q42=Dienste!$A$5,Dienste!$C$5,IF(Q42=Dienste!$A$6,Dienste!$C$6,IF(Q42=Dienste!$A$7,Dienste!$C$7,IF(Q42=Dienste!$A$8,Dienste!$C$8,IF(Q42=Dienste!$A$9,Dienste!$C$9,IF(Q42=Dienste!$A$10,Dienste!$C$10,IF(Q42=Dienste!$A$11,Dienste!$C$11,IF(Q42=Dienste!$A$12,Dienste!$C$12,IF(Q42=Dienste!$A$13,Dienste!$C$13,IF(Q42=Dienste!$A$14,Dienste!$C$14,IF(Q42=Dienste!$A$15,Dienste!$C$15,IF(Q42=Dienste!$A$16,Dienste!$C$16,IF(Q42=Dienste!$A$17,Dienste!$C$17,IF(Q42=Dienste!$A$18,Dienste!$C$18,IF(Q42=Dienste!$A$19,Dienste!$C$19,IF(Q42=Dienste!$A$20,Dienste!$C$20,IF(Q42=Dienste!$A$21,Dienste!$C$21,IF(Q42=Dienste!$A$22,Dienste!$C$22,IF(Q42=Dienste!$A$23,Dienste!$C$23,IF(Q42=Dienste!$A$24,Dienste!$C$24,IF(Q42=Dienste!$A$25,Dienste!$C$25,IF(Q42=Dienste!$A$26,Dienste!$C$26,IF(Q42=Dienste!$A$27,Dienste!$C$27,IF(Q42=Dienste!$A$28,Dienste!$C$28,IF(Q42=Dienste!#REF!,Dienste!#REF!,IF(Q42=Dienste!#REF!,Dienste!#REF!,IF(Q42=Dienste!#REF!,Dienste!#REF!,IF(Q42=Dienste!#REF!,Dienste!#REF!,IF(Q42=Dienste!$A$33,Dienste!$C$33,IF(Q42=Dienste!$A$34,Dienste!$C$34,IF(Q42=Dienste!$A$35,Dienste!$C$35,IF(Q42=Dienste!$A$36,Dienste!$C$36,)))))))))))))))))))))))))))))))))))</f>
        <v>#REF!</v>
      </c>
      <c r="BL42" s="27" t="e">
        <f>IF(R42=Dienste!$A$2,Dienste!$C$2,IF(R42=Dienste!$A$3,Dienste!$C$3,IF(R42=Dienste!$A$4,Dienste!$C$4,IF(R42=Dienste!$A$5,Dienste!$C$5,IF(R42=Dienste!$A$6,Dienste!$C$6,IF(R42=Dienste!$A$7,Dienste!$C$7,IF(R42=Dienste!$A$8,Dienste!$C$8,IF(R42=Dienste!$A$9,Dienste!$C$9,IF(R42=Dienste!$A$10,Dienste!$C$10,IF(R42=Dienste!$A$11,Dienste!$C$11,IF(R42=Dienste!$A$12,Dienste!$C$12,IF(R42=Dienste!$A$13,Dienste!$C$13,IF(R42=Dienste!$A$14,Dienste!$C$14,IF(R42=Dienste!$A$15,Dienste!$C$15,IF(R42=Dienste!$A$16,Dienste!$C$16,IF(R42=Dienste!$A$17,Dienste!$C$17,IF(R42=Dienste!$A$18,Dienste!$C$18,IF(R42=Dienste!$A$19,Dienste!$C$19,IF(R42=Dienste!$A$20,Dienste!$C$20,IF(R42=Dienste!$A$21,Dienste!$C$21,IF(R42=Dienste!$A$22,Dienste!$C$22,IF(R42=Dienste!$A$23,Dienste!$C$23,IF(R42=Dienste!$A$24,Dienste!$C$24,IF(R42=Dienste!$A$25,Dienste!$C$25,IF(R42=Dienste!$A$26,Dienste!$C$26,IF(R42=Dienste!$A$27,Dienste!$C$27,IF(R42=Dienste!$A$28,Dienste!$C$28,IF(R42=Dienste!#REF!,Dienste!#REF!,IF(R42=Dienste!#REF!,Dienste!#REF!,IF(R42=Dienste!#REF!,Dienste!#REF!,IF(R42=Dienste!#REF!,Dienste!#REF!,IF(R42=Dienste!$A$33,Dienste!$C$33,IF(R42=Dienste!$A$34,Dienste!$C$34,IF(R42=Dienste!$A$35,Dienste!$C$35,IF(R42=Dienste!$A$36,Dienste!$C$36,)))))))))))))))))))))))))))))))))))</f>
        <v>#REF!</v>
      </c>
      <c r="BM42" s="27" t="e">
        <f>IF(S42=Dienste!$A$2,Dienste!$C$2,IF(S42=Dienste!$A$3,Dienste!$C$3,IF(S42=Dienste!$A$4,Dienste!$C$4,IF(S42=Dienste!$A$5,Dienste!$C$5,IF(S42=Dienste!$A$6,Dienste!$C$6,IF(S42=Dienste!$A$7,Dienste!$C$7,IF(S42=Dienste!$A$8,Dienste!$C$8,IF(S42=Dienste!$A$9,Dienste!$C$9,IF(S42=Dienste!$A$10,Dienste!$C$10,IF(S42=Dienste!$A$11,Dienste!$C$11,IF(S42=Dienste!$A$12,Dienste!$C$12,IF(S42=Dienste!$A$13,Dienste!$C$13,IF(S42=Dienste!$A$14,Dienste!$C$14,IF(S42=Dienste!$A$15,Dienste!$C$15,IF(S42=Dienste!$A$16,Dienste!$C$16,IF(S42=Dienste!$A$17,Dienste!$C$17,IF(S42=Dienste!$A$18,Dienste!$C$18,IF(S42=Dienste!$A$19,Dienste!$C$19,IF(S42=Dienste!$A$20,Dienste!$C$20,IF(S42=Dienste!$A$21,Dienste!$C$21,IF(S42=Dienste!$A$22,Dienste!$C$22,IF(S42=Dienste!$A$23,Dienste!$C$23,IF(S42=Dienste!$A$24,Dienste!$C$24,IF(S42=Dienste!$A$25,Dienste!$C$25,IF(S42=Dienste!$A$26,Dienste!$C$26,IF(S42=Dienste!$A$27,Dienste!$C$27,IF(S42=Dienste!$A$28,Dienste!$C$28,IF(S42=Dienste!#REF!,Dienste!#REF!,IF(S42=Dienste!#REF!,Dienste!#REF!,IF(S42=Dienste!#REF!,Dienste!#REF!,IF(S42=Dienste!#REF!,Dienste!#REF!,IF(S42=Dienste!$A$33,Dienste!$C$33,IF(S42=Dienste!$A$34,Dienste!$C$34,IF(S42=Dienste!$A$35,Dienste!$C$35,IF(S42=Dienste!$A$36,Dienste!$C$36,)))))))))))))))))))))))))))))))))))</f>
        <v>#REF!</v>
      </c>
      <c r="BN42" s="27" t="e">
        <f>IF(T42=Dienste!$A$2,Dienste!$C$2,IF(T42=Dienste!$A$3,Dienste!$C$3,IF(T42=Dienste!$A$4,Dienste!$C$4,IF(T42=Dienste!$A$5,Dienste!$C$5,IF(T42=Dienste!$A$6,Dienste!$C$6,IF(T42=Dienste!$A$7,Dienste!$C$7,IF(T42=Dienste!$A$8,Dienste!$C$8,IF(T42=Dienste!$A$9,Dienste!$C$9,IF(T42=Dienste!$A$10,Dienste!$C$10,IF(T42=Dienste!$A$11,Dienste!$C$11,IF(T42=Dienste!$A$12,Dienste!$C$12,IF(T42=Dienste!$A$13,Dienste!$C$13,IF(T42=Dienste!$A$14,Dienste!$C$14,IF(T42=Dienste!$A$15,Dienste!$C$15,IF(T42=Dienste!$A$16,Dienste!$C$16,IF(T42=Dienste!$A$17,Dienste!$C$17,IF(T42=Dienste!$A$18,Dienste!$C$18,IF(T42=Dienste!$A$19,Dienste!$C$19,IF(T42=Dienste!$A$20,Dienste!$C$20,IF(T42=Dienste!$A$21,Dienste!$C$21,IF(T42=Dienste!$A$22,Dienste!$C$22,IF(T42=Dienste!$A$23,Dienste!$C$23,IF(T42=Dienste!$A$24,Dienste!$C$24,IF(T42=Dienste!$A$25,Dienste!$C$25,IF(T42=Dienste!$A$26,Dienste!$C$26,IF(T42=Dienste!$A$27,Dienste!$C$27,IF(T42=Dienste!$A$28,Dienste!$C$28,IF(T42=Dienste!#REF!,Dienste!#REF!,IF(T42=Dienste!#REF!,Dienste!#REF!,IF(T42=Dienste!#REF!,Dienste!#REF!,IF(T42=Dienste!#REF!,Dienste!#REF!,IF(T42=Dienste!$A$33,Dienste!$C$33,IF(T42=Dienste!$A$34,Dienste!$C$34,IF(T42=Dienste!$A$35,Dienste!$C$35,IF(T42=Dienste!$A$36,Dienste!$C$36,)))))))))))))))))))))))))))))))))))</f>
        <v>#REF!</v>
      </c>
      <c r="BO42" s="27" t="e">
        <f>IF(U42=Dienste!$A$2,Dienste!$C$2,IF(U42=Dienste!$A$3,Dienste!$C$3,IF(U42=Dienste!$A$4,Dienste!$C$4,IF(U42=Dienste!$A$5,Dienste!$C$5,IF(U42=Dienste!$A$6,Dienste!$C$6,IF(U42=Dienste!$A$7,Dienste!$C$7,IF(U42=Dienste!$A$8,Dienste!$C$8,IF(U42=Dienste!$A$9,Dienste!$C$9,IF(U42=Dienste!$A$10,Dienste!$C$10,IF(U42=Dienste!$A$11,Dienste!$C$11,IF(U42=Dienste!$A$12,Dienste!$C$12,IF(U42=Dienste!$A$13,Dienste!$C$13,IF(U42=Dienste!$A$14,Dienste!$C$14,IF(U42=Dienste!$A$15,Dienste!$C$15,IF(U42=Dienste!$A$16,Dienste!$C$16,IF(U42=Dienste!$A$17,Dienste!$C$17,IF(U42=Dienste!$A$18,Dienste!$C$18,IF(U42=Dienste!$A$19,Dienste!$C$19,IF(U42=Dienste!$A$20,Dienste!$C$20,IF(U42=Dienste!$A$21,Dienste!$C$21,IF(U42=Dienste!$A$22,Dienste!$C$22,IF(U42=Dienste!$A$23,Dienste!$C$23,IF(U42=Dienste!$A$24,Dienste!$C$24,IF(U42=Dienste!$A$25,Dienste!$C$25,IF(U42=Dienste!$A$26,Dienste!$C$26,IF(U42=Dienste!$A$27,Dienste!$C$27,IF(U42=Dienste!$A$28,Dienste!$C$28,IF(U42=Dienste!#REF!,Dienste!#REF!,IF(U42=Dienste!#REF!,Dienste!#REF!,IF(U42=Dienste!#REF!,Dienste!#REF!,IF(U42=Dienste!#REF!,Dienste!#REF!,IF(U42=Dienste!$A$33,Dienste!$C$33,IF(U42=Dienste!$A$34,Dienste!$C$34,IF(U42=Dienste!$A$35,Dienste!$C$35,IF(U42=Dienste!$A$36,Dienste!$C$36,)))))))))))))))))))))))))))))))))))</f>
        <v>#REF!</v>
      </c>
      <c r="BP42" s="27" t="e">
        <f>IF(V42=Dienste!$A$2,Dienste!$C$2,IF(V42=Dienste!$A$3,Dienste!$C$3,IF(V42=Dienste!$A$4,Dienste!$C$4,IF(V42=Dienste!$A$5,Dienste!$C$5,IF(V42=Dienste!$A$6,Dienste!$C$6,IF(V42=Dienste!$A$7,Dienste!$C$7,IF(V42=Dienste!$A$8,Dienste!$C$8,IF(V42=Dienste!$A$9,Dienste!$C$9,IF(V42=Dienste!$A$10,Dienste!$C$10,IF(V42=Dienste!$A$11,Dienste!$C$11,IF(V42=Dienste!$A$12,Dienste!$C$12,IF(V42=Dienste!$A$13,Dienste!$C$13,IF(V42=Dienste!$A$14,Dienste!$C$14,IF(V42=Dienste!$A$15,Dienste!$C$15,IF(V42=Dienste!$A$16,Dienste!$C$16,IF(V42=Dienste!$A$17,Dienste!$C$17,IF(V42=Dienste!$A$18,Dienste!$C$18,IF(V42=Dienste!$A$19,Dienste!$C$19,IF(V42=Dienste!$A$20,Dienste!$C$20,IF(V42=Dienste!$A$21,Dienste!$C$21,IF(V42=Dienste!$A$22,Dienste!$C$22,IF(V42=Dienste!$A$23,Dienste!$C$23,IF(V42=Dienste!$A$24,Dienste!$C$24,IF(V42=Dienste!$A$25,Dienste!$C$25,IF(V42=Dienste!$A$26,Dienste!$C$26,IF(V42=Dienste!$A$27,Dienste!$C$27,IF(V42=Dienste!$A$28,Dienste!$C$28,IF(V42=Dienste!#REF!,Dienste!#REF!,IF(V42=Dienste!#REF!,Dienste!#REF!,IF(V42=Dienste!#REF!,Dienste!#REF!,IF(V42=Dienste!#REF!,Dienste!#REF!,IF(V42=Dienste!$A$33,Dienste!$C$33,IF(V42=Dienste!$A$34,Dienste!$C$34,IF(V42=Dienste!$A$35,Dienste!$C$35,IF(V42=Dienste!$A$36,Dienste!$C$36,)))))))))))))))))))))))))))))))))))</f>
        <v>#REF!</v>
      </c>
      <c r="BQ42" s="27" t="e">
        <f>IF(W42=Dienste!$A$2,Dienste!$C$2,IF(W42=Dienste!$A$3,Dienste!$C$3,IF(W42=Dienste!$A$4,Dienste!$C$4,IF(W42=Dienste!$A$5,Dienste!$C$5,IF(W42=Dienste!$A$6,Dienste!$C$6,IF(W42=Dienste!$A$7,Dienste!$C$7,IF(W42=Dienste!$A$8,Dienste!$C$8,IF(W42=Dienste!$A$9,Dienste!$C$9,IF(W42=Dienste!$A$10,Dienste!$C$10,IF(W42=Dienste!$A$11,Dienste!$C$11,IF(W42=Dienste!$A$12,Dienste!$C$12,IF(W42=Dienste!$A$13,Dienste!$C$13,IF(W42=Dienste!$A$14,Dienste!$C$14,IF(W42=Dienste!$A$15,Dienste!$C$15,IF(W42=Dienste!$A$16,Dienste!$C$16,IF(W42=Dienste!$A$17,Dienste!$C$17,IF(W42=Dienste!$A$18,Dienste!$C$18,IF(W42=Dienste!$A$19,Dienste!$C$19,IF(W42=Dienste!$A$20,Dienste!$C$20,IF(W42=Dienste!$A$21,Dienste!$C$21,IF(W42=Dienste!$A$22,Dienste!$C$22,IF(W42=Dienste!$A$23,Dienste!$C$23,IF(W42=Dienste!$A$24,Dienste!$C$24,IF(W42=Dienste!$A$25,Dienste!$C$25,IF(W42=Dienste!$A$26,Dienste!$C$26,IF(W42=Dienste!$A$27,Dienste!$C$27,IF(W42=Dienste!$A$28,Dienste!$C$28,IF(W42=Dienste!#REF!,Dienste!#REF!,IF(W42=Dienste!#REF!,Dienste!#REF!,IF(W42=Dienste!#REF!,Dienste!#REF!,IF(W42=Dienste!#REF!,Dienste!#REF!,IF(W42=Dienste!$A$33,Dienste!$C$33,IF(W42=Dienste!$A$34,Dienste!$C$34,IF(W42=Dienste!$A$35,Dienste!$C$35,IF(W42=Dienste!$A$36,Dienste!$C$36,)))))))))))))))))))))))))))))))))))</f>
        <v>#REF!</v>
      </c>
      <c r="BR42" s="27" t="e">
        <f>IF(X42=Dienste!$A$2,Dienste!$C$2,IF(X42=Dienste!$A$3,Dienste!$C$3,IF(X42=Dienste!$A$4,Dienste!$C$4,IF(X42=Dienste!$A$5,Dienste!$C$5,IF(X42=Dienste!$A$6,Dienste!$C$6,IF(X42=Dienste!$A$7,Dienste!$C$7,IF(X42=Dienste!$A$8,Dienste!$C$8,IF(X42=Dienste!$A$9,Dienste!$C$9,IF(X42=Dienste!$A$10,Dienste!$C$10,IF(X42=Dienste!$A$11,Dienste!$C$11,IF(X42=Dienste!$A$12,Dienste!$C$12,IF(X42=Dienste!$A$13,Dienste!$C$13,IF(X42=Dienste!$A$14,Dienste!$C$14,IF(X42=Dienste!$A$15,Dienste!$C$15,IF(X42=Dienste!$A$16,Dienste!$C$16,IF(X42=Dienste!$A$17,Dienste!$C$17,IF(X42=Dienste!$A$18,Dienste!$C$18,IF(X42=Dienste!$A$19,Dienste!$C$19,IF(X42=Dienste!$A$20,Dienste!$C$20,IF(X42=Dienste!$A$21,Dienste!$C$21,IF(X42=Dienste!$A$22,Dienste!$C$22,IF(X42=Dienste!$A$23,Dienste!$C$23,IF(X42=Dienste!$A$24,Dienste!$C$24,IF(X42=Dienste!$A$25,Dienste!$C$25,IF(X42=Dienste!$A$26,Dienste!$C$26,IF(X42=Dienste!$A$27,Dienste!$C$27,IF(X42=Dienste!$A$28,Dienste!$C$28,IF(X42=Dienste!#REF!,Dienste!#REF!,IF(X42=Dienste!#REF!,Dienste!#REF!,IF(X42=Dienste!#REF!,Dienste!#REF!,IF(X42=Dienste!#REF!,Dienste!#REF!,IF(X42=Dienste!$A$33,Dienste!$C$33,IF(X42=Dienste!$A$34,Dienste!$C$34,IF(X42=Dienste!$A$35,Dienste!$C$35,IF(X42=Dienste!$A$36,Dienste!$C$36,)))))))))))))))))))))))))))))))))))</f>
        <v>#REF!</v>
      </c>
      <c r="BS42" s="27" t="e">
        <f>IF(Y42=Dienste!$A$2,Dienste!$C$2,IF(Y42=Dienste!$A$3,Dienste!$C$3,IF(Y42=Dienste!$A$4,Dienste!$C$4,IF(Y42=Dienste!$A$5,Dienste!$C$5,IF(Y42=Dienste!$A$6,Dienste!$C$6,IF(Y42=Dienste!$A$7,Dienste!$C$7,IF(Y42=Dienste!$A$8,Dienste!$C$8,IF(Y42=Dienste!$A$9,Dienste!$C$9,IF(Y42=Dienste!$A$10,Dienste!$C$10,IF(Y42=Dienste!$A$11,Dienste!$C$11,IF(Y42=Dienste!$A$12,Dienste!$C$12,IF(Y42=Dienste!$A$13,Dienste!$C$13,IF(Y42=Dienste!$A$14,Dienste!$C$14,IF(Y42=Dienste!$A$15,Dienste!$C$15,IF(Y42=Dienste!$A$16,Dienste!$C$16,IF(Y42=Dienste!$A$17,Dienste!$C$17,IF(Y42=Dienste!$A$18,Dienste!$C$18,IF(Y42=Dienste!$A$19,Dienste!$C$19,IF(Y42=Dienste!$A$20,Dienste!$C$20,IF(Y42=Dienste!$A$21,Dienste!$C$21,IF(Y42=Dienste!$A$22,Dienste!$C$22,IF(Y42=Dienste!$A$23,Dienste!$C$23,IF(Y42=Dienste!$A$24,Dienste!$C$24,IF(Y42=Dienste!$A$25,Dienste!$C$25,IF(Y42=Dienste!$A$26,Dienste!$C$26,IF(Y42=Dienste!$A$27,Dienste!$C$27,IF(Y42=Dienste!$A$28,Dienste!$C$28,IF(Y42=Dienste!#REF!,Dienste!#REF!,IF(Y42=Dienste!#REF!,Dienste!#REF!,IF(Y42=Dienste!#REF!,Dienste!#REF!,IF(Y42=Dienste!#REF!,Dienste!#REF!,IF(Y42=Dienste!$A$33,Dienste!$C$33,IF(Y42=Dienste!$A$34,Dienste!$C$34,IF(Y42=Dienste!$A$35,Dienste!$C$35,IF(Y42=Dienste!$A$36,Dienste!$C$36,)))))))))))))))))))))))))))))))))))</f>
        <v>#REF!</v>
      </c>
      <c r="BT42" s="27" t="e">
        <f>IF(Z42=Dienste!$A$2,Dienste!$C$2,IF(Z42=Dienste!$A$3,Dienste!$C$3,IF(Z42=Dienste!$A$4,Dienste!$C$4,IF(Z42=Dienste!$A$5,Dienste!$C$5,IF(Z42=Dienste!$A$6,Dienste!$C$6,IF(Z42=Dienste!$A$7,Dienste!$C$7,IF(Z42=Dienste!$A$8,Dienste!$C$8,IF(Z42=Dienste!$A$9,Dienste!$C$9,IF(Z42=Dienste!$A$10,Dienste!$C$10,IF(Z42=Dienste!$A$11,Dienste!$C$11,IF(Z42=Dienste!$A$12,Dienste!$C$12,IF(Z42=Dienste!$A$13,Dienste!$C$13,IF(Z42=Dienste!$A$14,Dienste!$C$14,IF(Z42=Dienste!$A$15,Dienste!$C$15,IF(Z42=Dienste!$A$16,Dienste!$C$16,IF(Z42=Dienste!$A$17,Dienste!$C$17,IF(Z42=Dienste!$A$18,Dienste!$C$18,IF(Z42=Dienste!$A$19,Dienste!$C$19,IF(Z42=Dienste!$A$20,Dienste!$C$20,IF(Z42=Dienste!$A$21,Dienste!$C$21,IF(Z42=Dienste!$A$22,Dienste!$C$22,IF(Z42=Dienste!$A$23,Dienste!$C$23,IF(Z42=Dienste!$A$24,Dienste!$C$24,IF(Z42=Dienste!$A$25,Dienste!$C$25,IF(Z42=Dienste!$A$26,Dienste!$C$26,IF(Z42=Dienste!$A$27,Dienste!$C$27,IF(Z42=Dienste!$A$28,Dienste!$C$28,IF(Z42=Dienste!#REF!,Dienste!#REF!,IF(Z42=Dienste!#REF!,Dienste!#REF!,IF(Z42=Dienste!#REF!,Dienste!#REF!,IF(Z42=Dienste!#REF!,Dienste!#REF!,IF(Z42=Dienste!$A$33,Dienste!$C$33,IF(Z42=Dienste!$A$34,Dienste!$C$34,IF(Z42=Dienste!$A$35,Dienste!$C$35,IF(Z42=Dienste!$A$36,Dienste!$C$36,)))))))))))))))))))))))))))))))))))</f>
        <v>#REF!</v>
      </c>
      <c r="BU42" s="27" t="e">
        <f>IF(AA42=Dienste!$A$2,Dienste!$C$2,IF(AA42=Dienste!$A$3,Dienste!$C$3,IF(AA42=Dienste!$A$4,Dienste!$C$4,IF(AA42=Dienste!$A$5,Dienste!$C$5,IF(AA42=Dienste!$A$6,Dienste!$C$6,IF(AA42=Dienste!$A$7,Dienste!$C$7,IF(AA42=Dienste!$A$8,Dienste!$C$8,IF(AA42=Dienste!$A$9,Dienste!$C$9,IF(AA42=Dienste!$A$10,Dienste!$C$10,IF(AA42=Dienste!$A$11,Dienste!$C$11,IF(AA42=Dienste!$A$12,Dienste!$C$12,IF(AA42=Dienste!$A$13,Dienste!$C$13,IF(AA42=Dienste!$A$14,Dienste!$C$14,IF(AA42=Dienste!$A$15,Dienste!$C$15,IF(AA42=Dienste!$A$16,Dienste!$C$16,IF(AA42=Dienste!$A$17,Dienste!$C$17,IF(AA42=Dienste!$A$18,Dienste!$C$18,IF(AA42=Dienste!$A$19,Dienste!$C$19,IF(AA42=Dienste!$A$20,Dienste!$C$20,IF(AA42=Dienste!$A$21,Dienste!$C$21,IF(AA42=Dienste!$A$22,Dienste!$C$22,IF(AA42=Dienste!$A$23,Dienste!$C$23,IF(AA42=Dienste!$A$24,Dienste!$C$24,IF(AA42=Dienste!$A$25,Dienste!$C$25,IF(AA42=Dienste!$A$26,Dienste!$C$26,IF(AA42=Dienste!$A$27,Dienste!$C$27,IF(AA42=Dienste!$A$28,Dienste!$C$28,IF(AA42=Dienste!#REF!,Dienste!#REF!,IF(AA42=Dienste!#REF!,Dienste!#REF!,IF(AA42=Dienste!#REF!,Dienste!#REF!,IF(AA42=Dienste!#REF!,Dienste!#REF!,IF(AA42=Dienste!$A$33,Dienste!$C$33,IF(AA42=Dienste!$A$34,Dienste!$C$34,IF(AA42=Dienste!$A$35,Dienste!$C$35,IF(AA42=Dienste!$A$36,Dienste!$C$36,)))))))))))))))))))))))))))))))))))</f>
        <v>#REF!</v>
      </c>
      <c r="BV42" s="27" t="e">
        <f>IF(AB42=Dienste!$A$2,Dienste!$C$2,IF(AB42=Dienste!$A$3,Dienste!$C$3,IF(AB42=Dienste!$A$4,Dienste!$C$4,IF(AB42=Dienste!$A$5,Dienste!$C$5,IF(AB42=Dienste!$A$6,Dienste!$C$6,IF(AB42=Dienste!$A$7,Dienste!$C$7,IF(AB42=Dienste!$A$8,Dienste!$C$8,IF(AB42=Dienste!$A$9,Dienste!$C$9,IF(AB42=Dienste!$A$10,Dienste!$C$10,IF(AB42=Dienste!$A$11,Dienste!$C$11,IF(AB42=Dienste!$A$12,Dienste!$C$12,IF(AB42=Dienste!$A$13,Dienste!$C$13,IF(AB42=Dienste!$A$14,Dienste!$C$14,IF(AB42=Dienste!$A$15,Dienste!$C$15,IF(AB42=Dienste!$A$16,Dienste!$C$16,IF(AB42=Dienste!$A$17,Dienste!$C$17,IF(AB42=Dienste!$A$18,Dienste!$C$18,IF(AB42=Dienste!$A$19,Dienste!$C$19,IF(AB42=Dienste!$A$20,Dienste!$C$20,IF(AB42=Dienste!$A$21,Dienste!$C$21,IF(AB42=Dienste!$A$22,Dienste!$C$22,IF(AB42=Dienste!$A$23,Dienste!$C$23,IF(AB42=Dienste!$A$24,Dienste!$C$24,IF(AB42=Dienste!$A$25,Dienste!$C$25,IF(AB42=Dienste!$A$26,Dienste!$C$26,IF(AB42=Dienste!$A$27,Dienste!$C$27,IF(AB42=Dienste!$A$28,Dienste!$C$28,IF(AB42=Dienste!#REF!,Dienste!#REF!,IF(AB42=Dienste!#REF!,Dienste!#REF!,IF(AB42=Dienste!#REF!,Dienste!#REF!,IF(AB42=Dienste!#REF!,Dienste!#REF!,IF(AB42=Dienste!$A$33,Dienste!$C$33,IF(AB42=Dienste!$A$34,Dienste!$C$34,IF(AB42=Dienste!$A$35,Dienste!$C$35,IF(AB42=Dienste!$A$36,Dienste!$C$36,)))))))))))))))))))))))))))))))))))</f>
        <v>#REF!</v>
      </c>
      <c r="BW42" s="27" t="e">
        <f>IF(AC42=Dienste!$A$2,Dienste!$C$2,IF(AC42=Dienste!$A$3,Dienste!$C$3,IF(AC42=Dienste!$A$4,Dienste!$C$4,IF(AC42=Dienste!$A$5,Dienste!$C$5,IF(AC42=Dienste!$A$6,Dienste!$C$6,IF(AC42=Dienste!$A$7,Dienste!$C$7,IF(AC42=Dienste!$A$8,Dienste!$C$8,IF(AC42=Dienste!$A$9,Dienste!$C$9,IF(AC42=Dienste!$A$10,Dienste!$C$10,IF(AC42=Dienste!$A$11,Dienste!$C$11,IF(AC42=Dienste!$A$12,Dienste!$C$12,IF(AC42=Dienste!$A$13,Dienste!$C$13,IF(AC42=Dienste!$A$14,Dienste!$C$14,IF(AC42=Dienste!$A$15,Dienste!$C$15,IF(AC42=Dienste!$A$16,Dienste!$C$16,IF(AC42=Dienste!$A$17,Dienste!$C$17,IF(AC42=Dienste!$A$18,Dienste!$C$18,IF(AC42=Dienste!$A$19,Dienste!$C$19,IF(AC42=Dienste!$A$20,Dienste!$C$20,IF(AC42=Dienste!$A$21,Dienste!$C$21,IF(AC42=Dienste!$A$22,Dienste!$C$22,IF(AC42=Dienste!$A$23,Dienste!$C$23,IF(AC42=Dienste!$A$24,Dienste!$C$24,IF(AC42=Dienste!$A$25,Dienste!$C$25,IF(AC42=Dienste!$A$26,Dienste!$C$26,IF(AC42=Dienste!$A$27,Dienste!$C$27,IF(AC42=Dienste!$A$28,Dienste!$C$28,IF(AC42=Dienste!#REF!,Dienste!#REF!,IF(AC42=Dienste!#REF!,Dienste!#REF!,IF(AC42=Dienste!#REF!,Dienste!#REF!,IF(AC42=Dienste!#REF!,Dienste!#REF!,IF(AC42=Dienste!$A$33,Dienste!$C$33,IF(AC42=Dienste!$A$34,Dienste!$C$34,IF(AC42=Dienste!$A$35,Dienste!$C$35,IF(AC42=Dienste!$A$36,Dienste!$C$36,)))))))))))))))))))))))))))))))))))</f>
        <v>#REF!</v>
      </c>
      <c r="BX42" s="27" t="e">
        <f>IF(AD42=Dienste!$A$2,Dienste!$C$2,IF(AD42=Dienste!$A$3,Dienste!$C$3,IF(AD42=Dienste!$A$4,Dienste!$C$4,IF(AD42=Dienste!$A$5,Dienste!$C$5,IF(AD42=Dienste!$A$6,Dienste!$C$6,IF(AD42=Dienste!$A$7,Dienste!$C$7,IF(AD42=Dienste!$A$8,Dienste!$C$8,IF(AD42=Dienste!$A$9,Dienste!$C$9,IF(AD42=Dienste!$A$10,Dienste!$C$10,IF(AD42=Dienste!$A$11,Dienste!$C$11,IF(AD42=Dienste!$A$12,Dienste!$C$12,IF(AD42=Dienste!$A$13,Dienste!$C$13,IF(AD42=Dienste!$A$14,Dienste!$C$14,IF(AD42=Dienste!$A$15,Dienste!$C$15,IF(AD42=Dienste!$A$16,Dienste!$C$16,IF(AD42=Dienste!$A$17,Dienste!$C$17,IF(AD42=Dienste!$A$18,Dienste!$C$18,IF(AD42=Dienste!$A$19,Dienste!$C$19,IF(AD42=Dienste!$A$20,Dienste!$C$20,IF(AD42=Dienste!$A$21,Dienste!$C$21,IF(AD42=Dienste!$A$22,Dienste!$C$22,IF(AD42=Dienste!$A$23,Dienste!$C$23,IF(AD42=Dienste!$A$24,Dienste!$C$24,IF(AD42=Dienste!$A$25,Dienste!$C$25,IF(AD42=Dienste!$A$26,Dienste!$C$26,IF(AD42=Dienste!$A$27,Dienste!$C$27,IF(AD42=Dienste!$A$28,Dienste!$C$28,IF(AD42=Dienste!#REF!,Dienste!#REF!,IF(AD42=Dienste!#REF!,Dienste!#REF!,IF(AD42=Dienste!#REF!,Dienste!#REF!,IF(AD42=Dienste!#REF!,Dienste!#REF!,IF(AD42=Dienste!$A$33,Dienste!$C$33,IF(AD42=Dienste!$A$34,Dienste!$C$34,IF(AD42=Dienste!$A$35,Dienste!$C$35,IF(AD42=Dienste!$A$36,Dienste!$C$36,)))))))))))))))))))))))))))))))))))</f>
        <v>#REF!</v>
      </c>
      <c r="BY42" s="27" t="e">
        <f>IF(AE42=Dienste!$A$2,Dienste!$C$2,IF(AE42=Dienste!$A$3,Dienste!$C$3,IF(AE42=Dienste!$A$4,Dienste!$C$4,IF(AE42=Dienste!$A$5,Dienste!$C$5,IF(AE42=Dienste!$A$6,Dienste!$C$6,IF(AE42=Dienste!$A$7,Dienste!$C$7,IF(AE42=Dienste!$A$8,Dienste!$C$8,IF(AE42=Dienste!$A$9,Dienste!$C$9,IF(AE42=Dienste!$A$10,Dienste!$C$10,IF(AE42=Dienste!$A$11,Dienste!$C$11,IF(AE42=Dienste!$A$12,Dienste!$C$12,IF(AE42=Dienste!$A$13,Dienste!$C$13,IF(AE42=Dienste!$A$14,Dienste!$C$14,IF(AE42=Dienste!$A$15,Dienste!$C$15,IF(AE42=Dienste!$A$16,Dienste!$C$16,IF(AE42=Dienste!$A$17,Dienste!$C$17,IF(AE42=Dienste!$A$18,Dienste!$C$18,IF(AE42=Dienste!$A$19,Dienste!$C$19,IF(AE42=Dienste!$A$20,Dienste!$C$20,IF(AE42=Dienste!$A$21,Dienste!$C$21,IF(AE42=Dienste!$A$22,Dienste!$C$22,IF(AE42=Dienste!$A$23,Dienste!$C$23,IF(AE42=Dienste!$A$24,Dienste!$C$24,IF(AE42=Dienste!$A$25,Dienste!$C$25,IF(AE42=Dienste!$A$26,Dienste!$C$26,IF(AE42=Dienste!$A$27,Dienste!$C$27,IF(AE42=Dienste!$A$28,Dienste!$C$28,IF(AE42=Dienste!#REF!,Dienste!#REF!,IF(AE42=Dienste!#REF!,Dienste!#REF!,IF(AE42=Dienste!#REF!,Dienste!#REF!,IF(AE42=Dienste!#REF!,Dienste!#REF!,IF(AE42=Dienste!$A$33,Dienste!$C$33,IF(AE42=Dienste!$A$34,Dienste!$C$34,IF(AE42=Dienste!$A$35,Dienste!$C$35,IF(AE42=Dienste!$A$36,Dienste!$C$36,)))))))))))))))))))))))))))))))))))</f>
        <v>#REF!</v>
      </c>
      <c r="BZ42" s="27" t="e">
        <f>IF(AF42=Dienste!$A$2,Dienste!$C$2,IF(AF42=Dienste!$A$3,Dienste!$C$3,IF(AF42=Dienste!$A$4,Dienste!$C$4,IF(AF42=Dienste!$A$5,Dienste!$C$5,IF(AF42=Dienste!$A$6,Dienste!$C$6,IF(AF42=Dienste!$A$7,Dienste!$C$7,IF(AF42=Dienste!$A$8,Dienste!$C$8,IF(AF42=Dienste!$A$9,Dienste!$C$9,IF(AF42=Dienste!$A$10,Dienste!$C$10,IF(AF42=Dienste!$A$11,Dienste!$C$11,IF(AF42=Dienste!$A$12,Dienste!$C$12,IF(AF42=Dienste!$A$13,Dienste!$C$13,IF(AF42=Dienste!$A$14,Dienste!$C$14,IF(AF42=Dienste!$A$15,Dienste!$C$15,IF(AF42=Dienste!$A$16,Dienste!$C$16,IF(AF42=Dienste!$A$17,Dienste!$C$17,IF(AF42=Dienste!$A$18,Dienste!$C$18,IF(AF42=Dienste!$A$19,Dienste!$C$19,IF(AF42=Dienste!$A$20,Dienste!$C$20,IF(AF42=Dienste!$A$21,Dienste!$C$21,IF(AF42=Dienste!$A$22,Dienste!$C$22,IF(AF42=Dienste!$A$23,Dienste!$C$23,IF(AF42=Dienste!$A$24,Dienste!$C$24,IF(AF42=Dienste!$A$25,Dienste!$C$25,IF(AF42=Dienste!$A$26,Dienste!$C$26,IF(AF42=Dienste!$A$27,Dienste!$C$27,IF(AF42=Dienste!$A$28,Dienste!$C$28,IF(AF42=Dienste!#REF!,Dienste!#REF!,IF(AF42=Dienste!#REF!,Dienste!#REF!,IF(AF42=Dienste!#REF!,Dienste!#REF!,IF(AF42=Dienste!#REF!,Dienste!#REF!,IF(AF42=Dienste!$A$33,Dienste!$C$33,IF(AF42=Dienste!$A$34,Dienste!$C$34,IF(AF42=Dienste!$A$35,Dienste!$C$35,IF(AF42=Dienste!$A$36,Dienste!$C$36,)))))))))))))))))))))))))))))))))))</f>
        <v>#REF!</v>
      </c>
      <c r="CA42" s="27" t="e">
        <f>IF(AG42=Dienste!$A$2,Dienste!$C$2,IF(AG42=Dienste!$A$3,Dienste!$C$3,IF(AG42=Dienste!$A$4,Dienste!$C$4,IF(AG42=Dienste!$A$5,Dienste!$C$5,IF(AG42=Dienste!$A$6,Dienste!$C$6,IF(AG42=Dienste!$A$7,Dienste!$C$7,IF(AG42=Dienste!$A$8,Dienste!$C$8,IF(AG42=Dienste!$A$9,Dienste!$C$9,IF(AG42=Dienste!$A$10,Dienste!$C$10,IF(AG42=Dienste!$A$11,Dienste!$C$11,IF(AG42=Dienste!$A$12,Dienste!$C$12,IF(AG42=Dienste!$A$13,Dienste!$C$13,IF(AG42=Dienste!$A$14,Dienste!$C$14,IF(AG42=Dienste!$A$15,Dienste!$C$15,IF(AG42=Dienste!$A$16,Dienste!$C$16,IF(AG42=Dienste!$A$17,Dienste!$C$17,IF(AG42=Dienste!$A$18,Dienste!$C$18,IF(AG42=Dienste!$A$19,Dienste!$C$19,IF(AG42=Dienste!$A$20,Dienste!$C$20,IF(AG42=Dienste!$A$21,Dienste!$C$21,IF(AG42=Dienste!$A$22,Dienste!$C$22,IF(AG42=Dienste!$A$23,Dienste!$C$23,IF(AG42=Dienste!$A$24,Dienste!$C$24,IF(AG42=Dienste!$A$25,Dienste!$C$25,IF(AG42=Dienste!$A$26,Dienste!$C$26,IF(AG42=Dienste!$A$27,Dienste!$C$27,IF(AG42=Dienste!$A$28,Dienste!$C$28,IF(AG42=Dienste!#REF!,Dienste!#REF!,IF(AG42=Dienste!#REF!,Dienste!#REF!,IF(AG42=Dienste!#REF!,Dienste!#REF!,IF(AG42=Dienste!#REF!,Dienste!#REF!,IF(AG42=Dienste!$A$33,Dienste!$C$33,IF(AG42=Dienste!$A$34,Dienste!$C$34,IF(AG42=Dienste!$A$35,Dienste!$C$35,IF(AG42=Dienste!$A$36,Dienste!$C$36,)))))))))))))))))))))))))))))))))))</f>
        <v>#REF!</v>
      </c>
      <c r="CB42" s="27" t="e">
        <f>IF(AH42=Dienste!$A$2,Dienste!$C$2,IF(AH42=Dienste!$A$3,Dienste!$C$3,IF(AH42=Dienste!$A$4,Dienste!$C$4,IF(AH42=Dienste!$A$5,Dienste!$C$5,IF(AH42=Dienste!$A$6,Dienste!$C$6,IF(AH42=Dienste!$A$7,Dienste!$C$7,IF(AH42=Dienste!$A$8,Dienste!$C$8,IF(AH42=Dienste!$A$9,Dienste!$C$9,IF(AH42=Dienste!$A$10,Dienste!$C$10,IF(AH42=Dienste!$A$11,Dienste!$C$11,IF(AH42=Dienste!$A$12,Dienste!$C$12,IF(AH42=Dienste!$A$13,Dienste!$C$13,IF(AH42=Dienste!$A$14,Dienste!$C$14,IF(AH42=Dienste!$A$15,Dienste!$C$15,IF(AH42=Dienste!$A$16,Dienste!$C$16,IF(AH42=Dienste!$A$17,Dienste!$C$17,IF(AH42=Dienste!$A$18,Dienste!$C$18,IF(AH42=Dienste!$A$19,Dienste!$C$19,IF(AH42=Dienste!$A$20,Dienste!$C$20,IF(AH42=Dienste!$A$21,Dienste!$C$21,IF(AH42=Dienste!$A$22,Dienste!$C$22,IF(AH42=Dienste!$A$23,Dienste!$C$23,IF(AH42=Dienste!$A$24,Dienste!$C$24,IF(AH42=Dienste!$A$25,Dienste!$C$25,IF(AH42=Dienste!$A$26,Dienste!$C$26,IF(AH42=Dienste!$A$27,Dienste!$C$27,IF(AH42=Dienste!$A$28,Dienste!$C$28,IF(AH42=Dienste!#REF!,Dienste!#REF!,IF(AH42=Dienste!#REF!,Dienste!#REF!,IF(AH42=Dienste!#REF!,Dienste!#REF!,IF(AH42=Dienste!#REF!,Dienste!#REF!,IF(AH42=Dienste!$A$33,Dienste!$C$33,IF(AH42=Dienste!$A$34,Dienste!$C$34,IF(AH42=Dienste!$A$35,Dienste!$C$35,IF(AH42=Dienste!$A$36,Dienste!$C$36,)))))))))))))))))))))))))))))))))))</f>
        <v>#REF!</v>
      </c>
      <c r="CC42" s="27" t="e">
        <f>IF(AI42=Dienste!$A$2,Dienste!$C$2,IF(AI42=Dienste!$A$3,Dienste!$C$3,IF(AI42=Dienste!$A$4,Dienste!$C$4,IF(AI42=Dienste!$A$5,Dienste!$C$5,IF(AI42=Dienste!$A$6,Dienste!$C$6,IF(AI42=Dienste!$A$7,Dienste!$C$7,IF(AI42=Dienste!$A$8,Dienste!$C$8,IF(AI42=Dienste!$A$9,Dienste!$C$9,IF(AI42=Dienste!$A$10,Dienste!$C$10,IF(AI42=Dienste!$A$11,Dienste!$C$11,IF(AI42=Dienste!$A$12,Dienste!$C$12,IF(AI42=Dienste!$A$13,Dienste!$C$13,IF(AI42=Dienste!$A$14,Dienste!$C$14,IF(AI42=Dienste!$A$15,Dienste!$C$15,IF(AI42=Dienste!$A$16,Dienste!$C$16,IF(AI42=Dienste!$A$17,Dienste!$C$17,IF(AI42=Dienste!$A$18,Dienste!$C$18,IF(AI42=Dienste!$A$19,Dienste!$C$19,IF(AI42=Dienste!$A$20,Dienste!$C$20,IF(AI42=Dienste!$A$21,Dienste!$C$21,IF(AI42=Dienste!$A$22,Dienste!$C$22,IF(AI42=Dienste!$A$23,Dienste!$C$23,IF(AI42=Dienste!$A$24,Dienste!$C$24,IF(AI42=Dienste!$A$25,Dienste!$C$25,IF(AI42=Dienste!$A$26,Dienste!$C$26,IF(AI42=Dienste!$A$27,Dienste!$C$27,IF(AI42=Dienste!$A$28,Dienste!$C$28,IF(AI42=Dienste!#REF!,Dienste!#REF!,IF(AI42=Dienste!#REF!,Dienste!#REF!,IF(AI42=Dienste!#REF!,Dienste!#REF!,IF(AI42=Dienste!#REF!,Dienste!#REF!,IF(AI42=Dienste!$A$33,Dienste!$C$33,IF(AI42=Dienste!$A$34,Dienste!$C$34,IF(AI42=Dienste!$A$35,Dienste!$C$35,IF(AI42=Dienste!$A$36,Dienste!$C$36,)))))))))))))))))))))))))))))))))))</f>
        <v>#REF!</v>
      </c>
    </row>
    <row r="43" spans="1:81" hidden="1" x14ac:dyDescent="0.25">
      <c r="A43" s="109"/>
      <c r="B43" s="15"/>
      <c r="C43" s="15"/>
      <c r="D43" s="98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4"/>
      <c r="AK43" s="152"/>
      <c r="AL43" s="154"/>
      <c r="AM43" s="152"/>
      <c r="AN43" s="152"/>
      <c r="AO43" s="154"/>
      <c r="AP43" s="152"/>
      <c r="AQ43" s="153"/>
      <c r="AR43" s="154"/>
      <c r="AS43" s="152"/>
      <c r="AT43" s="153"/>
      <c r="AU43" s="27" t="e">
        <f t="shared" si="3"/>
        <v>#REF!</v>
      </c>
      <c r="AV43" s="27" t="e">
        <f t="shared" si="7"/>
        <v>#REF!</v>
      </c>
      <c r="AW43" s="58" t="e">
        <f t="shared" si="6"/>
        <v>#REF!</v>
      </c>
      <c r="AY43" s="27" t="e">
        <f>IF(E43=Dienste!$A$2,Dienste!$C$2,IF(E43=Dienste!$A$3,Dienste!$C$3,IF(E43=Dienste!$A$4,Dienste!$C$4,IF(E43=Dienste!$A$5,Dienste!$C$5,IF(E43=Dienste!$A$6,Dienste!$C$6,IF(E43=Dienste!$A$7,Dienste!$C$7,IF(E43=Dienste!$A$8,Dienste!$C$8,IF(E43=Dienste!$A$9,Dienste!$C$9,IF(E43=Dienste!$A$10,Dienste!$C$10,IF(E43=Dienste!$A$11,Dienste!$C$11,IF(E43=Dienste!$A$12,Dienste!$C$12,IF(E43=Dienste!$A$13,Dienste!$C$13,IF(E43=Dienste!$A$14,Dienste!$C$14,IF(E43=Dienste!$A$15,Dienste!$C$15,IF(E43=Dienste!$A$16,Dienste!$C$16,IF(E43=Dienste!$A$17,Dienste!$C$17,IF(E43=Dienste!$A$18,Dienste!$C$18,IF(E43=Dienste!$A$19,Dienste!$C$19,IF(E43=Dienste!$A$20,Dienste!$C$20,IF(E43=Dienste!$A$21,Dienste!$C$21,IF(E43=Dienste!$A$22,Dienste!$C$22,IF(E43=Dienste!$A$23,Dienste!$C$23,IF(E43=Dienste!$A$24,Dienste!$C$24,IF(E43=Dienste!$A$25,Dienste!$C$25,IF(E43=Dienste!$A$26,Dienste!$C$26,IF(E43=Dienste!$A$27,Dienste!$C$27,IF(E43=Dienste!$A$28,Dienste!$C$28,IF(E43=Dienste!#REF!,Dienste!#REF!,IF(E43=Dienste!#REF!,Dienste!#REF!,IF(E43=Dienste!#REF!,Dienste!#REF!,IF(E43=Dienste!#REF!,Dienste!#REF!,IF(E43=Dienste!$A$33,Dienste!$C$33,IF(E43=Dienste!$A$34,Dienste!$C$34,IF(E43=Dienste!$A$35,Dienste!$C$35,IF(E43=Dienste!$A$36,Dienste!$C$36,)))))))))))))))))))))))))))))))))))</f>
        <v>#REF!</v>
      </c>
      <c r="AZ43" s="27" t="e">
        <f>IF(F43=Dienste!$A$2,Dienste!$C$2,IF(F43=Dienste!$A$3,Dienste!$C$3,IF(F43=Dienste!$A$4,Dienste!$C$4,IF(F43=Dienste!$A$5,Dienste!$C$5,IF(F43=Dienste!$A$6,Dienste!$C$6,IF(F43=Dienste!$A$7,Dienste!$C$7,IF(F43=Dienste!$A$8,Dienste!$C$8,IF(F43=Dienste!$A$9,Dienste!$C$9,IF(F43=Dienste!$A$10,Dienste!$C$10,IF(F43=Dienste!$A$11,Dienste!$C$11,IF(F43=Dienste!$A$12,Dienste!$C$12,IF(F43=Dienste!$A$13,Dienste!$C$13,IF(F43=Dienste!$A$14,Dienste!$C$14,IF(F43=Dienste!$A$15,Dienste!$C$15,IF(F43=Dienste!$A$16,Dienste!$C$16,IF(F43=Dienste!$A$17,Dienste!$C$17,IF(F43=Dienste!$A$18,Dienste!$C$18,IF(F43=Dienste!$A$19,Dienste!$C$19,IF(F43=Dienste!$A$20,Dienste!$C$20,IF(F43=Dienste!$A$21,Dienste!$C$21,IF(F43=Dienste!$A$22,Dienste!$C$22,IF(F43=Dienste!$A$23,Dienste!$C$23,IF(F43=Dienste!$A$24,Dienste!$C$24,IF(F43=Dienste!$A$25,Dienste!$C$25,IF(F43=Dienste!$A$26,Dienste!$C$26,IF(F43=Dienste!$A$27,Dienste!$C$27,IF(F43=Dienste!$A$28,Dienste!$C$28,IF(F43=Dienste!#REF!,Dienste!#REF!,IF(F43=Dienste!#REF!,Dienste!#REF!,IF(F43=Dienste!#REF!,Dienste!#REF!,IF(F43=Dienste!#REF!,Dienste!#REF!,IF(F43=Dienste!$A$33,Dienste!$C$33,IF(F43=Dienste!$A$34,Dienste!$C$34,IF(F43=Dienste!$A$35,Dienste!$C$35,IF(F43=Dienste!$A$36,Dienste!$C$36,)))))))))))))))))))))))))))))))))))</f>
        <v>#REF!</v>
      </c>
      <c r="BA43" s="27" t="e">
        <f>IF(G43=Dienste!$A$2,Dienste!$C$2,IF(G43=Dienste!$A$3,Dienste!$C$3,IF(G43=Dienste!$A$4,Dienste!$C$4,IF(G43=Dienste!$A$5,Dienste!$C$5,IF(G43=Dienste!$A$6,Dienste!$C$6,IF(G43=Dienste!$A$7,Dienste!$C$7,IF(G43=Dienste!$A$8,Dienste!$C$8,IF(G43=Dienste!$A$9,Dienste!$C$9,IF(G43=Dienste!$A$10,Dienste!$C$10,IF(G43=Dienste!$A$11,Dienste!$C$11,IF(G43=Dienste!$A$12,Dienste!$C$12,IF(G43=Dienste!$A$13,Dienste!$C$13,IF(G43=Dienste!$A$14,Dienste!$C$14,IF(G43=Dienste!$A$15,Dienste!$C$15,IF(G43=Dienste!$A$16,Dienste!$C$16,IF(G43=Dienste!$A$17,Dienste!$C$17,IF(G43=Dienste!$A$18,Dienste!$C$18,IF(G43=Dienste!$A$19,Dienste!$C$19,IF(G43=Dienste!$A$20,Dienste!$C$20,IF(G43=Dienste!$A$21,Dienste!$C$21,IF(G43=Dienste!$A$22,Dienste!$C$22,IF(G43=Dienste!$A$23,Dienste!$C$23,IF(G43=Dienste!$A$24,Dienste!$C$24,IF(G43=Dienste!$A$25,Dienste!$C$25,IF(G43=Dienste!$A$26,Dienste!$C$26,IF(G43=Dienste!$A$27,Dienste!$C$27,IF(G43=Dienste!$A$28,Dienste!$C$28,IF(G43=Dienste!#REF!,Dienste!#REF!,IF(G43=Dienste!#REF!,Dienste!#REF!,IF(G43=Dienste!#REF!,Dienste!#REF!,IF(G43=Dienste!#REF!,Dienste!#REF!,IF(G43=Dienste!$A$33,Dienste!$C$33,IF(G43=Dienste!$A$34,Dienste!$C$34,IF(G43=Dienste!$A$35,Dienste!$C$35,IF(G43=Dienste!$A$36,Dienste!$C$36,)))))))))))))))))))))))))))))))))))</f>
        <v>#REF!</v>
      </c>
      <c r="BB43" s="27" t="e">
        <f>IF(H43=Dienste!$A$2,Dienste!$C$2,IF(H43=Dienste!$A$3,Dienste!$C$3,IF(H43=Dienste!$A$4,Dienste!$C$4,IF(H43=Dienste!$A$5,Dienste!$C$5,IF(H43=Dienste!$A$6,Dienste!$C$6,IF(H43=Dienste!$A$7,Dienste!$C$7,IF(H43=Dienste!$A$8,Dienste!$C$8,IF(H43=Dienste!$A$9,Dienste!$C$9,IF(H43=Dienste!$A$10,Dienste!$C$10,IF(H43=Dienste!$A$11,Dienste!$C$11,IF(H43=Dienste!$A$12,Dienste!$C$12,IF(H43=Dienste!$A$13,Dienste!$C$13,IF(H43=Dienste!$A$14,Dienste!$C$14,IF(H43=Dienste!$A$15,Dienste!$C$15,IF(H43=Dienste!$A$16,Dienste!$C$16,IF(H43=Dienste!$A$17,Dienste!$C$17,IF(H43=Dienste!$A$18,Dienste!$C$18,IF(H43=Dienste!$A$19,Dienste!$C$19,IF(H43=Dienste!$A$20,Dienste!$C$20,IF(H43=Dienste!$A$21,Dienste!$C$21,IF(H43=Dienste!$A$22,Dienste!$C$22,IF(H43=Dienste!$A$23,Dienste!$C$23,IF(H43=Dienste!$A$24,Dienste!$C$24,IF(H43=Dienste!$A$25,Dienste!$C$25,IF(H43=Dienste!$A$26,Dienste!$C$26,IF(H43=Dienste!$A$27,Dienste!$C$27,IF(H43=Dienste!$A$28,Dienste!$C$28,IF(H43=Dienste!#REF!,Dienste!#REF!,IF(H43=Dienste!#REF!,Dienste!#REF!,IF(H43=Dienste!#REF!,Dienste!#REF!,IF(H43=Dienste!#REF!,Dienste!#REF!,IF(H43=Dienste!$A$33,Dienste!$C$33,IF(H43=Dienste!$A$34,Dienste!$C$34,IF(H43=Dienste!$A$35,Dienste!$C$35,IF(H43=Dienste!$A$36,Dienste!$C$36,)))))))))))))))))))))))))))))))))))</f>
        <v>#REF!</v>
      </c>
      <c r="BC43" s="27" t="e">
        <f>IF(I43=Dienste!$A$2,Dienste!$C$2,IF(I43=Dienste!$A$3,Dienste!$C$3,IF(I43=Dienste!$A$4,Dienste!$C$4,IF(I43=Dienste!$A$5,Dienste!$C$5,IF(I43=Dienste!$A$6,Dienste!$C$6,IF(I43=Dienste!$A$7,Dienste!$C$7,IF(I43=Dienste!$A$8,Dienste!$C$8,IF(I43=Dienste!$A$9,Dienste!$C$9,IF(I43=Dienste!$A$10,Dienste!$C$10,IF(I43=Dienste!$A$11,Dienste!$C$11,IF(I43=Dienste!$A$12,Dienste!$C$12,IF(I43=Dienste!$A$13,Dienste!$C$13,IF(I43=Dienste!$A$14,Dienste!$C$14,IF(I43=Dienste!$A$15,Dienste!$C$15,IF(I43=Dienste!$A$16,Dienste!$C$16,IF(I43=Dienste!$A$17,Dienste!$C$17,IF(I43=Dienste!$A$18,Dienste!$C$18,IF(I43=Dienste!$A$19,Dienste!$C$19,IF(I43=Dienste!$A$20,Dienste!$C$20,IF(I43=Dienste!$A$21,Dienste!$C$21,IF(I43=Dienste!$A$22,Dienste!$C$22,IF(I43=Dienste!$A$23,Dienste!$C$23,IF(I43=Dienste!$A$24,Dienste!$C$24,IF(I43=Dienste!$A$25,Dienste!$C$25,IF(I43=Dienste!$A$26,Dienste!$C$26,IF(I43=Dienste!$A$27,Dienste!$C$27,IF(I43=Dienste!$A$28,Dienste!$C$28,IF(I43=Dienste!#REF!,Dienste!#REF!,IF(I43=Dienste!#REF!,Dienste!#REF!,IF(I43=Dienste!#REF!,Dienste!#REF!,IF(I43=Dienste!#REF!,Dienste!#REF!,IF(I43=Dienste!$A$33,Dienste!$C$33,IF(I43=Dienste!$A$34,Dienste!$C$34,IF(I43=Dienste!$A$35,Dienste!$C$35,IF(I43=Dienste!$A$36,Dienste!$C$36,)))))))))))))))))))))))))))))))))))</f>
        <v>#REF!</v>
      </c>
      <c r="BD43" s="27" t="e">
        <f>IF(J43=Dienste!$A$2,Dienste!$C$2,IF(J43=Dienste!$A$3,Dienste!$C$3,IF(J43=Dienste!$A$4,Dienste!$C$4,IF(J43=Dienste!$A$5,Dienste!$C$5,IF(J43=Dienste!$A$6,Dienste!$C$6,IF(J43=Dienste!$A$7,Dienste!$C$7,IF(J43=Dienste!$A$8,Dienste!$C$8,IF(J43=Dienste!$A$9,Dienste!$C$9,IF(J43=Dienste!$A$10,Dienste!$C$10,IF(J43=Dienste!$A$11,Dienste!$C$11,IF(J43=Dienste!$A$12,Dienste!$C$12,IF(J43=Dienste!$A$13,Dienste!$C$13,IF(J43=Dienste!$A$14,Dienste!$C$14,IF(J43=Dienste!$A$15,Dienste!$C$15,IF(J43=Dienste!$A$16,Dienste!$C$16,IF(J43=Dienste!$A$17,Dienste!$C$17,IF(J43=Dienste!$A$18,Dienste!$C$18,IF(J43=Dienste!$A$19,Dienste!$C$19,IF(J43=Dienste!$A$20,Dienste!$C$20,IF(J43=Dienste!$A$21,Dienste!$C$21,IF(J43=Dienste!$A$22,Dienste!$C$22,IF(J43=Dienste!$A$23,Dienste!$C$23,IF(J43=Dienste!$A$24,Dienste!$C$24,IF(J43=Dienste!$A$25,Dienste!$C$25,IF(J43=Dienste!$A$26,Dienste!$C$26,IF(J43=Dienste!$A$27,Dienste!$C$27,IF(J43=Dienste!$A$28,Dienste!$C$28,IF(J43=Dienste!#REF!,Dienste!#REF!,IF(J43=Dienste!#REF!,Dienste!#REF!,IF(J43=Dienste!#REF!,Dienste!#REF!,IF(J43=Dienste!#REF!,Dienste!#REF!,IF(J43=Dienste!$A$33,Dienste!$C$33,IF(J43=Dienste!$A$34,Dienste!$C$34,IF(J43=Dienste!$A$35,Dienste!$C$35,IF(J43=Dienste!$A$36,Dienste!$C$36,)))))))))))))))))))))))))))))))))))</f>
        <v>#REF!</v>
      </c>
      <c r="BE43" s="27" t="e">
        <f>IF(K43=Dienste!$A$2,Dienste!$C$2,IF(K43=Dienste!$A$3,Dienste!$C$3,IF(K43=Dienste!$A$4,Dienste!$C$4,IF(K43=Dienste!$A$5,Dienste!$C$5,IF(K43=Dienste!$A$6,Dienste!$C$6,IF(K43=Dienste!$A$7,Dienste!$C$7,IF(K43=Dienste!$A$8,Dienste!$C$8,IF(K43=Dienste!$A$9,Dienste!$C$9,IF(K43=Dienste!$A$10,Dienste!$C$10,IF(K43=Dienste!$A$11,Dienste!$C$11,IF(K43=Dienste!$A$12,Dienste!$C$12,IF(K43=Dienste!$A$13,Dienste!$C$13,IF(K43=Dienste!$A$14,Dienste!$C$14,IF(K43=Dienste!$A$15,Dienste!$C$15,IF(K43=Dienste!$A$16,Dienste!$C$16,IF(K43=Dienste!$A$17,Dienste!$C$17,IF(K43=Dienste!$A$18,Dienste!$C$18,IF(K43=Dienste!$A$19,Dienste!$C$19,IF(K43=Dienste!$A$20,Dienste!$C$20,IF(K43=Dienste!$A$21,Dienste!$C$21,IF(K43=Dienste!$A$22,Dienste!$C$22,IF(K43=Dienste!$A$23,Dienste!$C$23,IF(K43=Dienste!$A$24,Dienste!$C$24,IF(K43=Dienste!$A$25,Dienste!$C$25,IF(K43=Dienste!$A$26,Dienste!$C$26,IF(K43=Dienste!$A$27,Dienste!$C$27,IF(K43=Dienste!$A$28,Dienste!$C$28,IF(K43=Dienste!#REF!,Dienste!#REF!,IF(K43=Dienste!#REF!,Dienste!#REF!,IF(K43=Dienste!#REF!,Dienste!#REF!,IF(K43=Dienste!#REF!,Dienste!#REF!,IF(K43=Dienste!$A$33,Dienste!$C$33,IF(K43=Dienste!$A$34,Dienste!$C$34,IF(K43=Dienste!$A$35,Dienste!$C$35,IF(K43=Dienste!$A$36,Dienste!$C$36,)))))))))))))))))))))))))))))))))))</f>
        <v>#REF!</v>
      </c>
      <c r="BF43" s="27" t="e">
        <f>IF(L43=Dienste!$A$2,Dienste!$C$2,IF(L43=Dienste!$A$3,Dienste!$C$3,IF(L43=Dienste!$A$4,Dienste!$C$4,IF(L43=Dienste!$A$5,Dienste!$C$5,IF(L43=Dienste!$A$6,Dienste!$C$6,IF(L43=Dienste!$A$7,Dienste!$C$7,IF(L43=Dienste!$A$8,Dienste!$C$8,IF(L43=Dienste!$A$9,Dienste!$C$9,IF(L43=Dienste!$A$10,Dienste!$C$10,IF(L43=Dienste!$A$11,Dienste!$C$11,IF(L43=Dienste!$A$12,Dienste!$C$12,IF(L43=Dienste!$A$13,Dienste!$C$13,IF(L43=Dienste!$A$14,Dienste!$C$14,IF(L43=Dienste!$A$15,Dienste!$C$15,IF(L43=Dienste!$A$16,Dienste!$C$16,IF(L43=Dienste!$A$17,Dienste!$C$17,IF(L43=Dienste!$A$18,Dienste!$C$18,IF(L43=Dienste!$A$19,Dienste!$C$19,IF(L43=Dienste!$A$20,Dienste!$C$20,IF(L43=Dienste!$A$21,Dienste!$C$21,IF(L43=Dienste!$A$22,Dienste!$C$22,IF(L43=Dienste!$A$23,Dienste!$C$23,IF(L43=Dienste!$A$24,Dienste!$C$24,IF(L43=Dienste!$A$25,Dienste!$C$25,IF(L43=Dienste!$A$26,Dienste!$C$26,IF(L43=Dienste!$A$27,Dienste!$C$27,IF(L43=Dienste!$A$28,Dienste!$C$28,IF(L43=Dienste!#REF!,Dienste!#REF!,IF(L43=Dienste!#REF!,Dienste!#REF!,IF(L43=Dienste!#REF!,Dienste!#REF!,IF(L43=Dienste!#REF!,Dienste!#REF!,IF(L43=Dienste!$A$33,Dienste!$C$33,IF(L43=Dienste!$A$34,Dienste!$C$34,IF(L43=Dienste!$A$35,Dienste!$C$35,IF(L43=Dienste!$A$36,Dienste!$C$36,)))))))))))))))))))))))))))))))))))</f>
        <v>#REF!</v>
      </c>
      <c r="BG43" s="27" t="e">
        <f>IF(M43=Dienste!$A$2,Dienste!$C$2,IF(M43=Dienste!$A$3,Dienste!$C$3,IF(M43=Dienste!$A$4,Dienste!$C$4,IF(M43=Dienste!$A$5,Dienste!$C$5,IF(M43=Dienste!$A$6,Dienste!$C$6,IF(M43=Dienste!$A$7,Dienste!$C$7,IF(M43=Dienste!$A$8,Dienste!$C$8,IF(M43=Dienste!$A$9,Dienste!$C$9,IF(M43=Dienste!$A$10,Dienste!$C$10,IF(M43=Dienste!$A$11,Dienste!$C$11,IF(M43=Dienste!$A$12,Dienste!$C$12,IF(M43=Dienste!$A$13,Dienste!$C$13,IF(M43=Dienste!$A$14,Dienste!$C$14,IF(M43=Dienste!$A$15,Dienste!$C$15,IF(M43=Dienste!$A$16,Dienste!$C$16,IF(M43=Dienste!$A$17,Dienste!$C$17,IF(M43=Dienste!$A$18,Dienste!$C$18,IF(M43=Dienste!$A$19,Dienste!$C$19,IF(M43=Dienste!$A$20,Dienste!$C$20,IF(M43=Dienste!$A$21,Dienste!$C$21,IF(M43=Dienste!$A$22,Dienste!$C$22,IF(M43=Dienste!$A$23,Dienste!$C$23,IF(M43=Dienste!$A$24,Dienste!$C$24,IF(M43=Dienste!$A$25,Dienste!$C$25,IF(M43=Dienste!$A$26,Dienste!$C$26,IF(M43=Dienste!$A$27,Dienste!$C$27,IF(M43=Dienste!$A$28,Dienste!$C$28,IF(M43=Dienste!#REF!,Dienste!#REF!,IF(M43=Dienste!#REF!,Dienste!#REF!,IF(M43=Dienste!#REF!,Dienste!#REF!,IF(M43=Dienste!#REF!,Dienste!#REF!,IF(M43=Dienste!$A$33,Dienste!$C$33,IF(M43=Dienste!$A$34,Dienste!$C$34,IF(M43=Dienste!$A$35,Dienste!$C$35,IF(M43=Dienste!$A$36,Dienste!$C$36,)))))))))))))))))))))))))))))))))))</f>
        <v>#REF!</v>
      </c>
      <c r="BH43" s="27" t="e">
        <f>IF(N43=Dienste!$A$2,Dienste!$C$2,IF(N43=Dienste!$A$3,Dienste!$C$3,IF(N43=Dienste!$A$4,Dienste!$C$4,IF(N43=Dienste!$A$5,Dienste!$C$5,IF(N43=Dienste!$A$6,Dienste!$C$6,IF(N43=Dienste!$A$7,Dienste!$C$7,IF(N43=Dienste!$A$8,Dienste!$C$8,IF(N43=Dienste!$A$9,Dienste!$C$9,IF(N43=Dienste!$A$10,Dienste!$C$10,IF(N43=Dienste!$A$11,Dienste!$C$11,IF(N43=Dienste!$A$12,Dienste!$C$12,IF(N43=Dienste!$A$13,Dienste!$C$13,IF(N43=Dienste!$A$14,Dienste!$C$14,IF(N43=Dienste!$A$15,Dienste!$C$15,IF(N43=Dienste!$A$16,Dienste!$C$16,IF(N43=Dienste!$A$17,Dienste!$C$17,IF(N43=Dienste!$A$18,Dienste!$C$18,IF(N43=Dienste!$A$19,Dienste!$C$19,IF(N43=Dienste!$A$20,Dienste!$C$20,IF(N43=Dienste!$A$21,Dienste!$C$21,IF(N43=Dienste!$A$22,Dienste!$C$22,IF(N43=Dienste!$A$23,Dienste!$C$23,IF(N43=Dienste!$A$24,Dienste!$C$24,IF(N43=Dienste!$A$25,Dienste!$C$25,IF(N43=Dienste!$A$26,Dienste!$C$26,IF(N43=Dienste!$A$27,Dienste!$C$27,IF(N43=Dienste!$A$28,Dienste!$C$28,IF(N43=Dienste!#REF!,Dienste!#REF!,IF(N43=Dienste!#REF!,Dienste!#REF!,IF(N43=Dienste!#REF!,Dienste!#REF!,IF(N43=Dienste!#REF!,Dienste!#REF!,IF(N43=Dienste!$A$33,Dienste!$C$33,IF(N43=Dienste!$A$34,Dienste!$C$34,IF(N43=Dienste!$A$35,Dienste!$C$35,IF(N43=Dienste!$A$36,Dienste!$C$36,)))))))))))))))))))))))))))))))))))</f>
        <v>#REF!</v>
      </c>
      <c r="BI43" s="27" t="e">
        <f>IF(O43=Dienste!$A$2,Dienste!$C$2,IF(O43=Dienste!$A$3,Dienste!$C$3,IF(O43=Dienste!$A$4,Dienste!$C$4,IF(O43=Dienste!$A$5,Dienste!$C$5,IF(O43=Dienste!$A$6,Dienste!$C$6,IF(O43=Dienste!$A$7,Dienste!$C$7,IF(O43=Dienste!$A$8,Dienste!$C$8,IF(O43=Dienste!$A$9,Dienste!$C$9,IF(O43=Dienste!$A$10,Dienste!$C$10,IF(O43=Dienste!$A$11,Dienste!$C$11,IF(O43=Dienste!$A$12,Dienste!$C$12,IF(O43=Dienste!$A$13,Dienste!$C$13,IF(O43=Dienste!$A$14,Dienste!$C$14,IF(O43=Dienste!$A$15,Dienste!$C$15,IF(O43=Dienste!$A$16,Dienste!$C$16,IF(O43=Dienste!$A$17,Dienste!$C$17,IF(O43=Dienste!$A$18,Dienste!$C$18,IF(O43=Dienste!$A$19,Dienste!$C$19,IF(O43=Dienste!$A$20,Dienste!$C$20,IF(O43=Dienste!$A$21,Dienste!$C$21,IF(O43=Dienste!$A$22,Dienste!$C$22,IF(O43=Dienste!$A$23,Dienste!$C$23,IF(O43=Dienste!$A$24,Dienste!$C$24,IF(O43=Dienste!$A$25,Dienste!$C$25,IF(O43=Dienste!$A$26,Dienste!$C$26,IF(O43=Dienste!$A$27,Dienste!$C$27,IF(O43=Dienste!$A$28,Dienste!$C$28,IF(O43=Dienste!#REF!,Dienste!#REF!,IF(O43=Dienste!#REF!,Dienste!#REF!,IF(O43=Dienste!#REF!,Dienste!#REF!,IF(O43=Dienste!#REF!,Dienste!#REF!,IF(O43=Dienste!$A$33,Dienste!$C$33,IF(O43=Dienste!$A$34,Dienste!$C$34,IF(O43=Dienste!$A$35,Dienste!$C$35,IF(O43=Dienste!$A$36,Dienste!$C$36,)))))))))))))))))))))))))))))))))))</f>
        <v>#REF!</v>
      </c>
      <c r="BJ43" s="27" t="e">
        <f>IF(P43=Dienste!$A$2,Dienste!$C$2,IF(P43=Dienste!$A$3,Dienste!$C$3,IF(P43=Dienste!$A$4,Dienste!$C$4,IF(P43=Dienste!$A$5,Dienste!$C$5,IF(P43=Dienste!$A$6,Dienste!$C$6,IF(P43=Dienste!$A$7,Dienste!$C$7,IF(P43=Dienste!$A$8,Dienste!$C$8,IF(P43=Dienste!$A$9,Dienste!$C$9,IF(P43=Dienste!$A$10,Dienste!$C$10,IF(P43=Dienste!$A$11,Dienste!$C$11,IF(P43=Dienste!$A$12,Dienste!$C$12,IF(P43=Dienste!$A$13,Dienste!$C$13,IF(P43=Dienste!$A$14,Dienste!$C$14,IF(P43=Dienste!$A$15,Dienste!$C$15,IF(P43=Dienste!$A$16,Dienste!$C$16,IF(P43=Dienste!$A$17,Dienste!$C$17,IF(P43=Dienste!$A$18,Dienste!$C$18,IF(P43=Dienste!$A$19,Dienste!$C$19,IF(P43=Dienste!$A$20,Dienste!$C$20,IF(P43=Dienste!$A$21,Dienste!$C$21,IF(P43=Dienste!$A$22,Dienste!$C$22,IF(P43=Dienste!$A$23,Dienste!$C$23,IF(P43=Dienste!$A$24,Dienste!$C$24,IF(P43=Dienste!$A$25,Dienste!$C$25,IF(P43=Dienste!$A$26,Dienste!$C$26,IF(P43=Dienste!$A$27,Dienste!$C$27,IF(P43=Dienste!$A$28,Dienste!$C$28,IF(P43=Dienste!#REF!,Dienste!#REF!,IF(P43=Dienste!#REF!,Dienste!#REF!,IF(P43=Dienste!#REF!,Dienste!#REF!,IF(P43=Dienste!#REF!,Dienste!#REF!,IF(P43=Dienste!$A$33,Dienste!$C$33,IF(P43=Dienste!$A$34,Dienste!$C$34,IF(P43=Dienste!$A$35,Dienste!$C$35,IF(P43=Dienste!$A$36,Dienste!$C$36,)))))))))))))))))))))))))))))))))))</f>
        <v>#REF!</v>
      </c>
      <c r="BK43" s="27" t="e">
        <f>IF(Q43=Dienste!$A$2,Dienste!$C$2,IF(Q43=Dienste!$A$3,Dienste!$C$3,IF(Q43=Dienste!$A$4,Dienste!$C$4,IF(Q43=Dienste!$A$5,Dienste!$C$5,IF(Q43=Dienste!$A$6,Dienste!$C$6,IF(Q43=Dienste!$A$7,Dienste!$C$7,IF(Q43=Dienste!$A$8,Dienste!$C$8,IF(Q43=Dienste!$A$9,Dienste!$C$9,IF(Q43=Dienste!$A$10,Dienste!$C$10,IF(Q43=Dienste!$A$11,Dienste!$C$11,IF(Q43=Dienste!$A$12,Dienste!$C$12,IF(Q43=Dienste!$A$13,Dienste!$C$13,IF(Q43=Dienste!$A$14,Dienste!$C$14,IF(Q43=Dienste!$A$15,Dienste!$C$15,IF(Q43=Dienste!$A$16,Dienste!$C$16,IF(Q43=Dienste!$A$17,Dienste!$C$17,IF(Q43=Dienste!$A$18,Dienste!$C$18,IF(Q43=Dienste!$A$19,Dienste!$C$19,IF(Q43=Dienste!$A$20,Dienste!$C$20,IF(Q43=Dienste!$A$21,Dienste!$C$21,IF(Q43=Dienste!$A$22,Dienste!$C$22,IF(Q43=Dienste!$A$23,Dienste!$C$23,IF(Q43=Dienste!$A$24,Dienste!$C$24,IF(Q43=Dienste!$A$25,Dienste!$C$25,IF(Q43=Dienste!$A$26,Dienste!$C$26,IF(Q43=Dienste!$A$27,Dienste!$C$27,IF(Q43=Dienste!$A$28,Dienste!$C$28,IF(Q43=Dienste!#REF!,Dienste!#REF!,IF(Q43=Dienste!#REF!,Dienste!#REF!,IF(Q43=Dienste!#REF!,Dienste!#REF!,IF(Q43=Dienste!#REF!,Dienste!#REF!,IF(Q43=Dienste!$A$33,Dienste!$C$33,IF(Q43=Dienste!$A$34,Dienste!$C$34,IF(Q43=Dienste!$A$35,Dienste!$C$35,IF(Q43=Dienste!$A$36,Dienste!$C$36,)))))))))))))))))))))))))))))))))))</f>
        <v>#REF!</v>
      </c>
      <c r="BL43" s="27" t="e">
        <f>IF(R43=Dienste!$A$2,Dienste!$C$2,IF(R43=Dienste!$A$3,Dienste!$C$3,IF(R43=Dienste!$A$4,Dienste!$C$4,IF(R43=Dienste!$A$5,Dienste!$C$5,IF(R43=Dienste!$A$6,Dienste!$C$6,IF(R43=Dienste!$A$7,Dienste!$C$7,IF(R43=Dienste!$A$8,Dienste!$C$8,IF(R43=Dienste!$A$9,Dienste!$C$9,IF(R43=Dienste!$A$10,Dienste!$C$10,IF(R43=Dienste!$A$11,Dienste!$C$11,IF(R43=Dienste!$A$12,Dienste!$C$12,IF(R43=Dienste!$A$13,Dienste!$C$13,IF(R43=Dienste!$A$14,Dienste!$C$14,IF(R43=Dienste!$A$15,Dienste!$C$15,IF(R43=Dienste!$A$16,Dienste!$C$16,IF(R43=Dienste!$A$17,Dienste!$C$17,IF(R43=Dienste!$A$18,Dienste!$C$18,IF(R43=Dienste!$A$19,Dienste!$C$19,IF(R43=Dienste!$A$20,Dienste!$C$20,IF(R43=Dienste!$A$21,Dienste!$C$21,IF(R43=Dienste!$A$22,Dienste!$C$22,IF(R43=Dienste!$A$23,Dienste!$C$23,IF(R43=Dienste!$A$24,Dienste!$C$24,IF(R43=Dienste!$A$25,Dienste!$C$25,IF(R43=Dienste!$A$26,Dienste!$C$26,IF(R43=Dienste!$A$27,Dienste!$C$27,IF(R43=Dienste!$A$28,Dienste!$C$28,IF(R43=Dienste!#REF!,Dienste!#REF!,IF(R43=Dienste!#REF!,Dienste!#REF!,IF(R43=Dienste!#REF!,Dienste!#REF!,IF(R43=Dienste!#REF!,Dienste!#REF!,IF(R43=Dienste!$A$33,Dienste!$C$33,IF(R43=Dienste!$A$34,Dienste!$C$34,IF(R43=Dienste!$A$35,Dienste!$C$35,IF(R43=Dienste!$A$36,Dienste!$C$36,)))))))))))))))))))))))))))))))))))</f>
        <v>#REF!</v>
      </c>
      <c r="BM43" s="27" t="e">
        <f>IF(S43=Dienste!$A$2,Dienste!$C$2,IF(S43=Dienste!$A$3,Dienste!$C$3,IF(S43=Dienste!$A$4,Dienste!$C$4,IF(S43=Dienste!$A$5,Dienste!$C$5,IF(S43=Dienste!$A$6,Dienste!$C$6,IF(S43=Dienste!$A$7,Dienste!$C$7,IF(S43=Dienste!$A$8,Dienste!$C$8,IF(S43=Dienste!$A$9,Dienste!$C$9,IF(S43=Dienste!$A$10,Dienste!$C$10,IF(S43=Dienste!$A$11,Dienste!$C$11,IF(S43=Dienste!$A$12,Dienste!$C$12,IF(S43=Dienste!$A$13,Dienste!$C$13,IF(S43=Dienste!$A$14,Dienste!$C$14,IF(S43=Dienste!$A$15,Dienste!$C$15,IF(S43=Dienste!$A$16,Dienste!$C$16,IF(S43=Dienste!$A$17,Dienste!$C$17,IF(S43=Dienste!$A$18,Dienste!$C$18,IF(S43=Dienste!$A$19,Dienste!$C$19,IF(S43=Dienste!$A$20,Dienste!$C$20,IF(S43=Dienste!$A$21,Dienste!$C$21,IF(S43=Dienste!$A$22,Dienste!$C$22,IF(S43=Dienste!$A$23,Dienste!$C$23,IF(S43=Dienste!$A$24,Dienste!$C$24,IF(S43=Dienste!$A$25,Dienste!$C$25,IF(S43=Dienste!$A$26,Dienste!$C$26,IF(S43=Dienste!$A$27,Dienste!$C$27,IF(S43=Dienste!$A$28,Dienste!$C$28,IF(S43=Dienste!#REF!,Dienste!#REF!,IF(S43=Dienste!#REF!,Dienste!#REF!,IF(S43=Dienste!#REF!,Dienste!#REF!,IF(S43=Dienste!#REF!,Dienste!#REF!,IF(S43=Dienste!$A$33,Dienste!$C$33,IF(S43=Dienste!$A$34,Dienste!$C$34,IF(S43=Dienste!$A$35,Dienste!$C$35,IF(S43=Dienste!$A$36,Dienste!$C$36,)))))))))))))))))))))))))))))))))))</f>
        <v>#REF!</v>
      </c>
      <c r="BN43" s="27" t="e">
        <f>IF(T43=Dienste!$A$2,Dienste!$C$2,IF(T43=Dienste!$A$3,Dienste!$C$3,IF(T43=Dienste!$A$4,Dienste!$C$4,IF(T43=Dienste!$A$5,Dienste!$C$5,IF(T43=Dienste!$A$6,Dienste!$C$6,IF(T43=Dienste!$A$7,Dienste!$C$7,IF(T43=Dienste!$A$8,Dienste!$C$8,IF(T43=Dienste!$A$9,Dienste!$C$9,IF(T43=Dienste!$A$10,Dienste!$C$10,IF(T43=Dienste!$A$11,Dienste!$C$11,IF(T43=Dienste!$A$12,Dienste!$C$12,IF(T43=Dienste!$A$13,Dienste!$C$13,IF(T43=Dienste!$A$14,Dienste!$C$14,IF(T43=Dienste!$A$15,Dienste!$C$15,IF(T43=Dienste!$A$16,Dienste!$C$16,IF(T43=Dienste!$A$17,Dienste!$C$17,IF(T43=Dienste!$A$18,Dienste!$C$18,IF(T43=Dienste!$A$19,Dienste!$C$19,IF(T43=Dienste!$A$20,Dienste!$C$20,IF(T43=Dienste!$A$21,Dienste!$C$21,IF(T43=Dienste!$A$22,Dienste!$C$22,IF(T43=Dienste!$A$23,Dienste!$C$23,IF(T43=Dienste!$A$24,Dienste!$C$24,IF(T43=Dienste!$A$25,Dienste!$C$25,IF(T43=Dienste!$A$26,Dienste!$C$26,IF(T43=Dienste!$A$27,Dienste!$C$27,IF(T43=Dienste!$A$28,Dienste!$C$28,IF(T43=Dienste!#REF!,Dienste!#REF!,IF(T43=Dienste!#REF!,Dienste!#REF!,IF(T43=Dienste!#REF!,Dienste!#REF!,IF(T43=Dienste!#REF!,Dienste!#REF!,IF(T43=Dienste!$A$33,Dienste!$C$33,IF(T43=Dienste!$A$34,Dienste!$C$34,IF(T43=Dienste!$A$35,Dienste!$C$35,IF(T43=Dienste!$A$36,Dienste!$C$36,)))))))))))))))))))))))))))))))))))</f>
        <v>#REF!</v>
      </c>
      <c r="BO43" s="27" t="e">
        <f>IF(U43=Dienste!$A$2,Dienste!$C$2,IF(U43=Dienste!$A$3,Dienste!$C$3,IF(U43=Dienste!$A$4,Dienste!$C$4,IF(U43=Dienste!$A$5,Dienste!$C$5,IF(U43=Dienste!$A$6,Dienste!$C$6,IF(U43=Dienste!$A$7,Dienste!$C$7,IF(U43=Dienste!$A$8,Dienste!$C$8,IF(U43=Dienste!$A$9,Dienste!$C$9,IF(U43=Dienste!$A$10,Dienste!$C$10,IF(U43=Dienste!$A$11,Dienste!$C$11,IF(U43=Dienste!$A$12,Dienste!$C$12,IF(U43=Dienste!$A$13,Dienste!$C$13,IF(U43=Dienste!$A$14,Dienste!$C$14,IF(U43=Dienste!$A$15,Dienste!$C$15,IF(U43=Dienste!$A$16,Dienste!$C$16,IF(U43=Dienste!$A$17,Dienste!$C$17,IF(U43=Dienste!$A$18,Dienste!$C$18,IF(U43=Dienste!$A$19,Dienste!$C$19,IF(U43=Dienste!$A$20,Dienste!$C$20,IF(U43=Dienste!$A$21,Dienste!$C$21,IF(U43=Dienste!$A$22,Dienste!$C$22,IF(U43=Dienste!$A$23,Dienste!$C$23,IF(U43=Dienste!$A$24,Dienste!$C$24,IF(U43=Dienste!$A$25,Dienste!$C$25,IF(U43=Dienste!$A$26,Dienste!$C$26,IF(U43=Dienste!$A$27,Dienste!$C$27,IF(U43=Dienste!$A$28,Dienste!$C$28,IF(U43=Dienste!#REF!,Dienste!#REF!,IF(U43=Dienste!#REF!,Dienste!#REF!,IF(U43=Dienste!#REF!,Dienste!#REF!,IF(U43=Dienste!#REF!,Dienste!#REF!,IF(U43=Dienste!$A$33,Dienste!$C$33,IF(U43=Dienste!$A$34,Dienste!$C$34,IF(U43=Dienste!$A$35,Dienste!$C$35,IF(U43=Dienste!$A$36,Dienste!$C$36,)))))))))))))))))))))))))))))))))))</f>
        <v>#REF!</v>
      </c>
      <c r="BP43" s="27" t="e">
        <f>IF(V43=Dienste!$A$2,Dienste!$C$2,IF(V43=Dienste!$A$3,Dienste!$C$3,IF(V43=Dienste!$A$4,Dienste!$C$4,IF(V43=Dienste!$A$5,Dienste!$C$5,IF(V43=Dienste!$A$6,Dienste!$C$6,IF(V43=Dienste!$A$7,Dienste!$C$7,IF(V43=Dienste!$A$8,Dienste!$C$8,IF(V43=Dienste!$A$9,Dienste!$C$9,IF(V43=Dienste!$A$10,Dienste!$C$10,IF(V43=Dienste!$A$11,Dienste!$C$11,IF(V43=Dienste!$A$12,Dienste!$C$12,IF(V43=Dienste!$A$13,Dienste!$C$13,IF(V43=Dienste!$A$14,Dienste!$C$14,IF(V43=Dienste!$A$15,Dienste!$C$15,IF(V43=Dienste!$A$16,Dienste!$C$16,IF(V43=Dienste!$A$17,Dienste!$C$17,IF(V43=Dienste!$A$18,Dienste!$C$18,IF(V43=Dienste!$A$19,Dienste!$C$19,IF(V43=Dienste!$A$20,Dienste!$C$20,IF(V43=Dienste!$A$21,Dienste!$C$21,IF(V43=Dienste!$A$22,Dienste!$C$22,IF(V43=Dienste!$A$23,Dienste!$C$23,IF(V43=Dienste!$A$24,Dienste!$C$24,IF(V43=Dienste!$A$25,Dienste!$C$25,IF(V43=Dienste!$A$26,Dienste!$C$26,IF(V43=Dienste!$A$27,Dienste!$C$27,IF(V43=Dienste!$A$28,Dienste!$C$28,IF(V43=Dienste!#REF!,Dienste!#REF!,IF(V43=Dienste!#REF!,Dienste!#REF!,IF(V43=Dienste!#REF!,Dienste!#REF!,IF(V43=Dienste!#REF!,Dienste!#REF!,IF(V43=Dienste!$A$33,Dienste!$C$33,IF(V43=Dienste!$A$34,Dienste!$C$34,IF(V43=Dienste!$A$35,Dienste!$C$35,IF(V43=Dienste!$A$36,Dienste!$C$36,)))))))))))))))))))))))))))))))))))</f>
        <v>#REF!</v>
      </c>
      <c r="BQ43" s="27" t="e">
        <f>IF(W43=Dienste!$A$2,Dienste!$C$2,IF(W43=Dienste!$A$3,Dienste!$C$3,IF(W43=Dienste!$A$4,Dienste!$C$4,IF(W43=Dienste!$A$5,Dienste!$C$5,IF(W43=Dienste!$A$6,Dienste!$C$6,IF(W43=Dienste!$A$7,Dienste!$C$7,IF(W43=Dienste!$A$8,Dienste!$C$8,IF(W43=Dienste!$A$9,Dienste!$C$9,IF(W43=Dienste!$A$10,Dienste!$C$10,IF(W43=Dienste!$A$11,Dienste!$C$11,IF(W43=Dienste!$A$12,Dienste!$C$12,IF(W43=Dienste!$A$13,Dienste!$C$13,IF(W43=Dienste!$A$14,Dienste!$C$14,IF(W43=Dienste!$A$15,Dienste!$C$15,IF(W43=Dienste!$A$16,Dienste!$C$16,IF(W43=Dienste!$A$17,Dienste!$C$17,IF(W43=Dienste!$A$18,Dienste!$C$18,IF(W43=Dienste!$A$19,Dienste!$C$19,IF(W43=Dienste!$A$20,Dienste!$C$20,IF(W43=Dienste!$A$21,Dienste!$C$21,IF(W43=Dienste!$A$22,Dienste!$C$22,IF(W43=Dienste!$A$23,Dienste!$C$23,IF(W43=Dienste!$A$24,Dienste!$C$24,IF(W43=Dienste!$A$25,Dienste!$C$25,IF(W43=Dienste!$A$26,Dienste!$C$26,IF(W43=Dienste!$A$27,Dienste!$C$27,IF(W43=Dienste!$A$28,Dienste!$C$28,IF(W43=Dienste!#REF!,Dienste!#REF!,IF(W43=Dienste!#REF!,Dienste!#REF!,IF(W43=Dienste!#REF!,Dienste!#REF!,IF(W43=Dienste!#REF!,Dienste!#REF!,IF(W43=Dienste!$A$33,Dienste!$C$33,IF(W43=Dienste!$A$34,Dienste!$C$34,IF(W43=Dienste!$A$35,Dienste!$C$35,IF(W43=Dienste!$A$36,Dienste!$C$36,)))))))))))))))))))))))))))))))))))</f>
        <v>#REF!</v>
      </c>
      <c r="BR43" s="27" t="e">
        <f>IF(X43=Dienste!$A$2,Dienste!$C$2,IF(X43=Dienste!$A$3,Dienste!$C$3,IF(X43=Dienste!$A$4,Dienste!$C$4,IF(X43=Dienste!$A$5,Dienste!$C$5,IF(X43=Dienste!$A$6,Dienste!$C$6,IF(X43=Dienste!$A$7,Dienste!$C$7,IF(X43=Dienste!$A$8,Dienste!$C$8,IF(X43=Dienste!$A$9,Dienste!$C$9,IF(X43=Dienste!$A$10,Dienste!$C$10,IF(X43=Dienste!$A$11,Dienste!$C$11,IF(X43=Dienste!$A$12,Dienste!$C$12,IF(X43=Dienste!$A$13,Dienste!$C$13,IF(X43=Dienste!$A$14,Dienste!$C$14,IF(X43=Dienste!$A$15,Dienste!$C$15,IF(X43=Dienste!$A$16,Dienste!$C$16,IF(X43=Dienste!$A$17,Dienste!$C$17,IF(X43=Dienste!$A$18,Dienste!$C$18,IF(X43=Dienste!$A$19,Dienste!$C$19,IF(X43=Dienste!$A$20,Dienste!$C$20,IF(X43=Dienste!$A$21,Dienste!$C$21,IF(X43=Dienste!$A$22,Dienste!$C$22,IF(X43=Dienste!$A$23,Dienste!$C$23,IF(X43=Dienste!$A$24,Dienste!$C$24,IF(X43=Dienste!$A$25,Dienste!$C$25,IF(X43=Dienste!$A$26,Dienste!$C$26,IF(X43=Dienste!$A$27,Dienste!$C$27,IF(X43=Dienste!$A$28,Dienste!$C$28,IF(X43=Dienste!#REF!,Dienste!#REF!,IF(X43=Dienste!#REF!,Dienste!#REF!,IF(X43=Dienste!#REF!,Dienste!#REF!,IF(X43=Dienste!#REF!,Dienste!#REF!,IF(X43=Dienste!$A$33,Dienste!$C$33,IF(X43=Dienste!$A$34,Dienste!$C$34,IF(X43=Dienste!$A$35,Dienste!$C$35,IF(X43=Dienste!$A$36,Dienste!$C$36,)))))))))))))))))))))))))))))))))))</f>
        <v>#REF!</v>
      </c>
      <c r="BS43" s="27" t="e">
        <f>IF(Y43=Dienste!$A$2,Dienste!$C$2,IF(Y43=Dienste!$A$3,Dienste!$C$3,IF(Y43=Dienste!$A$4,Dienste!$C$4,IF(Y43=Dienste!$A$5,Dienste!$C$5,IF(Y43=Dienste!$A$6,Dienste!$C$6,IF(Y43=Dienste!$A$7,Dienste!$C$7,IF(Y43=Dienste!$A$8,Dienste!$C$8,IF(Y43=Dienste!$A$9,Dienste!$C$9,IF(Y43=Dienste!$A$10,Dienste!$C$10,IF(Y43=Dienste!$A$11,Dienste!$C$11,IF(Y43=Dienste!$A$12,Dienste!$C$12,IF(Y43=Dienste!$A$13,Dienste!$C$13,IF(Y43=Dienste!$A$14,Dienste!$C$14,IF(Y43=Dienste!$A$15,Dienste!$C$15,IF(Y43=Dienste!$A$16,Dienste!$C$16,IF(Y43=Dienste!$A$17,Dienste!$C$17,IF(Y43=Dienste!$A$18,Dienste!$C$18,IF(Y43=Dienste!$A$19,Dienste!$C$19,IF(Y43=Dienste!$A$20,Dienste!$C$20,IF(Y43=Dienste!$A$21,Dienste!$C$21,IF(Y43=Dienste!$A$22,Dienste!$C$22,IF(Y43=Dienste!$A$23,Dienste!$C$23,IF(Y43=Dienste!$A$24,Dienste!$C$24,IF(Y43=Dienste!$A$25,Dienste!$C$25,IF(Y43=Dienste!$A$26,Dienste!$C$26,IF(Y43=Dienste!$A$27,Dienste!$C$27,IF(Y43=Dienste!$A$28,Dienste!$C$28,IF(Y43=Dienste!#REF!,Dienste!#REF!,IF(Y43=Dienste!#REF!,Dienste!#REF!,IF(Y43=Dienste!#REF!,Dienste!#REF!,IF(Y43=Dienste!#REF!,Dienste!#REF!,IF(Y43=Dienste!$A$33,Dienste!$C$33,IF(Y43=Dienste!$A$34,Dienste!$C$34,IF(Y43=Dienste!$A$35,Dienste!$C$35,IF(Y43=Dienste!$A$36,Dienste!$C$36,)))))))))))))))))))))))))))))))))))</f>
        <v>#REF!</v>
      </c>
      <c r="BT43" s="27" t="e">
        <f>IF(Z43=Dienste!$A$2,Dienste!$C$2,IF(Z43=Dienste!$A$3,Dienste!$C$3,IF(Z43=Dienste!$A$4,Dienste!$C$4,IF(Z43=Dienste!$A$5,Dienste!$C$5,IF(Z43=Dienste!$A$6,Dienste!$C$6,IF(Z43=Dienste!$A$7,Dienste!$C$7,IF(Z43=Dienste!$A$8,Dienste!$C$8,IF(Z43=Dienste!$A$9,Dienste!$C$9,IF(Z43=Dienste!$A$10,Dienste!$C$10,IF(Z43=Dienste!$A$11,Dienste!$C$11,IF(Z43=Dienste!$A$12,Dienste!$C$12,IF(Z43=Dienste!$A$13,Dienste!$C$13,IF(Z43=Dienste!$A$14,Dienste!$C$14,IF(Z43=Dienste!$A$15,Dienste!$C$15,IF(Z43=Dienste!$A$16,Dienste!$C$16,IF(Z43=Dienste!$A$17,Dienste!$C$17,IF(Z43=Dienste!$A$18,Dienste!$C$18,IF(Z43=Dienste!$A$19,Dienste!$C$19,IF(Z43=Dienste!$A$20,Dienste!$C$20,IF(Z43=Dienste!$A$21,Dienste!$C$21,IF(Z43=Dienste!$A$22,Dienste!$C$22,IF(Z43=Dienste!$A$23,Dienste!$C$23,IF(Z43=Dienste!$A$24,Dienste!$C$24,IF(Z43=Dienste!$A$25,Dienste!$C$25,IF(Z43=Dienste!$A$26,Dienste!$C$26,IF(Z43=Dienste!$A$27,Dienste!$C$27,IF(Z43=Dienste!$A$28,Dienste!$C$28,IF(Z43=Dienste!#REF!,Dienste!#REF!,IF(Z43=Dienste!#REF!,Dienste!#REF!,IF(Z43=Dienste!#REF!,Dienste!#REF!,IF(Z43=Dienste!#REF!,Dienste!#REF!,IF(Z43=Dienste!$A$33,Dienste!$C$33,IF(Z43=Dienste!$A$34,Dienste!$C$34,IF(Z43=Dienste!$A$35,Dienste!$C$35,IF(Z43=Dienste!$A$36,Dienste!$C$36,)))))))))))))))))))))))))))))))))))</f>
        <v>#REF!</v>
      </c>
      <c r="BU43" s="27" t="e">
        <f>IF(AA43=Dienste!$A$2,Dienste!$C$2,IF(AA43=Dienste!$A$3,Dienste!$C$3,IF(AA43=Dienste!$A$4,Dienste!$C$4,IF(AA43=Dienste!$A$5,Dienste!$C$5,IF(AA43=Dienste!$A$6,Dienste!$C$6,IF(AA43=Dienste!$A$7,Dienste!$C$7,IF(AA43=Dienste!$A$8,Dienste!$C$8,IF(AA43=Dienste!$A$9,Dienste!$C$9,IF(AA43=Dienste!$A$10,Dienste!$C$10,IF(AA43=Dienste!$A$11,Dienste!$C$11,IF(AA43=Dienste!$A$12,Dienste!$C$12,IF(AA43=Dienste!$A$13,Dienste!$C$13,IF(AA43=Dienste!$A$14,Dienste!$C$14,IF(AA43=Dienste!$A$15,Dienste!$C$15,IF(AA43=Dienste!$A$16,Dienste!$C$16,IF(AA43=Dienste!$A$17,Dienste!$C$17,IF(AA43=Dienste!$A$18,Dienste!$C$18,IF(AA43=Dienste!$A$19,Dienste!$C$19,IF(AA43=Dienste!$A$20,Dienste!$C$20,IF(AA43=Dienste!$A$21,Dienste!$C$21,IF(AA43=Dienste!$A$22,Dienste!$C$22,IF(AA43=Dienste!$A$23,Dienste!$C$23,IF(AA43=Dienste!$A$24,Dienste!$C$24,IF(AA43=Dienste!$A$25,Dienste!$C$25,IF(AA43=Dienste!$A$26,Dienste!$C$26,IF(AA43=Dienste!$A$27,Dienste!$C$27,IF(AA43=Dienste!$A$28,Dienste!$C$28,IF(AA43=Dienste!#REF!,Dienste!#REF!,IF(AA43=Dienste!#REF!,Dienste!#REF!,IF(AA43=Dienste!#REF!,Dienste!#REF!,IF(AA43=Dienste!#REF!,Dienste!#REF!,IF(AA43=Dienste!$A$33,Dienste!$C$33,IF(AA43=Dienste!$A$34,Dienste!$C$34,IF(AA43=Dienste!$A$35,Dienste!$C$35,IF(AA43=Dienste!$A$36,Dienste!$C$36,)))))))))))))))))))))))))))))))))))</f>
        <v>#REF!</v>
      </c>
      <c r="BV43" s="27" t="e">
        <f>IF(AB43=Dienste!$A$2,Dienste!$C$2,IF(AB43=Dienste!$A$3,Dienste!$C$3,IF(AB43=Dienste!$A$4,Dienste!$C$4,IF(AB43=Dienste!$A$5,Dienste!$C$5,IF(AB43=Dienste!$A$6,Dienste!$C$6,IF(AB43=Dienste!$A$7,Dienste!$C$7,IF(AB43=Dienste!$A$8,Dienste!$C$8,IF(AB43=Dienste!$A$9,Dienste!$C$9,IF(AB43=Dienste!$A$10,Dienste!$C$10,IF(AB43=Dienste!$A$11,Dienste!$C$11,IF(AB43=Dienste!$A$12,Dienste!$C$12,IF(AB43=Dienste!$A$13,Dienste!$C$13,IF(AB43=Dienste!$A$14,Dienste!$C$14,IF(AB43=Dienste!$A$15,Dienste!$C$15,IF(AB43=Dienste!$A$16,Dienste!$C$16,IF(AB43=Dienste!$A$17,Dienste!$C$17,IF(AB43=Dienste!$A$18,Dienste!$C$18,IF(AB43=Dienste!$A$19,Dienste!$C$19,IF(AB43=Dienste!$A$20,Dienste!$C$20,IF(AB43=Dienste!$A$21,Dienste!$C$21,IF(AB43=Dienste!$A$22,Dienste!$C$22,IF(AB43=Dienste!$A$23,Dienste!$C$23,IF(AB43=Dienste!$A$24,Dienste!$C$24,IF(AB43=Dienste!$A$25,Dienste!$C$25,IF(AB43=Dienste!$A$26,Dienste!$C$26,IF(AB43=Dienste!$A$27,Dienste!$C$27,IF(AB43=Dienste!$A$28,Dienste!$C$28,IF(AB43=Dienste!#REF!,Dienste!#REF!,IF(AB43=Dienste!#REF!,Dienste!#REF!,IF(AB43=Dienste!#REF!,Dienste!#REF!,IF(AB43=Dienste!#REF!,Dienste!#REF!,IF(AB43=Dienste!$A$33,Dienste!$C$33,IF(AB43=Dienste!$A$34,Dienste!$C$34,IF(AB43=Dienste!$A$35,Dienste!$C$35,IF(AB43=Dienste!$A$36,Dienste!$C$36,)))))))))))))))))))))))))))))))))))</f>
        <v>#REF!</v>
      </c>
      <c r="BW43" s="27" t="e">
        <f>IF(AC43=Dienste!$A$2,Dienste!$C$2,IF(AC43=Dienste!$A$3,Dienste!$C$3,IF(AC43=Dienste!$A$4,Dienste!$C$4,IF(AC43=Dienste!$A$5,Dienste!$C$5,IF(AC43=Dienste!$A$6,Dienste!$C$6,IF(AC43=Dienste!$A$7,Dienste!$C$7,IF(AC43=Dienste!$A$8,Dienste!$C$8,IF(AC43=Dienste!$A$9,Dienste!$C$9,IF(AC43=Dienste!$A$10,Dienste!$C$10,IF(AC43=Dienste!$A$11,Dienste!$C$11,IF(AC43=Dienste!$A$12,Dienste!$C$12,IF(AC43=Dienste!$A$13,Dienste!$C$13,IF(AC43=Dienste!$A$14,Dienste!$C$14,IF(AC43=Dienste!$A$15,Dienste!$C$15,IF(AC43=Dienste!$A$16,Dienste!$C$16,IF(AC43=Dienste!$A$17,Dienste!$C$17,IF(AC43=Dienste!$A$18,Dienste!$C$18,IF(AC43=Dienste!$A$19,Dienste!$C$19,IF(AC43=Dienste!$A$20,Dienste!$C$20,IF(AC43=Dienste!$A$21,Dienste!$C$21,IF(AC43=Dienste!$A$22,Dienste!$C$22,IF(AC43=Dienste!$A$23,Dienste!$C$23,IF(AC43=Dienste!$A$24,Dienste!$C$24,IF(AC43=Dienste!$A$25,Dienste!$C$25,IF(AC43=Dienste!$A$26,Dienste!$C$26,IF(AC43=Dienste!$A$27,Dienste!$C$27,IF(AC43=Dienste!$A$28,Dienste!$C$28,IF(AC43=Dienste!#REF!,Dienste!#REF!,IF(AC43=Dienste!#REF!,Dienste!#REF!,IF(AC43=Dienste!#REF!,Dienste!#REF!,IF(AC43=Dienste!#REF!,Dienste!#REF!,IF(AC43=Dienste!$A$33,Dienste!$C$33,IF(AC43=Dienste!$A$34,Dienste!$C$34,IF(AC43=Dienste!$A$35,Dienste!$C$35,IF(AC43=Dienste!$A$36,Dienste!$C$36,)))))))))))))))))))))))))))))))))))</f>
        <v>#REF!</v>
      </c>
      <c r="BX43" s="27" t="e">
        <f>IF(AD43=Dienste!$A$2,Dienste!$C$2,IF(AD43=Dienste!$A$3,Dienste!$C$3,IF(AD43=Dienste!$A$4,Dienste!$C$4,IF(AD43=Dienste!$A$5,Dienste!$C$5,IF(AD43=Dienste!$A$6,Dienste!$C$6,IF(AD43=Dienste!$A$7,Dienste!$C$7,IF(AD43=Dienste!$A$8,Dienste!$C$8,IF(AD43=Dienste!$A$9,Dienste!$C$9,IF(AD43=Dienste!$A$10,Dienste!$C$10,IF(AD43=Dienste!$A$11,Dienste!$C$11,IF(AD43=Dienste!$A$12,Dienste!$C$12,IF(AD43=Dienste!$A$13,Dienste!$C$13,IF(AD43=Dienste!$A$14,Dienste!$C$14,IF(AD43=Dienste!$A$15,Dienste!$C$15,IF(AD43=Dienste!$A$16,Dienste!$C$16,IF(AD43=Dienste!$A$17,Dienste!$C$17,IF(AD43=Dienste!$A$18,Dienste!$C$18,IF(AD43=Dienste!$A$19,Dienste!$C$19,IF(AD43=Dienste!$A$20,Dienste!$C$20,IF(AD43=Dienste!$A$21,Dienste!$C$21,IF(AD43=Dienste!$A$22,Dienste!$C$22,IF(AD43=Dienste!$A$23,Dienste!$C$23,IF(AD43=Dienste!$A$24,Dienste!$C$24,IF(AD43=Dienste!$A$25,Dienste!$C$25,IF(AD43=Dienste!$A$26,Dienste!$C$26,IF(AD43=Dienste!$A$27,Dienste!$C$27,IF(AD43=Dienste!$A$28,Dienste!$C$28,IF(AD43=Dienste!#REF!,Dienste!#REF!,IF(AD43=Dienste!#REF!,Dienste!#REF!,IF(AD43=Dienste!#REF!,Dienste!#REF!,IF(AD43=Dienste!#REF!,Dienste!#REF!,IF(AD43=Dienste!$A$33,Dienste!$C$33,IF(AD43=Dienste!$A$34,Dienste!$C$34,IF(AD43=Dienste!$A$35,Dienste!$C$35,IF(AD43=Dienste!$A$36,Dienste!$C$36,)))))))))))))))))))))))))))))))))))</f>
        <v>#REF!</v>
      </c>
      <c r="BY43" s="27" t="e">
        <f>IF(AE43=Dienste!$A$2,Dienste!$C$2,IF(AE43=Dienste!$A$3,Dienste!$C$3,IF(AE43=Dienste!$A$4,Dienste!$C$4,IF(AE43=Dienste!$A$5,Dienste!$C$5,IF(AE43=Dienste!$A$6,Dienste!$C$6,IF(AE43=Dienste!$A$7,Dienste!$C$7,IF(AE43=Dienste!$A$8,Dienste!$C$8,IF(AE43=Dienste!$A$9,Dienste!$C$9,IF(AE43=Dienste!$A$10,Dienste!$C$10,IF(AE43=Dienste!$A$11,Dienste!$C$11,IF(AE43=Dienste!$A$12,Dienste!$C$12,IF(AE43=Dienste!$A$13,Dienste!$C$13,IF(AE43=Dienste!$A$14,Dienste!$C$14,IF(AE43=Dienste!$A$15,Dienste!$C$15,IF(AE43=Dienste!$A$16,Dienste!$C$16,IF(AE43=Dienste!$A$17,Dienste!$C$17,IF(AE43=Dienste!$A$18,Dienste!$C$18,IF(AE43=Dienste!$A$19,Dienste!$C$19,IF(AE43=Dienste!$A$20,Dienste!$C$20,IF(AE43=Dienste!$A$21,Dienste!$C$21,IF(AE43=Dienste!$A$22,Dienste!$C$22,IF(AE43=Dienste!$A$23,Dienste!$C$23,IF(AE43=Dienste!$A$24,Dienste!$C$24,IF(AE43=Dienste!$A$25,Dienste!$C$25,IF(AE43=Dienste!$A$26,Dienste!$C$26,IF(AE43=Dienste!$A$27,Dienste!$C$27,IF(AE43=Dienste!$A$28,Dienste!$C$28,IF(AE43=Dienste!#REF!,Dienste!#REF!,IF(AE43=Dienste!#REF!,Dienste!#REF!,IF(AE43=Dienste!#REF!,Dienste!#REF!,IF(AE43=Dienste!#REF!,Dienste!#REF!,IF(AE43=Dienste!$A$33,Dienste!$C$33,IF(AE43=Dienste!$A$34,Dienste!$C$34,IF(AE43=Dienste!$A$35,Dienste!$C$35,IF(AE43=Dienste!$A$36,Dienste!$C$36,)))))))))))))))))))))))))))))))))))</f>
        <v>#REF!</v>
      </c>
      <c r="BZ43" s="27" t="e">
        <f>IF(AF43=Dienste!$A$2,Dienste!$C$2,IF(AF43=Dienste!$A$3,Dienste!$C$3,IF(AF43=Dienste!$A$4,Dienste!$C$4,IF(AF43=Dienste!$A$5,Dienste!$C$5,IF(AF43=Dienste!$A$6,Dienste!$C$6,IF(AF43=Dienste!$A$7,Dienste!$C$7,IF(AF43=Dienste!$A$8,Dienste!$C$8,IF(AF43=Dienste!$A$9,Dienste!$C$9,IF(AF43=Dienste!$A$10,Dienste!$C$10,IF(AF43=Dienste!$A$11,Dienste!$C$11,IF(AF43=Dienste!$A$12,Dienste!$C$12,IF(AF43=Dienste!$A$13,Dienste!$C$13,IF(AF43=Dienste!$A$14,Dienste!$C$14,IF(AF43=Dienste!$A$15,Dienste!$C$15,IF(AF43=Dienste!$A$16,Dienste!$C$16,IF(AF43=Dienste!$A$17,Dienste!$C$17,IF(AF43=Dienste!$A$18,Dienste!$C$18,IF(AF43=Dienste!$A$19,Dienste!$C$19,IF(AF43=Dienste!$A$20,Dienste!$C$20,IF(AF43=Dienste!$A$21,Dienste!$C$21,IF(AF43=Dienste!$A$22,Dienste!$C$22,IF(AF43=Dienste!$A$23,Dienste!$C$23,IF(AF43=Dienste!$A$24,Dienste!$C$24,IF(AF43=Dienste!$A$25,Dienste!$C$25,IF(AF43=Dienste!$A$26,Dienste!$C$26,IF(AF43=Dienste!$A$27,Dienste!$C$27,IF(AF43=Dienste!$A$28,Dienste!$C$28,IF(AF43=Dienste!#REF!,Dienste!#REF!,IF(AF43=Dienste!#REF!,Dienste!#REF!,IF(AF43=Dienste!#REF!,Dienste!#REF!,IF(AF43=Dienste!#REF!,Dienste!#REF!,IF(AF43=Dienste!$A$33,Dienste!$C$33,IF(AF43=Dienste!$A$34,Dienste!$C$34,IF(AF43=Dienste!$A$35,Dienste!$C$35,IF(AF43=Dienste!$A$36,Dienste!$C$36,)))))))))))))))))))))))))))))))))))</f>
        <v>#REF!</v>
      </c>
      <c r="CA43" s="27" t="e">
        <f>IF(AG43=Dienste!$A$2,Dienste!$C$2,IF(AG43=Dienste!$A$3,Dienste!$C$3,IF(AG43=Dienste!$A$4,Dienste!$C$4,IF(AG43=Dienste!$A$5,Dienste!$C$5,IF(AG43=Dienste!$A$6,Dienste!$C$6,IF(AG43=Dienste!$A$7,Dienste!$C$7,IF(AG43=Dienste!$A$8,Dienste!$C$8,IF(AG43=Dienste!$A$9,Dienste!$C$9,IF(AG43=Dienste!$A$10,Dienste!$C$10,IF(AG43=Dienste!$A$11,Dienste!$C$11,IF(AG43=Dienste!$A$12,Dienste!$C$12,IF(AG43=Dienste!$A$13,Dienste!$C$13,IF(AG43=Dienste!$A$14,Dienste!$C$14,IF(AG43=Dienste!$A$15,Dienste!$C$15,IF(AG43=Dienste!$A$16,Dienste!$C$16,IF(AG43=Dienste!$A$17,Dienste!$C$17,IF(AG43=Dienste!$A$18,Dienste!$C$18,IF(AG43=Dienste!$A$19,Dienste!$C$19,IF(AG43=Dienste!$A$20,Dienste!$C$20,IF(AG43=Dienste!$A$21,Dienste!$C$21,IF(AG43=Dienste!$A$22,Dienste!$C$22,IF(AG43=Dienste!$A$23,Dienste!$C$23,IF(AG43=Dienste!$A$24,Dienste!$C$24,IF(AG43=Dienste!$A$25,Dienste!$C$25,IF(AG43=Dienste!$A$26,Dienste!$C$26,IF(AG43=Dienste!$A$27,Dienste!$C$27,IF(AG43=Dienste!$A$28,Dienste!$C$28,IF(AG43=Dienste!#REF!,Dienste!#REF!,IF(AG43=Dienste!#REF!,Dienste!#REF!,IF(AG43=Dienste!#REF!,Dienste!#REF!,IF(AG43=Dienste!#REF!,Dienste!#REF!,IF(AG43=Dienste!$A$33,Dienste!$C$33,IF(AG43=Dienste!$A$34,Dienste!$C$34,IF(AG43=Dienste!$A$35,Dienste!$C$35,IF(AG43=Dienste!$A$36,Dienste!$C$36,)))))))))))))))))))))))))))))))))))</f>
        <v>#REF!</v>
      </c>
      <c r="CB43" s="27" t="e">
        <f>IF(AH43=Dienste!$A$2,Dienste!$C$2,IF(AH43=Dienste!$A$3,Dienste!$C$3,IF(AH43=Dienste!$A$4,Dienste!$C$4,IF(AH43=Dienste!$A$5,Dienste!$C$5,IF(AH43=Dienste!$A$6,Dienste!$C$6,IF(AH43=Dienste!$A$7,Dienste!$C$7,IF(AH43=Dienste!$A$8,Dienste!$C$8,IF(AH43=Dienste!$A$9,Dienste!$C$9,IF(AH43=Dienste!$A$10,Dienste!$C$10,IF(AH43=Dienste!$A$11,Dienste!$C$11,IF(AH43=Dienste!$A$12,Dienste!$C$12,IF(AH43=Dienste!$A$13,Dienste!$C$13,IF(AH43=Dienste!$A$14,Dienste!$C$14,IF(AH43=Dienste!$A$15,Dienste!$C$15,IF(AH43=Dienste!$A$16,Dienste!$C$16,IF(AH43=Dienste!$A$17,Dienste!$C$17,IF(AH43=Dienste!$A$18,Dienste!$C$18,IF(AH43=Dienste!$A$19,Dienste!$C$19,IF(AH43=Dienste!$A$20,Dienste!$C$20,IF(AH43=Dienste!$A$21,Dienste!$C$21,IF(AH43=Dienste!$A$22,Dienste!$C$22,IF(AH43=Dienste!$A$23,Dienste!$C$23,IF(AH43=Dienste!$A$24,Dienste!$C$24,IF(AH43=Dienste!$A$25,Dienste!$C$25,IF(AH43=Dienste!$A$26,Dienste!$C$26,IF(AH43=Dienste!$A$27,Dienste!$C$27,IF(AH43=Dienste!$A$28,Dienste!$C$28,IF(AH43=Dienste!#REF!,Dienste!#REF!,IF(AH43=Dienste!#REF!,Dienste!#REF!,IF(AH43=Dienste!#REF!,Dienste!#REF!,IF(AH43=Dienste!#REF!,Dienste!#REF!,IF(AH43=Dienste!$A$33,Dienste!$C$33,IF(AH43=Dienste!$A$34,Dienste!$C$34,IF(AH43=Dienste!$A$35,Dienste!$C$35,IF(AH43=Dienste!$A$36,Dienste!$C$36,)))))))))))))))))))))))))))))))))))</f>
        <v>#REF!</v>
      </c>
      <c r="CC43" s="27" t="e">
        <f>IF(AI43=Dienste!$A$2,Dienste!$C$2,IF(AI43=Dienste!$A$3,Dienste!$C$3,IF(AI43=Dienste!$A$4,Dienste!$C$4,IF(AI43=Dienste!$A$5,Dienste!$C$5,IF(AI43=Dienste!$A$6,Dienste!$C$6,IF(AI43=Dienste!$A$7,Dienste!$C$7,IF(AI43=Dienste!$A$8,Dienste!$C$8,IF(AI43=Dienste!$A$9,Dienste!$C$9,IF(AI43=Dienste!$A$10,Dienste!$C$10,IF(AI43=Dienste!$A$11,Dienste!$C$11,IF(AI43=Dienste!$A$12,Dienste!$C$12,IF(AI43=Dienste!$A$13,Dienste!$C$13,IF(AI43=Dienste!$A$14,Dienste!$C$14,IF(AI43=Dienste!$A$15,Dienste!$C$15,IF(AI43=Dienste!$A$16,Dienste!$C$16,IF(AI43=Dienste!$A$17,Dienste!$C$17,IF(AI43=Dienste!$A$18,Dienste!$C$18,IF(AI43=Dienste!$A$19,Dienste!$C$19,IF(AI43=Dienste!$A$20,Dienste!$C$20,IF(AI43=Dienste!$A$21,Dienste!$C$21,IF(AI43=Dienste!$A$22,Dienste!$C$22,IF(AI43=Dienste!$A$23,Dienste!$C$23,IF(AI43=Dienste!$A$24,Dienste!$C$24,IF(AI43=Dienste!$A$25,Dienste!$C$25,IF(AI43=Dienste!$A$26,Dienste!$C$26,IF(AI43=Dienste!$A$27,Dienste!$C$27,IF(AI43=Dienste!$A$28,Dienste!$C$28,IF(AI43=Dienste!#REF!,Dienste!#REF!,IF(AI43=Dienste!#REF!,Dienste!#REF!,IF(AI43=Dienste!#REF!,Dienste!#REF!,IF(AI43=Dienste!#REF!,Dienste!#REF!,IF(AI43=Dienste!$A$33,Dienste!$C$33,IF(AI43=Dienste!$A$34,Dienste!$C$34,IF(AI43=Dienste!$A$35,Dienste!$C$35,IF(AI43=Dienste!$A$36,Dienste!$C$36,)))))))))))))))))))))))))))))))))))</f>
        <v>#REF!</v>
      </c>
    </row>
    <row r="44" spans="1:81" ht="15.75" thickBot="1" x14ac:dyDescent="0.3">
      <c r="A44" s="110"/>
      <c r="B44" s="99"/>
      <c r="C44" s="99"/>
      <c r="D44" s="100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155"/>
      <c r="AK44" s="150"/>
      <c r="AL44" s="155"/>
      <c r="AM44" s="150"/>
      <c r="AN44" s="150"/>
      <c r="AO44" s="155"/>
      <c r="AP44" s="150"/>
      <c r="AQ44" s="151"/>
      <c r="AR44" s="155"/>
      <c r="AS44" s="150"/>
      <c r="AT44" s="151"/>
      <c r="AU44" s="99" t="e">
        <f t="shared" si="3"/>
        <v>#REF!</v>
      </c>
      <c r="AV44" s="99" t="e">
        <f t="shared" si="7"/>
        <v>#REF!</v>
      </c>
      <c r="AW44" s="111" t="e">
        <f t="shared" si="6"/>
        <v>#REF!</v>
      </c>
      <c r="AY44" s="27" t="e">
        <f>IF(E44=Dienste!$A$2,Dienste!$C$2,IF(E44=Dienste!$A$3,Dienste!$C$3,IF(E44=Dienste!$A$4,Dienste!$C$4,IF(E44=Dienste!$A$5,Dienste!$C$5,IF(E44=Dienste!$A$6,Dienste!$C$6,IF(E44=Dienste!$A$7,Dienste!$C$7,IF(E44=Dienste!$A$8,Dienste!$C$8,IF(E44=Dienste!$A$9,Dienste!$C$9,IF(E44=Dienste!$A$10,Dienste!$C$10,IF(E44=Dienste!$A$11,Dienste!$C$11,IF(E44=Dienste!$A$12,Dienste!$C$12,IF(E44=Dienste!$A$13,Dienste!$C$13,IF(E44=Dienste!$A$14,Dienste!$C$14,IF(E44=Dienste!$A$15,Dienste!$C$15,IF(E44=Dienste!$A$16,Dienste!$C$16,IF(E44=Dienste!$A$17,Dienste!$C$17,IF(E44=Dienste!$A$18,Dienste!$C$18,IF(E44=Dienste!$A$19,Dienste!$C$19,IF(E44=Dienste!$A$20,Dienste!$C$20,IF(E44=Dienste!$A$21,Dienste!$C$21,IF(E44=Dienste!$A$22,Dienste!$C$22,IF(E44=Dienste!$A$23,Dienste!$C$23,IF(E44=Dienste!$A$24,Dienste!$C$24,IF(E44=Dienste!$A$25,Dienste!$C$25,IF(E44=Dienste!$A$26,Dienste!$C$26,IF(E44=Dienste!$A$27,Dienste!$C$27,IF(E44=Dienste!$A$28,Dienste!$C$28,IF(E44=Dienste!#REF!,Dienste!#REF!,IF(E44=Dienste!#REF!,Dienste!#REF!,IF(E44=Dienste!#REF!,Dienste!#REF!,IF(E44=Dienste!#REF!,Dienste!#REF!,IF(E44=Dienste!$A$33,Dienste!$C$33,IF(E44=Dienste!$A$34,Dienste!$C$34,IF(E44=Dienste!$A$35,Dienste!$C$35,IF(E44=Dienste!$A$36,Dienste!$C$36,)))))))))))))))))))))))))))))))))))</f>
        <v>#REF!</v>
      </c>
      <c r="AZ44" s="27" t="e">
        <f>IF(F44=Dienste!$A$2,Dienste!$C$2,IF(F44=Dienste!$A$3,Dienste!$C$3,IF(F44=Dienste!$A$4,Dienste!$C$4,IF(F44=Dienste!$A$5,Dienste!$C$5,IF(F44=Dienste!$A$6,Dienste!$C$6,IF(F44=Dienste!$A$7,Dienste!$C$7,IF(F44=Dienste!$A$8,Dienste!$C$8,IF(F44=Dienste!$A$9,Dienste!$C$9,IF(F44=Dienste!$A$10,Dienste!$C$10,IF(F44=Dienste!$A$11,Dienste!$C$11,IF(F44=Dienste!$A$12,Dienste!$C$12,IF(F44=Dienste!$A$13,Dienste!$C$13,IF(F44=Dienste!$A$14,Dienste!$C$14,IF(F44=Dienste!$A$15,Dienste!$C$15,IF(F44=Dienste!$A$16,Dienste!$C$16,IF(F44=Dienste!$A$17,Dienste!$C$17,IF(F44=Dienste!$A$18,Dienste!$C$18,IF(F44=Dienste!$A$19,Dienste!$C$19,IF(F44=Dienste!$A$20,Dienste!$C$20,IF(F44=Dienste!$A$21,Dienste!$C$21,IF(F44=Dienste!$A$22,Dienste!$C$22,IF(F44=Dienste!$A$23,Dienste!$C$23,IF(F44=Dienste!$A$24,Dienste!$C$24,IF(F44=Dienste!$A$25,Dienste!$C$25,IF(F44=Dienste!$A$26,Dienste!$C$26,IF(F44=Dienste!$A$27,Dienste!$C$27,IF(F44=Dienste!$A$28,Dienste!$C$28,IF(F44=Dienste!#REF!,Dienste!#REF!,IF(F44=Dienste!#REF!,Dienste!#REF!,IF(F44=Dienste!#REF!,Dienste!#REF!,IF(F44=Dienste!#REF!,Dienste!#REF!,IF(F44=Dienste!$A$33,Dienste!$C$33,IF(F44=Dienste!$A$34,Dienste!$C$34,IF(F44=Dienste!$A$35,Dienste!$C$35,IF(F44=Dienste!$A$36,Dienste!$C$36,)))))))))))))))))))))))))))))))))))</f>
        <v>#REF!</v>
      </c>
      <c r="BA44" s="27" t="e">
        <f>IF(G44=Dienste!$A$2,Dienste!$C$2,IF(G44=Dienste!$A$3,Dienste!$C$3,IF(G44=Dienste!$A$4,Dienste!$C$4,IF(G44=Dienste!$A$5,Dienste!$C$5,IF(G44=Dienste!$A$6,Dienste!$C$6,IF(G44=Dienste!$A$7,Dienste!$C$7,IF(G44=Dienste!$A$8,Dienste!$C$8,IF(G44=Dienste!$A$9,Dienste!$C$9,IF(G44=Dienste!$A$10,Dienste!$C$10,IF(G44=Dienste!$A$11,Dienste!$C$11,IF(G44=Dienste!$A$12,Dienste!$C$12,IF(G44=Dienste!$A$13,Dienste!$C$13,IF(G44=Dienste!$A$14,Dienste!$C$14,IF(G44=Dienste!$A$15,Dienste!$C$15,IF(G44=Dienste!$A$16,Dienste!$C$16,IF(G44=Dienste!$A$17,Dienste!$C$17,IF(G44=Dienste!$A$18,Dienste!$C$18,IF(G44=Dienste!$A$19,Dienste!$C$19,IF(G44=Dienste!$A$20,Dienste!$C$20,IF(G44=Dienste!$A$21,Dienste!$C$21,IF(G44=Dienste!$A$22,Dienste!$C$22,IF(G44=Dienste!$A$23,Dienste!$C$23,IF(G44=Dienste!$A$24,Dienste!$C$24,IF(G44=Dienste!$A$25,Dienste!$C$25,IF(G44=Dienste!$A$26,Dienste!$C$26,IF(G44=Dienste!$A$27,Dienste!$C$27,IF(G44=Dienste!$A$28,Dienste!$C$28,IF(G44=Dienste!#REF!,Dienste!#REF!,IF(G44=Dienste!#REF!,Dienste!#REF!,IF(G44=Dienste!#REF!,Dienste!#REF!,IF(G44=Dienste!#REF!,Dienste!#REF!,IF(G44=Dienste!$A$33,Dienste!$C$33,IF(G44=Dienste!$A$34,Dienste!$C$34,IF(G44=Dienste!$A$35,Dienste!$C$35,IF(G44=Dienste!$A$36,Dienste!$C$36,)))))))))))))))))))))))))))))))))))</f>
        <v>#REF!</v>
      </c>
      <c r="BB44" s="27" t="e">
        <f>IF(H44=Dienste!$A$2,Dienste!$C$2,IF(H44=Dienste!$A$3,Dienste!$C$3,IF(H44=Dienste!$A$4,Dienste!$C$4,IF(H44=Dienste!$A$5,Dienste!$C$5,IF(H44=Dienste!$A$6,Dienste!$C$6,IF(H44=Dienste!$A$7,Dienste!$C$7,IF(H44=Dienste!$A$8,Dienste!$C$8,IF(H44=Dienste!$A$9,Dienste!$C$9,IF(H44=Dienste!$A$10,Dienste!$C$10,IF(H44=Dienste!$A$11,Dienste!$C$11,IF(H44=Dienste!$A$12,Dienste!$C$12,IF(H44=Dienste!$A$13,Dienste!$C$13,IF(H44=Dienste!$A$14,Dienste!$C$14,IF(H44=Dienste!$A$15,Dienste!$C$15,IF(H44=Dienste!$A$16,Dienste!$C$16,IF(H44=Dienste!$A$17,Dienste!$C$17,IF(H44=Dienste!$A$18,Dienste!$C$18,IF(H44=Dienste!$A$19,Dienste!$C$19,IF(H44=Dienste!$A$20,Dienste!$C$20,IF(H44=Dienste!$A$21,Dienste!$C$21,IF(H44=Dienste!$A$22,Dienste!$C$22,IF(H44=Dienste!$A$23,Dienste!$C$23,IF(H44=Dienste!$A$24,Dienste!$C$24,IF(H44=Dienste!$A$25,Dienste!$C$25,IF(H44=Dienste!$A$26,Dienste!$C$26,IF(H44=Dienste!$A$27,Dienste!$C$27,IF(H44=Dienste!$A$28,Dienste!$C$28,IF(H44=Dienste!#REF!,Dienste!#REF!,IF(H44=Dienste!#REF!,Dienste!#REF!,IF(H44=Dienste!#REF!,Dienste!#REF!,IF(H44=Dienste!#REF!,Dienste!#REF!,IF(H44=Dienste!$A$33,Dienste!$C$33,IF(H44=Dienste!$A$34,Dienste!$C$34,IF(H44=Dienste!$A$35,Dienste!$C$35,IF(H44=Dienste!$A$36,Dienste!$C$36,)))))))))))))))))))))))))))))))))))</f>
        <v>#REF!</v>
      </c>
      <c r="BC44" s="27" t="e">
        <f>IF(I44=Dienste!$A$2,Dienste!$C$2,IF(I44=Dienste!$A$3,Dienste!$C$3,IF(I44=Dienste!$A$4,Dienste!$C$4,IF(I44=Dienste!$A$5,Dienste!$C$5,IF(I44=Dienste!$A$6,Dienste!$C$6,IF(I44=Dienste!$A$7,Dienste!$C$7,IF(I44=Dienste!$A$8,Dienste!$C$8,IF(I44=Dienste!$A$9,Dienste!$C$9,IF(I44=Dienste!$A$10,Dienste!$C$10,IF(I44=Dienste!$A$11,Dienste!$C$11,IF(I44=Dienste!$A$12,Dienste!$C$12,IF(I44=Dienste!$A$13,Dienste!$C$13,IF(I44=Dienste!$A$14,Dienste!$C$14,IF(I44=Dienste!$A$15,Dienste!$C$15,IF(I44=Dienste!$A$16,Dienste!$C$16,IF(I44=Dienste!$A$17,Dienste!$C$17,IF(I44=Dienste!$A$18,Dienste!$C$18,IF(I44=Dienste!$A$19,Dienste!$C$19,IF(I44=Dienste!$A$20,Dienste!$C$20,IF(I44=Dienste!$A$21,Dienste!$C$21,IF(I44=Dienste!$A$22,Dienste!$C$22,IF(I44=Dienste!$A$23,Dienste!$C$23,IF(I44=Dienste!$A$24,Dienste!$C$24,IF(I44=Dienste!$A$25,Dienste!$C$25,IF(I44=Dienste!$A$26,Dienste!$C$26,IF(I44=Dienste!$A$27,Dienste!$C$27,IF(I44=Dienste!$A$28,Dienste!$C$28,IF(I44=Dienste!#REF!,Dienste!#REF!,IF(I44=Dienste!#REF!,Dienste!#REF!,IF(I44=Dienste!#REF!,Dienste!#REF!,IF(I44=Dienste!#REF!,Dienste!#REF!,IF(I44=Dienste!$A$33,Dienste!$C$33,IF(I44=Dienste!$A$34,Dienste!$C$34,IF(I44=Dienste!$A$35,Dienste!$C$35,IF(I44=Dienste!$A$36,Dienste!$C$36,)))))))))))))))))))))))))))))))))))</f>
        <v>#REF!</v>
      </c>
      <c r="BD44" s="27" t="e">
        <f>IF(J44=Dienste!$A$2,Dienste!$C$2,IF(J44=Dienste!$A$3,Dienste!$C$3,IF(J44=Dienste!$A$4,Dienste!$C$4,IF(J44=Dienste!$A$5,Dienste!$C$5,IF(J44=Dienste!$A$6,Dienste!$C$6,IF(J44=Dienste!$A$7,Dienste!$C$7,IF(J44=Dienste!$A$8,Dienste!$C$8,IF(J44=Dienste!$A$9,Dienste!$C$9,IF(J44=Dienste!$A$10,Dienste!$C$10,IF(J44=Dienste!$A$11,Dienste!$C$11,IF(J44=Dienste!$A$12,Dienste!$C$12,IF(J44=Dienste!$A$13,Dienste!$C$13,IF(J44=Dienste!$A$14,Dienste!$C$14,IF(J44=Dienste!$A$15,Dienste!$C$15,IF(J44=Dienste!$A$16,Dienste!$C$16,IF(J44=Dienste!$A$17,Dienste!$C$17,IF(J44=Dienste!$A$18,Dienste!$C$18,IF(J44=Dienste!$A$19,Dienste!$C$19,IF(J44=Dienste!$A$20,Dienste!$C$20,IF(J44=Dienste!$A$21,Dienste!$C$21,IF(J44=Dienste!$A$22,Dienste!$C$22,IF(J44=Dienste!$A$23,Dienste!$C$23,IF(J44=Dienste!$A$24,Dienste!$C$24,IF(J44=Dienste!$A$25,Dienste!$C$25,IF(J44=Dienste!$A$26,Dienste!$C$26,IF(J44=Dienste!$A$27,Dienste!$C$27,IF(J44=Dienste!$A$28,Dienste!$C$28,IF(J44=Dienste!#REF!,Dienste!#REF!,IF(J44=Dienste!#REF!,Dienste!#REF!,IF(J44=Dienste!#REF!,Dienste!#REF!,IF(J44=Dienste!#REF!,Dienste!#REF!,IF(J44=Dienste!$A$33,Dienste!$C$33,IF(J44=Dienste!$A$34,Dienste!$C$34,IF(J44=Dienste!$A$35,Dienste!$C$35,IF(J44=Dienste!$A$36,Dienste!$C$36,)))))))))))))))))))))))))))))))))))</f>
        <v>#REF!</v>
      </c>
      <c r="BE44" s="27" t="e">
        <f>IF(K44=Dienste!$A$2,Dienste!$C$2,IF(K44=Dienste!$A$3,Dienste!$C$3,IF(K44=Dienste!$A$4,Dienste!$C$4,IF(K44=Dienste!$A$5,Dienste!$C$5,IF(K44=Dienste!$A$6,Dienste!$C$6,IF(K44=Dienste!$A$7,Dienste!$C$7,IF(K44=Dienste!$A$8,Dienste!$C$8,IF(K44=Dienste!$A$9,Dienste!$C$9,IF(K44=Dienste!$A$10,Dienste!$C$10,IF(K44=Dienste!$A$11,Dienste!$C$11,IF(K44=Dienste!$A$12,Dienste!$C$12,IF(K44=Dienste!$A$13,Dienste!$C$13,IF(K44=Dienste!$A$14,Dienste!$C$14,IF(K44=Dienste!$A$15,Dienste!$C$15,IF(K44=Dienste!$A$16,Dienste!$C$16,IF(K44=Dienste!$A$17,Dienste!$C$17,IF(K44=Dienste!$A$18,Dienste!$C$18,IF(K44=Dienste!$A$19,Dienste!$C$19,IF(K44=Dienste!$A$20,Dienste!$C$20,IF(K44=Dienste!$A$21,Dienste!$C$21,IF(K44=Dienste!$A$22,Dienste!$C$22,IF(K44=Dienste!$A$23,Dienste!$C$23,IF(K44=Dienste!$A$24,Dienste!$C$24,IF(K44=Dienste!$A$25,Dienste!$C$25,IF(K44=Dienste!$A$26,Dienste!$C$26,IF(K44=Dienste!$A$27,Dienste!$C$27,IF(K44=Dienste!$A$28,Dienste!$C$28,IF(K44=Dienste!#REF!,Dienste!#REF!,IF(K44=Dienste!#REF!,Dienste!#REF!,IF(K44=Dienste!#REF!,Dienste!#REF!,IF(K44=Dienste!#REF!,Dienste!#REF!,IF(K44=Dienste!$A$33,Dienste!$C$33,IF(K44=Dienste!$A$34,Dienste!$C$34,IF(K44=Dienste!$A$35,Dienste!$C$35,IF(K44=Dienste!$A$36,Dienste!$C$36,)))))))))))))))))))))))))))))))))))</f>
        <v>#REF!</v>
      </c>
      <c r="BF44" s="27" t="e">
        <f>IF(L44=Dienste!$A$2,Dienste!$C$2,IF(L44=Dienste!$A$3,Dienste!$C$3,IF(L44=Dienste!$A$4,Dienste!$C$4,IF(L44=Dienste!$A$5,Dienste!$C$5,IF(L44=Dienste!$A$6,Dienste!$C$6,IF(L44=Dienste!$A$7,Dienste!$C$7,IF(L44=Dienste!$A$8,Dienste!$C$8,IF(L44=Dienste!$A$9,Dienste!$C$9,IF(L44=Dienste!$A$10,Dienste!$C$10,IF(L44=Dienste!$A$11,Dienste!$C$11,IF(L44=Dienste!$A$12,Dienste!$C$12,IF(L44=Dienste!$A$13,Dienste!$C$13,IF(L44=Dienste!$A$14,Dienste!$C$14,IF(L44=Dienste!$A$15,Dienste!$C$15,IF(L44=Dienste!$A$16,Dienste!$C$16,IF(L44=Dienste!$A$17,Dienste!$C$17,IF(L44=Dienste!$A$18,Dienste!$C$18,IF(L44=Dienste!$A$19,Dienste!$C$19,IF(L44=Dienste!$A$20,Dienste!$C$20,IF(L44=Dienste!$A$21,Dienste!$C$21,IF(L44=Dienste!$A$22,Dienste!$C$22,IF(L44=Dienste!$A$23,Dienste!$C$23,IF(L44=Dienste!$A$24,Dienste!$C$24,IF(L44=Dienste!$A$25,Dienste!$C$25,IF(L44=Dienste!$A$26,Dienste!$C$26,IF(L44=Dienste!$A$27,Dienste!$C$27,IF(L44=Dienste!$A$28,Dienste!$C$28,IF(L44=Dienste!#REF!,Dienste!#REF!,IF(L44=Dienste!#REF!,Dienste!#REF!,IF(L44=Dienste!#REF!,Dienste!#REF!,IF(L44=Dienste!#REF!,Dienste!#REF!,IF(L44=Dienste!$A$33,Dienste!$C$33,IF(L44=Dienste!$A$34,Dienste!$C$34,IF(L44=Dienste!$A$35,Dienste!$C$35,IF(L44=Dienste!$A$36,Dienste!$C$36,)))))))))))))))))))))))))))))))))))</f>
        <v>#REF!</v>
      </c>
      <c r="BG44" s="27" t="e">
        <f>IF(M44=Dienste!$A$2,Dienste!$C$2,IF(M44=Dienste!$A$3,Dienste!$C$3,IF(M44=Dienste!$A$4,Dienste!$C$4,IF(M44=Dienste!$A$5,Dienste!$C$5,IF(M44=Dienste!$A$6,Dienste!$C$6,IF(M44=Dienste!$A$7,Dienste!$C$7,IF(M44=Dienste!$A$8,Dienste!$C$8,IF(M44=Dienste!$A$9,Dienste!$C$9,IF(M44=Dienste!$A$10,Dienste!$C$10,IF(M44=Dienste!$A$11,Dienste!$C$11,IF(M44=Dienste!$A$12,Dienste!$C$12,IF(M44=Dienste!$A$13,Dienste!$C$13,IF(M44=Dienste!$A$14,Dienste!$C$14,IF(M44=Dienste!$A$15,Dienste!$C$15,IF(M44=Dienste!$A$16,Dienste!$C$16,IF(M44=Dienste!$A$17,Dienste!$C$17,IF(M44=Dienste!$A$18,Dienste!$C$18,IF(M44=Dienste!$A$19,Dienste!$C$19,IF(M44=Dienste!$A$20,Dienste!$C$20,IF(M44=Dienste!$A$21,Dienste!$C$21,IF(M44=Dienste!$A$22,Dienste!$C$22,IF(M44=Dienste!$A$23,Dienste!$C$23,IF(M44=Dienste!$A$24,Dienste!$C$24,IF(M44=Dienste!$A$25,Dienste!$C$25,IF(M44=Dienste!$A$26,Dienste!$C$26,IF(M44=Dienste!$A$27,Dienste!$C$27,IF(M44=Dienste!$A$28,Dienste!$C$28,IF(M44=Dienste!#REF!,Dienste!#REF!,IF(M44=Dienste!#REF!,Dienste!#REF!,IF(M44=Dienste!#REF!,Dienste!#REF!,IF(M44=Dienste!#REF!,Dienste!#REF!,IF(M44=Dienste!$A$33,Dienste!$C$33,IF(M44=Dienste!$A$34,Dienste!$C$34,IF(M44=Dienste!$A$35,Dienste!$C$35,IF(M44=Dienste!$A$36,Dienste!$C$36,)))))))))))))))))))))))))))))))))))</f>
        <v>#REF!</v>
      </c>
      <c r="BH44" s="27" t="e">
        <f>IF(N44=Dienste!$A$2,Dienste!$C$2,IF(N44=Dienste!$A$3,Dienste!$C$3,IF(N44=Dienste!$A$4,Dienste!$C$4,IF(N44=Dienste!$A$5,Dienste!$C$5,IF(N44=Dienste!$A$6,Dienste!$C$6,IF(N44=Dienste!$A$7,Dienste!$C$7,IF(N44=Dienste!$A$8,Dienste!$C$8,IF(N44=Dienste!$A$9,Dienste!$C$9,IF(N44=Dienste!$A$10,Dienste!$C$10,IF(N44=Dienste!$A$11,Dienste!$C$11,IF(N44=Dienste!$A$12,Dienste!$C$12,IF(N44=Dienste!$A$13,Dienste!$C$13,IF(N44=Dienste!$A$14,Dienste!$C$14,IF(N44=Dienste!$A$15,Dienste!$C$15,IF(N44=Dienste!$A$16,Dienste!$C$16,IF(N44=Dienste!$A$17,Dienste!$C$17,IF(N44=Dienste!$A$18,Dienste!$C$18,IF(N44=Dienste!$A$19,Dienste!$C$19,IF(N44=Dienste!$A$20,Dienste!$C$20,IF(N44=Dienste!$A$21,Dienste!$C$21,IF(N44=Dienste!$A$22,Dienste!$C$22,IF(N44=Dienste!$A$23,Dienste!$C$23,IF(N44=Dienste!$A$24,Dienste!$C$24,IF(N44=Dienste!$A$25,Dienste!$C$25,IF(N44=Dienste!$A$26,Dienste!$C$26,IF(N44=Dienste!$A$27,Dienste!$C$27,IF(N44=Dienste!$A$28,Dienste!$C$28,IF(N44=Dienste!#REF!,Dienste!#REF!,IF(N44=Dienste!#REF!,Dienste!#REF!,IF(N44=Dienste!#REF!,Dienste!#REF!,IF(N44=Dienste!#REF!,Dienste!#REF!,IF(N44=Dienste!$A$33,Dienste!$C$33,IF(N44=Dienste!$A$34,Dienste!$C$34,IF(N44=Dienste!$A$35,Dienste!$C$35,IF(N44=Dienste!$A$36,Dienste!$C$36,)))))))))))))))))))))))))))))))))))</f>
        <v>#REF!</v>
      </c>
      <c r="BI44" s="27" t="e">
        <f>IF(O44=Dienste!$A$2,Dienste!$C$2,IF(O44=Dienste!$A$3,Dienste!$C$3,IF(O44=Dienste!$A$4,Dienste!$C$4,IF(O44=Dienste!$A$5,Dienste!$C$5,IF(O44=Dienste!$A$6,Dienste!$C$6,IF(O44=Dienste!$A$7,Dienste!$C$7,IF(O44=Dienste!$A$8,Dienste!$C$8,IF(O44=Dienste!$A$9,Dienste!$C$9,IF(O44=Dienste!$A$10,Dienste!$C$10,IF(O44=Dienste!$A$11,Dienste!$C$11,IF(O44=Dienste!$A$12,Dienste!$C$12,IF(O44=Dienste!$A$13,Dienste!$C$13,IF(O44=Dienste!$A$14,Dienste!$C$14,IF(O44=Dienste!$A$15,Dienste!$C$15,IF(O44=Dienste!$A$16,Dienste!$C$16,IF(O44=Dienste!$A$17,Dienste!$C$17,IF(O44=Dienste!$A$18,Dienste!$C$18,IF(O44=Dienste!$A$19,Dienste!$C$19,IF(O44=Dienste!$A$20,Dienste!$C$20,IF(O44=Dienste!$A$21,Dienste!$C$21,IF(O44=Dienste!$A$22,Dienste!$C$22,IF(O44=Dienste!$A$23,Dienste!$C$23,IF(O44=Dienste!$A$24,Dienste!$C$24,IF(O44=Dienste!$A$25,Dienste!$C$25,IF(O44=Dienste!$A$26,Dienste!$C$26,IF(O44=Dienste!$A$27,Dienste!$C$27,IF(O44=Dienste!$A$28,Dienste!$C$28,IF(O44=Dienste!#REF!,Dienste!#REF!,IF(O44=Dienste!#REF!,Dienste!#REF!,IF(O44=Dienste!#REF!,Dienste!#REF!,IF(O44=Dienste!#REF!,Dienste!#REF!,IF(O44=Dienste!$A$33,Dienste!$C$33,IF(O44=Dienste!$A$34,Dienste!$C$34,IF(O44=Dienste!$A$35,Dienste!$C$35,IF(O44=Dienste!$A$36,Dienste!$C$36,)))))))))))))))))))))))))))))))))))</f>
        <v>#REF!</v>
      </c>
      <c r="BJ44" s="27" t="e">
        <f>IF(P44=Dienste!$A$2,Dienste!$C$2,IF(P44=Dienste!$A$3,Dienste!$C$3,IF(P44=Dienste!$A$4,Dienste!$C$4,IF(P44=Dienste!$A$5,Dienste!$C$5,IF(P44=Dienste!$A$6,Dienste!$C$6,IF(P44=Dienste!$A$7,Dienste!$C$7,IF(P44=Dienste!$A$8,Dienste!$C$8,IF(P44=Dienste!$A$9,Dienste!$C$9,IF(P44=Dienste!$A$10,Dienste!$C$10,IF(P44=Dienste!$A$11,Dienste!$C$11,IF(P44=Dienste!$A$12,Dienste!$C$12,IF(P44=Dienste!$A$13,Dienste!$C$13,IF(P44=Dienste!$A$14,Dienste!$C$14,IF(P44=Dienste!$A$15,Dienste!$C$15,IF(P44=Dienste!$A$16,Dienste!$C$16,IF(P44=Dienste!$A$17,Dienste!$C$17,IF(P44=Dienste!$A$18,Dienste!$C$18,IF(P44=Dienste!$A$19,Dienste!$C$19,IF(P44=Dienste!$A$20,Dienste!$C$20,IF(P44=Dienste!$A$21,Dienste!$C$21,IF(P44=Dienste!$A$22,Dienste!$C$22,IF(P44=Dienste!$A$23,Dienste!$C$23,IF(P44=Dienste!$A$24,Dienste!$C$24,IF(P44=Dienste!$A$25,Dienste!$C$25,IF(P44=Dienste!$A$26,Dienste!$C$26,IF(P44=Dienste!$A$27,Dienste!$C$27,IF(P44=Dienste!$A$28,Dienste!$C$28,IF(P44=Dienste!#REF!,Dienste!#REF!,IF(P44=Dienste!#REF!,Dienste!#REF!,IF(P44=Dienste!#REF!,Dienste!#REF!,IF(P44=Dienste!#REF!,Dienste!#REF!,IF(P44=Dienste!$A$33,Dienste!$C$33,IF(P44=Dienste!$A$34,Dienste!$C$34,IF(P44=Dienste!$A$35,Dienste!$C$35,IF(P44=Dienste!$A$36,Dienste!$C$36,)))))))))))))))))))))))))))))))))))</f>
        <v>#REF!</v>
      </c>
      <c r="BK44" s="27" t="e">
        <f>IF(Q44=Dienste!$A$2,Dienste!$C$2,IF(Q44=Dienste!$A$3,Dienste!$C$3,IF(Q44=Dienste!$A$4,Dienste!$C$4,IF(Q44=Dienste!$A$5,Dienste!$C$5,IF(Q44=Dienste!$A$6,Dienste!$C$6,IF(Q44=Dienste!$A$7,Dienste!$C$7,IF(Q44=Dienste!$A$8,Dienste!$C$8,IF(Q44=Dienste!$A$9,Dienste!$C$9,IF(Q44=Dienste!$A$10,Dienste!$C$10,IF(Q44=Dienste!$A$11,Dienste!$C$11,IF(Q44=Dienste!$A$12,Dienste!$C$12,IF(Q44=Dienste!$A$13,Dienste!$C$13,IF(Q44=Dienste!$A$14,Dienste!$C$14,IF(Q44=Dienste!$A$15,Dienste!$C$15,IF(Q44=Dienste!$A$16,Dienste!$C$16,IF(Q44=Dienste!$A$17,Dienste!$C$17,IF(Q44=Dienste!$A$18,Dienste!$C$18,IF(Q44=Dienste!$A$19,Dienste!$C$19,IF(Q44=Dienste!$A$20,Dienste!$C$20,IF(Q44=Dienste!$A$21,Dienste!$C$21,IF(Q44=Dienste!$A$22,Dienste!$C$22,IF(Q44=Dienste!$A$23,Dienste!$C$23,IF(Q44=Dienste!$A$24,Dienste!$C$24,IF(Q44=Dienste!$A$25,Dienste!$C$25,IF(Q44=Dienste!$A$26,Dienste!$C$26,IF(Q44=Dienste!$A$27,Dienste!$C$27,IF(Q44=Dienste!$A$28,Dienste!$C$28,IF(Q44=Dienste!#REF!,Dienste!#REF!,IF(Q44=Dienste!#REF!,Dienste!#REF!,IF(Q44=Dienste!#REF!,Dienste!#REF!,IF(Q44=Dienste!#REF!,Dienste!#REF!,IF(Q44=Dienste!$A$33,Dienste!$C$33,IF(Q44=Dienste!$A$34,Dienste!$C$34,IF(Q44=Dienste!$A$35,Dienste!$C$35,IF(Q44=Dienste!$A$36,Dienste!$C$36,)))))))))))))))))))))))))))))))))))</f>
        <v>#REF!</v>
      </c>
      <c r="BL44" s="27" t="e">
        <f>IF(R44=Dienste!$A$2,Dienste!$C$2,IF(R44=Dienste!$A$3,Dienste!$C$3,IF(R44=Dienste!$A$4,Dienste!$C$4,IF(R44=Dienste!$A$5,Dienste!$C$5,IF(R44=Dienste!$A$6,Dienste!$C$6,IF(R44=Dienste!$A$7,Dienste!$C$7,IF(R44=Dienste!$A$8,Dienste!$C$8,IF(R44=Dienste!$A$9,Dienste!$C$9,IF(R44=Dienste!$A$10,Dienste!$C$10,IF(R44=Dienste!$A$11,Dienste!$C$11,IF(R44=Dienste!$A$12,Dienste!$C$12,IF(R44=Dienste!$A$13,Dienste!$C$13,IF(R44=Dienste!$A$14,Dienste!$C$14,IF(R44=Dienste!$A$15,Dienste!$C$15,IF(R44=Dienste!$A$16,Dienste!$C$16,IF(R44=Dienste!$A$17,Dienste!$C$17,IF(R44=Dienste!$A$18,Dienste!$C$18,IF(R44=Dienste!$A$19,Dienste!$C$19,IF(R44=Dienste!$A$20,Dienste!$C$20,IF(R44=Dienste!$A$21,Dienste!$C$21,IF(R44=Dienste!$A$22,Dienste!$C$22,IF(R44=Dienste!$A$23,Dienste!$C$23,IF(R44=Dienste!$A$24,Dienste!$C$24,IF(R44=Dienste!$A$25,Dienste!$C$25,IF(R44=Dienste!$A$26,Dienste!$C$26,IF(R44=Dienste!$A$27,Dienste!$C$27,IF(R44=Dienste!$A$28,Dienste!$C$28,IF(R44=Dienste!#REF!,Dienste!#REF!,IF(R44=Dienste!#REF!,Dienste!#REF!,IF(R44=Dienste!#REF!,Dienste!#REF!,IF(R44=Dienste!#REF!,Dienste!#REF!,IF(R44=Dienste!$A$33,Dienste!$C$33,IF(R44=Dienste!$A$34,Dienste!$C$34,IF(R44=Dienste!$A$35,Dienste!$C$35,IF(R44=Dienste!$A$36,Dienste!$C$36,)))))))))))))))))))))))))))))))))))</f>
        <v>#REF!</v>
      </c>
      <c r="BM44" s="27" t="e">
        <f>IF(S44=Dienste!$A$2,Dienste!$C$2,IF(S44=Dienste!$A$3,Dienste!$C$3,IF(S44=Dienste!$A$4,Dienste!$C$4,IF(S44=Dienste!$A$5,Dienste!$C$5,IF(S44=Dienste!$A$6,Dienste!$C$6,IF(S44=Dienste!$A$7,Dienste!$C$7,IF(S44=Dienste!$A$8,Dienste!$C$8,IF(S44=Dienste!$A$9,Dienste!$C$9,IF(S44=Dienste!$A$10,Dienste!$C$10,IF(S44=Dienste!$A$11,Dienste!$C$11,IF(S44=Dienste!$A$12,Dienste!$C$12,IF(S44=Dienste!$A$13,Dienste!$C$13,IF(S44=Dienste!$A$14,Dienste!$C$14,IF(S44=Dienste!$A$15,Dienste!$C$15,IF(S44=Dienste!$A$16,Dienste!$C$16,IF(S44=Dienste!$A$17,Dienste!$C$17,IF(S44=Dienste!$A$18,Dienste!$C$18,IF(S44=Dienste!$A$19,Dienste!$C$19,IF(S44=Dienste!$A$20,Dienste!$C$20,IF(S44=Dienste!$A$21,Dienste!$C$21,IF(S44=Dienste!$A$22,Dienste!$C$22,IF(S44=Dienste!$A$23,Dienste!$C$23,IF(S44=Dienste!$A$24,Dienste!$C$24,IF(S44=Dienste!$A$25,Dienste!$C$25,IF(S44=Dienste!$A$26,Dienste!$C$26,IF(S44=Dienste!$A$27,Dienste!$C$27,IF(S44=Dienste!$A$28,Dienste!$C$28,IF(S44=Dienste!#REF!,Dienste!#REF!,IF(S44=Dienste!#REF!,Dienste!#REF!,IF(S44=Dienste!#REF!,Dienste!#REF!,IF(S44=Dienste!#REF!,Dienste!#REF!,IF(S44=Dienste!$A$33,Dienste!$C$33,IF(S44=Dienste!$A$34,Dienste!$C$34,IF(S44=Dienste!$A$35,Dienste!$C$35,IF(S44=Dienste!$A$36,Dienste!$C$36,)))))))))))))))))))))))))))))))))))</f>
        <v>#REF!</v>
      </c>
      <c r="BN44" s="27" t="e">
        <f>IF(T44=Dienste!$A$2,Dienste!$C$2,IF(T44=Dienste!$A$3,Dienste!$C$3,IF(T44=Dienste!$A$4,Dienste!$C$4,IF(T44=Dienste!$A$5,Dienste!$C$5,IF(T44=Dienste!$A$6,Dienste!$C$6,IF(T44=Dienste!$A$7,Dienste!$C$7,IF(T44=Dienste!$A$8,Dienste!$C$8,IF(T44=Dienste!$A$9,Dienste!$C$9,IF(T44=Dienste!$A$10,Dienste!$C$10,IF(T44=Dienste!$A$11,Dienste!$C$11,IF(T44=Dienste!$A$12,Dienste!$C$12,IF(T44=Dienste!$A$13,Dienste!$C$13,IF(T44=Dienste!$A$14,Dienste!$C$14,IF(T44=Dienste!$A$15,Dienste!$C$15,IF(T44=Dienste!$A$16,Dienste!$C$16,IF(T44=Dienste!$A$17,Dienste!$C$17,IF(T44=Dienste!$A$18,Dienste!$C$18,IF(T44=Dienste!$A$19,Dienste!$C$19,IF(T44=Dienste!$A$20,Dienste!$C$20,IF(T44=Dienste!$A$21,Dienste!$C$21,IF(T44=Dienste!$A$22,Dienste!$C$22,IF(T44=Dienste!$A$23,Dienste!$C$23,IF(T44=Dienste!$A$24,Dienste!$C$24,IF(T44=Dienste!$A$25,Dienste!$C$25,IF(T44=Dienste!$A$26,Dienste!$C$26,IF(T44=Dienste!$A$27,Dienste!$C$27,IF(T44=Dienste!$A$28,Dienste!$C$28,IF(T44=Dienste!#REF!,Dienste!#REF!,IF(T44=Dienste!#REF!,Dienste!#REF!,IF(T44=Dienste!#REF!,Dienste!#REF!,IF(T44=Dienste!#REF!,Dienste!#REF!,IF(T44=Dienste!$A$33,Dienste!$C$33,IF(T44=Dienste!$A$34,Dienste!$C$34,IF(T44=Dienste!$A$35,Dienste!$C$35,IF(T44=Dienste!$A$36,Dienste!$C$36,)))))))))))))))))))))))))))))))))))</f>
        <v>#REF!</v>
      </c>
      <c r="BO44" s="27" t="e">
        <f>IF(U44=Dienste!$A$2,Dienste!$C$2,IF(U44=Dienste!$A$3,Dienste!$C$3,IF(U44=Dienste!$A$4,Dienste!$C$4,IF(U44=Dienste!$A$5,Dienste!$C$5,IF(U44=Dienste!$A$6,Dienste!$C$6,IF(U44=Dienste!$A$7,Dienste!$C$7,IF(U44=Dienste!$A$8,Dienste!$C$8,IF(U44=Dienste!$A$9,Dienste!$C$9,IF(U44=Dienste!$A$10,Dienste!$C$10,IF(U44=Dienste!$A$11,Dienste!$C$11,IF(U44=Dienste!$A$12,Dienste!$C$12,IF(U44=Dienste!$A$13,Dienste!$C$13,IF(U44=Dienste!$A$14,Dienste!$C$14,IF(U44=Dienste!$A$15,Dienste!$C$15,IF(U44=Dienste!$A$16,Dienste!$C$16,IF(U44=Dienste!$A$17,Dienste!$C$17,IF(U44=Dienste!$A$18,Dienste!$C$18,IF(U44=Dienste!$A$19,Dienste!$C$19,IF(U44=Dienste!$A$20,Dienste!$C$20,IF(U44=Dienste!$A$21,Dienste!$C$21,IF(U44=Dienste!$A$22,Dienste!$C$22,IF(U44=Dienste!$A$23,Dienste!$C$23,IF(U44=Dienste!$A$24,Dienste!$C$24,IF(U44=Dienste!$A$25,Dienste!$C$25,IF(U44=Dienste!$A$26,Dienste!$C$26,IF(U44=Dienste!$A$27,Dienste!$C$27,IF(U44=Dienste!$A$28,Dienste!$C$28,IF(U44=Dienste!#REF!,Dienste!#REF!,IF(U44=Dienste!#REF!,Dienste!#REF!,IF(U44=Dienste!#REF!,Dienste!#REF!,IF(U44=Dienste!#REF!,Dienste!#REF!,IF(U44=Dienste!$A$33,Dienste!$C$33,IF(U44=Dienste!$A$34,Dienste!$C$34,IF(U44=Dienste!$A$35,Dienste!$C$35,IF(U44=Dienste!$A$36,Dienste!$C$36,)))))))))))))))))))))))))))))))))))</f>
        <v>#REF!</v>
      </c>
      <c r="BP44" s="27" t="e">
        <f>IF(V44=Dienste!$A$2,Dienste!$C$2,IF(V44=Dienste!$A$3,Dienste!$C$3,IF(V44=Dienste!$A$4,Dienste!$C$4,IF(V44=Dienste!$A$5,Dienste!$C$5,IF(V44=Dienste!$A$6,Dienste!$C$6,IF(V44=Dienste!$A$7,Dienste!$C$7,IF(V44=Dienste!$A$8,Dienste!$C$8,IF(V44=Dienste!$A$9,Dienste!$C$9,IF(V44=Dienste!$A$10,Dienste!$C$10,IF(V44=Dienste!$A$11,Dienste!$C$11,IF(V44=Dienste!$A$12,Dienste!$C$12,IF(V44=Dienste!$A$13,Dienste!$C$13,IF(V44=Dienste!$A$14,Dienste!$C$14,IF(V44=Dienste!$A$15,Dienste!$C$15,IF(V44=Dienste!$A$16,Dienste!$C$16,IF(V44=Dienste!$A$17,Dienste!$C$17,IF(V44=Dienste!$A$18,Dienste!$C$18,IF(V44=Dienste!$A$19,Dienste!$C$19,IF(V44=Dienste!$A$20,Dienste!$C$20,IF(V44=Dienste!$A$21,Dienste!$C$21,IF(V44=Dienste!$A$22,Dienste!$C$22,IF(V44=Dienste!$A$23,Dienste!$C$23,IF(V44=Dienste!$A$24,Dienste!$C$24,IF(V44=Dienste!$A$25,Dienste!$C$25,IF(V44=Dienste!$A$26,Dienste!$C$26,IF(V44=Dienste!$A$27,Dienste!$C$27,IF(V44=Dienste!$A$28,Dienste!$C$28,IF(V44=Dienste!#REF!,Dienste!#REF!,IF(V44=Dienste!#REF!,Dienste!#REF!,IF(V44=Dienste!#REF!,Dienste!#REF!,IF(V44=Dienste!#REF!,Dienste!#REF!,IF(V44=Dienste!$A$33,Dienste!$C$33,IF(V44=Dienste!$A$34,Dienste!$C$34,IF(V44=Dienste!$A$35,Dienste!$C$35,IF(V44=Dienste!$A$36,Dienste!$C$36,)))))))))))))))))))))))))))))))))))</f>
        <v>#REF!</v>
      </c>
      <c r="BQ44" s="27" t="e">
        <f>IF(W44=Dienste!$A$2,Dienste!$C$2,IF(W44=Dienste!$A$3,Dienste!$C$3,IF(W44=Dienste!$A$4,Dienste!$C$4,IF(W44=Dienste!$A$5,Dienste!$C$5,IF(W44=Dienste!$A$6,Dienste!$C$6,IF(W44=Dienste!$A$7,Dienste!$C$7,IF(W44=Dienste!$A$8,Dienste!$C$8,IF(W44=Dienste!$A$9,Dienste!$C$9,IF(W44=Dienste!$A$10,Dienste!$C$10,IF(W44=Dienste!$A$11,Dienste!$C$11,IF(W44=Dienste!$A$12,Dienste!$C$12,IF(W44=Dienste!$A$13,Dienste!$C$13,IF(W44=Dienste!$A$14,Dienste!$C$14,IF(W44=Dienste!$A$15,Dienste!$C$15,IF(W44=Dienste!$A$16,Dienste!$C$16,IF(W44=Dienste!$A$17,Dienste!$C$17,IF(W44=Dienste!$A$18,Dienste!$C$18,IF(W44=Dienste!$A$19,Dienste!$C$19,IF(W44=Dienste!$A$20,Dienste!$C$20,IF(W44=Dienste!$A$21,Dienste!$C$21,IF(W44=Dienste!$A$22,Dienste!$C$22,IF(W44=Dienste!$A$23,Dienste!$C$23,IF(W44=Dienste!$A$24,Dienste!$C$24,IF(W44=Dienste!$A$25,Dienste!$C$25,IF(W44=Dienste!$A$26,Dienste!$C$26,IF(W44=Dienste!$A$27,Dienste!$C$27,IF(W44=Dienste!$A$28,Dienste!$C$28,IF(W44=Dienste!#REF!,Dienste!#REF!,IF(W44=Dienste!#REF!,Dienste!#REF!,IF(W44=Dienste!#REF!,Dienste!#REF!,IF(W44=Dienste!#REF!,Dienste!#REF!,IF(W44=Dienste!$A$33,Dienste!$C$33,IF(W44=Dienste!$A$34,Dienste!$C$34,IF(W44=Dienste!$A$35,Dienste!$C$35,IF(W44=Dienste!$A$36,Dienste!$C$36,)))))))))))))))))))))))))))))))))))</f>
        <v>#REF!</v>
      </c>
      <c r="BR44" s="27" t="e">
        <f>IF(X44=Dienste!$A$2,Dienste!$C$2,IF(X44=Dienste!$A$3,Dienste!$C$3,IF(X44=Dienste!$A$4,Dienste!$C$4,IF(X44=Dienste!$A$5,Dienste!$C$5,IF(X44=Dienste!$A$6,Dienste!$C$6,IF(X44=Dienste!$A$7,Dienste!$C$7,IF(X44=Dienste!$A$8,Dienste!$C$8,IF(X44=Dienste!$A$9,Dienste!$C$9,IF(X44=Dienste!$A$10,Dienste!$C$10,IF(X44=Dienste!$A$11,Dienste!$C$11,IF(X44=Dienste!$A$12,Dienste!$C$12,IF(X44=Dienste!$A$13,Dienste!$C$13,IF(X44=Dienste!$A$14,Dienste!$C$14,IF(X44=Dienste!$A$15,Dienste!$C$15,IF(X44=Dienste!$A$16,Dienste!$C$16,IF(X44=Dienste!$A$17,Dienste!$C$17,IF(X44=Dienste!$A$18,Dienste!$C$18,IF(X44=Dienste!$A$19,Dienste!$C$19,IF(X44=Dienste!$A$20,Dienste!$C$20,IF(X44=Dienste!$A$21,Dienste!$C$21,IF(X44=Dienste!$A$22,Dienste!$C$22,IF(X44=Dienste!$A$23,Dienste!$C$23,IF(X44=Dienste!$A$24,Dienste!$C$24,IF(X44=Dienste!$A$25,Dienste!$C$25,IF(X44=Dienste!$A$26,Dienste!$C$26,IF(X44=Dienste!$A$27,Dienste!$C$27,IF(X44=Dienste!$A$28,Dienste!$C$28,IF(X44=Dienste!#REF!,Dienste!#REF!,IF(X44=Dienste!#REF!,Dienste!#REF!,IF(X44=Dienste!#REF!,Dienste!#REF!,IF(X44=Dienste!#REF!,Dienste!#REF!,IF(X44=Dienste!$A$33,Dienste!$C$33,IF(X44=Dienste!$A$34,Dienste!$C$34,IF(X44=Dienste!$A$35,Dienste!$C$35,IF(X44=Dienste!$A$36,Dienste!$C$36,)))))))))))))))))))))))))))))))))))</f>
        <v>#REF!</v>
      </c>
      <c r="BS44" s="27" t="e">
        <f>IF(Y44=Dienste!$A$2,Dienste!$C$2,IF(Y44=Dienste!$A$3,Dienste!$C$3,IF(Y44=Dienste!$A$4,Dienste!$C$4,IF(Y44=Dienste!$A$5,Dienste!$C$5,IF(Y44=Dienste!$A$6,Dienste!$C$6,IF(Y44=Dienste!$A$7,Dienste!$C$7,IF(Y44=Dienste!$A$8,Dienste!$C$8,IF(Y44=Dienste!$A$9,Dienste!$C$9,IF(Y44=Dienste!$A$10,Dienste!$C$10,IF(Y44=Dienste!$A$11,Dienste!$C$11,IF(Y44=Dienste!$A$12,Dienste!$C$12,IF(Y44=Dienste!$A$13,Dienste!$C$13,IF(Y44=Dienste!$A$14,Dienste!$C$14,IF(Y44=Dienste!$A$15,Dienste!$C$15,IF(Y44=Dienste!$A$16,Dienste!$C$16,IF(Y44=Dienste!$A$17,Dienste!$C$17,IF(Y44=Dienste!$A$18,Dienste!$C$18,IF(Y44=Dienste!$A$19,Dienste!$C$19,IF(Y44=Dienste!$A$20,Dienste!$C$20,IF(Y44=Dienste!$A$21,Dienste!$C$21,IF(Y44=Dienste!$A$22,Dienste!$C$22,IF(Y44=Dienste!$A$23,Dienste!$C$23,IF(Y44=Dienste!$A$24,Dienste!$C$24,IF(Y44=Dienste!$A$25,Dienste!$C$25,IF(Y44=Dienste!$A$26,Dienste!$C$26,IF(Y44=Dienste!$A$27,Dienste!$C$27,IF(Y44=Dienste!$A$28,Dienste!$C$28,IF(Y44=Dienste!#REF!,Dienste!#REF!,IF(Y44=Dienste!#REF!,Dienste!#REF!,IF(Y44=Dienste!#REF!,Dienste!#REF!,IF(Y44=Dienste!#REF!,Dienste!#REF!,IF(Y44=Dienste!$A$33,Dienste!$C$33,IF(Y44=Dienste!$A$34,Dienste!$C$34,IF(Y44=Dienste!$A$35,Dienste!$C$35,IF(Y44=Dienste!$A$36,Dienste!$C$36,)))))))))))))))))))))))))))))))))))</f>
        <v>#REF!</v>
      </c>
      <c r="BT44" s="27" t="e">
        <f>IF(Z44=Dienste!$A$2,Dienste!$C$2,IF(Z44=Dienste!$A$3,Dienste!$C$3,IF(Z44=Dienste!$A$4,Dienste!$C$4,IF(Z44=Dienste!$A$5,Dienste!$C$5,IF(Z44=Dienste!$A$6,Dienste!$C$6,IF(Z44=Dienste!$A$7,Dienste!$C$7,IF(Z44=Dienste!$A$8,Dienste!$C$8,IF(Z44=Dienste!$A$9,Dienste!$C$9,IF(Z44=Dienste!$A$10,Dienste!$C$10,IF(Z44=Dienste!$A$11,Dienste!$C$11,IF(Z44=Dienste!$A$12,Dienste!$C$12,IF(Z44=Dienste!$A$13,Dienste!$C$13,IF(Z44=Dienste!$A$14,Dienste!$C$14,IF(Z44=Dienste!$A$15,Dienste!$C$15,IF(Z44=Dienste!$A$16,Dienste!$C$16,IF(Z44=Dienste!$A$17,Dienste!$C$17,IF(Z44=Dienste!$A$18,Dienste!$C$18,IF(Z44=Dienste!$A$19,Dienste!$C$19,IF(Z44=Dienste!$A$20,Dienste!$C$20,IF(Z44=Dienste!$A$21,Dienste!$C$21,IF(Z44=Dienste!$A$22,Dienste!$C$22,IF(Z44=Dienste!$A$23,Dienste!$C$23,IF(Z44=Dienste!$A$24,Dienste!$C$24,IF(Z44=Dienste!$A$25,Dienste!$C$25,IF(Z44=Dienste!$A$26,Dienste!$C$26,IF(Z44=Dienste!$A$27,Dienste!$C$27,IF(Z44=Dienste!$A$28,Dienste!$C$28,IF(Z44=Dienste!#REF!,Dienste!#REF!,IF(Z44=Dienste!#REF!,Dienste!#REF!,IF(Z44=Dienste!#REF!,Dienste!#REF!,IF(Z44=Dienste!#REF!,Dienste!#REF!,IF(Z44=Dienste!$A$33,Dienste!$C$33,IF(Z44=Dienste!$A$34,Dienste!$C$34,IF(Z44=Dienste!$A$35,Dienste!$C$35,IF(Z44=Dienste!$A$36,Dienste!$C$36,)))))))))))))))))))))))))))))))))))</f>
        <v>#REF!</v>
      </c>
      <c r="BU44" s="27" t="e">
        <f>IF(AA44=Dienste!$A$2,Dienste!$C$2,IF(AA44=Dienste!$A$3,Dienste!$C$3,IF(AA44=Dienste!$A$4,Dienste!$C$4,IF(AA44=Dienste!$A$5,Dienste!$C$5,IF(AA44=Dienste!$A$6,Dienste!$C$6,IF(AA44=Dienste!$A$7,Dienste!$C$7,IF(AA44=Dienste!$A$8,Dienste!$C$8,IF(AA44=Dienste!$A$9,Dienste!$C$9,IF(AA44=Dienste!$A$10,Dienste!$C$10,IF(AA44=Dienste!$A$11,Dienste!$C$11,IF(AA44=Dienste!$A$12,Dienste!$C$12,IF(AA44=Dienste!$A$13,Dienste!$C$13,IF(AA44=Dienste!$A$14,Dienste!$C$14,IF(AA44=Dienste!$A$15,Dienste!$C$15,IF(AA44=Dienste!$A$16,Dienste!$C$16,IF(AA44=Dienste!$A$17,Dienste!$C$17,IF(AA44=Dienste!$A$18,Dienste!$C$18,IF(AA44=Dienste!$A$19,Dienste!$C$19,IF(AA44=Dienste!$A$20,Dienste!$C$20,IF(AA44=Dienste!$A$21,Dienste!$C$21,IF(AA44=Dienste!$A$22,Dienste!$C$22,IF(AA44=Dienste!$A$23,Dienste!$C$23,IF(AA44=Dienste!$A$24,Dienste!$C$24,IF(AA44=Dienste!$A$25,Dienste!$C$25,IF(AA44=Dienste!$A$26,Dienste!$C$26,IF(AA44=Dienste!$A$27,Dienste!$C$27,IF(AA44=Dienste!$A$28,Dienste!$C$28,IF(AA44=Dienste!#REF!,Dienste!#REF!,IF(AA44=Dienste!#REF!,Dienste!#REF!,IF(AA44=Dienste!#REF!,Dienste!#REF!,IF(AA44=Dienste!#REF!,Dienste!#REF!,IF(AA44=Dienste!$A$33,Dienste!$C$33,IF(AA44=Dienste!$A$34,Dienste!$C$34,IF(AA44=Dienste!$A$35,Dienste!$C$35,IF(AA44=Dienste!$A$36,Dienste!$C$36,)))))))))))))))))))))))))))))))))))</f>
        <v>#REF!</v>
      </c>
      <c r="BV44" s="27" t="e">
        <f>IF(AB44=Dienste!$A$2,Dienste!$C$2,IF(AB44=Dienste!$A$3,Dienste!$C$3,IF(AB44=Dienste!$A$4,Dienste!$C$4,IF(AB44=Dienste!$A$5,Dienste!$C$5,IF(AB44=Dienste!$A$6,Dienste!$C$6,IF(AB44=Dienste!$A$7,Dienste!$C$7,IF(AB44=Dienste!$A$8,Dienste!$C$8,IF(AB44=Dienste!$A$9,Dienste!$C$9,IF(AB44=Dienste!$A$10,Dienste!$C$10,IF(AB44=Dienste!$A$11,Dienste!$C$11,IF(AB44=Dienste!$A$12,Dienste!$C$12,IF(AB44=Dienste!$A$13,Dienste!$C$13,IF(AB44=Dienste!$A$14,Dienste!$C$14,IF(AB44=Dienste!$A$15,Dienste!$C$15,IF(AB44=Dienste!$A$16,Dienste!$C$16,IF(AB44=Dienste!$A$17,Dienste!$C$17,IF(AB44=Dienste!$A$18,Dienste!$C$18,IF(AB44=Dienste!$A$19,Dienste!$C$19,IF(AB44=Dienste!$A$20,Dienste!$C$20,IF(AB44=Dienste!$A$21,Dienste!$C$21,IF(AB44=Dienste!$A$22,Dienste!$C$22,IF(AB44=Dienste!$A$23,Dienste!$C$23,IF(AB44=Dienste!$A$24,Dienste!$C$24,IF(AB44=Dienste!$A$25,Dienste!$C$25,IF(AB44=Dienste!$A$26,Dienste!$C$26,IF(AB44=Dienste!$A$27,Dienste!$C$27,IF(AB44=Dienste!$A$28,Dienste!$C$28,IF(AB44=Dienste!#REF!,Dienste!#REF!,IF(AB44=Dienste!#REF!,Dienste!#REF!,IF(AB44=Dienste!#REF!,Dienste!#REF!,IF(AB44=Dienste!#REF!,Dienste!#REF!,IF(AB44=Dienste!$A$33,Dienste!$C$33,IF(AB44=Dienste!$A$34,Dienste!$C$34,IF(AB44=Dienste!$A$35,Dienste!$C$35,IF(AB44=Dienste!$A$36,Dienste!$C$36,)))))))))))))))))))))))))))))))))))</f>
        <v>#REF!</v>
      </c>
      <c r="BW44" s="27" t="e">
        <f>IF(AC44=Dienste!$A$2,Dienste!$C$2,IF(AC44=Dienste!$A$3,Dienste!$C$3,IF(AC44=Dienste!$A$4,Dienste!$C$4,IF(AC44=Dienste!$A$5,Dienste!$C$5,IF(AC44=Dienste!$A$6,Dienste!$C$6,IF(AC44=Dienste!$A$7,Dienste!$C$7,IF(AC44=Dienste!$A$8,Dienste!$C$8,IF(AC44=Dienste!$A$9,Dienste!$C$9,IF(AC44=Dienste!$A$10,Dienste!$C$10,IF(AC44=Dienste!$A$11,Dienste!$C$11,IF(AC44=Dienste!$A$12,Dienste!$C$12,IF(AC44=Dienste!$A$13,Dienste!$C$13,IF(AC44=Dienste!$A$14,Dienste!$C$14,IF(AC44=Dienste!$A$15,Dienste!$C$15,IF(AC44=Dienste!$A$16,Dienste!$C$16,IF(AC44=Dienste!$A$17,Dienste!$C$17,IF(AC44=Dienste!$A$18,Dienste!$C$18,IF(AC44=Dienste!$A$19,Dienste!$C$19,IF(AC44=Dienste!$A$20,Dienste!$C$20,IF(AC44=Dienste!$A$21,Dienste!$C$21,IF(AC44=Dienste!$A$22,Dienste!$C$22,IF(AC44=Dienste!$A$23,Dienste!$C$23,IF(AC44=Dienste!$A$24,Dienste!$C$24,IF(AC44=Dienste!$A$25,Dienste!$C$25,IF(AC44=Dienste!$A$26,Dienste!$C$26,IF(AC44=Dienste!$A$27,Dienste!$C$27,IF(AC44=Dienste!$A$28,Dienste!$C$28,IF(AC44=Dienste!#REF!,Dienste!#REF!,IF(AC44=Dienste!#REF!,Dienste!#REF!,IF(AC44=Dienste!#REF!,Dienste!#REF!,IF(AC44=Dienste!#REF!,Dienste!#REF!,IF(AC44=Dienste!$A$33,Dienste!$C$33,IF(AC44=Dienste!$A$34,Dienste!$C$34,IF(AC44=Dienste!$A$35,Dienste!$C$35,IF(AC44=Dienste!$A$36,Dienste!$C$36,)))))))))))))))))))))))))))))))))))</f>
        <v>#REF!</v>
      </c>
      <c r="BX44" s="27" t="e">
        <f>IF(AD44=Dienste!$A$2,Dienste!$C$2,IF(AD44=Dienste!$A$3,Dienste!$C$3,IF(AD44=Dienste!$A$4,Dienste!$C$4,IF(AD44=Dienste!$A$5,Dienste!$C$5,IF(AD44=Dienste!$A$6,Dienste!$C$6,IF(AD44=Dienste!$A$7,Dienste!$C$7,IF(AD44=Dienste!$A$8,Dienste!$C$8,IF(AD44=Dienste!$A$9,Dienste!$C$9,IF(AD44=Dienste!$A$10,Dienste!$C$10,IF(AD44=Dienste!$A$11,Dienste!$C$11,IF(AD44=Dienste!$A$12,Dienste!$C$12,IF(AD44=Dienste!$A$13,Dienste!$C$13,IF(AD44=Dienste!$A$14,Dienste!$C$14,IF(AD44=Dienste!$A$15,Dienste!$C$15,IF(AD44=Dienste!$A$16,Dienste!$C$16,IF(AD44=Dienste!$A$17,Dienste!$C$17,IF(AD44=Dienste!$A$18,Dienste!$C$18,IF(AD44=Dienste!$A$19,Dienste!$C$19,IF(AD44=Dienste!$A$20,Dienste!$C$20,IF(AD44=Dienste!$A$21,Dienste!$C$21,IF(AD44=Dienste!$A$22,Dienste!$C$22,IF(AD44=Dienste!$A$23,Dienste!$C$23,IF(AD44=Dienste!$A$24,Dienste!$C$24,IF(AD44=Dienste!$A$25,Dienste!$C$25,IF(AD44=Dienste!$A$26,Dienste!$C$26,IF(AD44=Dienste!$A$27,Dienste!$C$27,IF(AD44=Dienste!$A$28,Dienste!$C$28,IF(AD44=Dienste!#REF!,Dienste!#REF!,IF(AD44=Dienste!#REF!,Dienste!#REF!,IF(AD44=Dienste!#REF!,Dienste!#REF!,IF(AD44=Dienste!#REF!,Dienste!#REF!,IF(AD44=Dienste!$A$33,Dienste!$C$33,IF(AD44=Dienste!$A$34,Dienste!$C$34,IF(AD44=Dienste!$A$35,Dienste!$C$35,IF(AD44=Dienste!$A$36,Dienste!$C$36,)))))))))))))))))))))))))))))))))))</f>
        <v>#REF!</v>
      </c>
      <c r="BY44" s="27" t="e">
        <f>IF(AE44=Dienste!$A$2,Dienste!$C$2,IF(AE44=Dienste!$A$3,Dienste!$C$3,IF(AE44=Dienste!$A$4,Dienste!$C$4,IF(AE44=Dienste!$A$5,Dienste!$C$5,IF(AE44=Dienste!$A$6,Dienste!$C$6,IF(AE44=Dienste!$A$7,Dienste!$C$7,IF(AE44=Dienste!$A$8,Dienste!$C$8,IF(AE44=Dienste!$A$9,Dienste!$C$9,IF(AE44=Dienste!$A$10,Dienste!$C$10,IF(AE44=Dienste!$A$11,Dienste!$C$11,IF(AE44=Dienste!$A$12,Dienste!$C$12,IF(AE44=Dienste!$A$13,Dienste!$C$13,IF(AE44=Dienste!$A$14,Dienste!$C$14,IF(AE44=Dienste!$A$15,Dienste!$C$15,IF(AE44=Dienste!$A$16,Dienste!$C$16,IF(AE44=Dienste!$A$17,Dienste!$C$17,IF(AE44=Dienste!$A$18,Dienste!$C$18,IF(AE44=Dienste!$A$19,Dienste!$C$19,IF(AE44=Dienste!$A$20,Dienste!$C$20,IF(AE44=Dienste!$A$21,Dienste!$C$21,IF(AE44=Dienste!$A$22,Dienste!$C$22,IF(AE44=Dienste!$A$23,Dienste!$C$23,IF(AE44=Dienste!$A$24,Dienste!$C$24,IF(AE44=Dienste!$A$25,Dienste!$C$25,IF(AE44=Dienste!$A$26,Dienste!$C$26,IF(AE44=Dienste!$A$27,Dienste!$C$27,IF(AE44=Dienste!$A$28,Dienste!$C$28,IF(AE44=Dienste!#REF!,Dienste!#REF!,IF(AE44=Dienste!#REF!,Dienste!#REF!,IF(AE44=Dienste!#REF!,Dienste!#REF!,IF(AE44=Dienste!#REF!,Dienste!#REF!,IF(AE44=Dienste!$A$33,Dienste!$C$33,IF(AE44=Dienste!$A$34,Dienste!$C$34,IF(AE44=Dienste!$A$35,Dienste!$C$35,IF(AE44=Dienste!$A$36,Dienste!$C$36,)))))))))))))))))))))))))))))))))))</f>
        <v>#REF!</v>
      </c>
      <c r="BZ44" s="27" t="e">
        <f>IF(AF44=Dienste!$A$2,Dienste!$C$2,IF(AF44=Dienste!$A$3,Dienste!$C$3,IF(AF44=Dienste!$A$4,Dienste!$C$4,IF(AF44=Dienste!$A$5,Dienste!$C$5,IF(AF44=Dienste!$A$6,Dienste!$C$6,IF(AF44=Dienste!$A$7,Dienste!$C$7,IF(AF44=Dienste!$A$8,Dienste!$C$8,IF(AF44=Dienste!$A$9,Dienste!$C$9,IF(AF44=Dienste!$A$10,Dienste!$C$10,IF(AF44=Dienste!$A$11,Dienste!$C$11,IF(AF44=Dienste!$A$12,Dienste!$C$12,IF(AF44=Dienste!$A$13,Dienste!$C$13,IF(AF44=Dienste!$A$14,Dienste!$C$14,IF(AF44=Dienste!$A$15,Dienste!$C$15,IF(AF44=Dienste!$A$16,Dienste!$C$16,IF(AF44=Dienste!$A$17,Dienste!$C$17,IF(AF44=Dienste!$A$18,Dienste!$C$18,IF(AF44=Dienste!$A$19,Dienste!$C$19,IF(AF44=Dienste!$A$20,Dienste!$C$20,IF(AF44=Dienste!$A$21,Dienste!$C$21,IF(AF44=Dienste!$A$22,Dienste!$C$22,IF(AF44=Dienste!$A$23,Dienste!$C$23,IF(AF44=Dienste!$A$24,Dienste!$C$24,IF(AF44=Dienste!$A$25,Dienste!$C$25,IF(AF44=Dienste!$A$26,Dienste!$C$26,IF(AF44=Dienste!$A$27,Dienste!$C$27,IF(AF44=Dienste!$A$28,Dienste!$C$28,IF(AF44=Dienste!#REF!,Dienste!#REF!,IF(AF44=Dienste!#REF!,Dienste!#REF!,IF(AF44=Dienste!#REF!,Dienste!#REF!,IF(AF44=Dienste!#REF!,Dienste!#REF!,IF(AF44=Dienste!$A$33,Dienste!$C$33,IF(AF44=Dienste!$A$34,Dienste!$C$34,IF(AF44=Dienste!$A$35,Dienste!$C$35,IF(AF44=Dienste!$A$36,Dienste!$C$36,)))))))))))))))))))))))))))))))))))</f>
        <v>#REF!</v>
      </c>
      <c r="CA44" s="27" t="e">
        <f>IF(AG44=Dienste!$A$2,Dienste!$C$2,IF(AG44=Dienste!$A$3,Dienste!$C$3,IF(AG44=Dienste!$A$4,Dienste!$C$4,IF(AG44=Dienste!$A$5,Dienste!$C$5,IF(AG44=Dienste!$A$6,Dienste!$C$6,IF(AG44=Dienste!$A$7,Dienste!$C$7,IF(AG44=Dienste!$A$8,Dienste!$C$8,IF(AG44=Dienste!$A$9,Dienste!$C$9,IF(AG44=Dienste!$A$10,Dienste!$C$10,IF(AG44=Dienste!$A$11,Dienste!$C$11,IF(AG44=Dienste!$A$12,Dienste!$C$12,IF(AG44=Dienste!$A$13,Dienste!$C$13,IF(AG44=Dienste!$A$14,Dienste!$C$14,IF(AG44=Dienste!$A$15,Dienste!$C$15,IF(AG44=Dienste!$A$16,Dienste!$C$16,IF(AG44=Dienste!$A$17,Dienste!$C$17,IF(AG44=Dienste!$A$18,Dienste!$C$18,IF(AG44=Dienste!$A$19,Dienste!$C$19,IF(AG44=Dienste!$A$20,Dienste!$C$20,IF(AG44=Dienste!$A$21,Dienste!$C$21,IF(AG44=Dienste!$A$22,Dienste!$C$22,IF(AG44=Dienste!$A$23,Dienste!$C$23,IF(AG44=Dienste!$A$24,Dienste!$C$24,IF(AG44=Dienste!$A$25,Dienste!$C$25,IF(AG44=Dienste!$A$26,Dienste!$C$26,IF(AG44=Dienste!$A$27,Dienste!$C$27,IF(AG44=Dienste!$A$28,Dienste!$C$28,IF(AG44=Dienste!#REF!,Dienste!#REF!,IF(AG44=Dienste!#REF!,Dienste!#REF!,IF(AG44=Dienste!#REF!,Dienste!#REF!,IF(AG44=Dienste!#REF!,Dienste!#REF!,IF(AG44=Dienste!$A$33,Dienste!$C$33,IF(AG44=Dienste!$A$34,Dienste!$C$34,IF(AG44=Dienste!$A$35,Dienste!$C$35,IF(AG44=Dienste!$A$36,Dienste!$C$36,)))))))))))))))))))))))))))))))))))</f>
        <v>#REF!</v>
      </c>
      <c r="CB44" s="27" t="e">
        <f>IF(AH44=Dienste!$A$2,Dienste!$C$2,IF(AH44=Dienste!$A$3,Dienste!$C$3,IF(AH44=Dienste!$A$4,Dienste!$C$4,IF(AH44=Dienste!$A$5,Dienste!$C$5,IF(AH44=Dienste!$A$6,Dienste!$C$6,IF(AH44=Dienste!$A$7,Dienste!$C$7,IF(AH44=Dienste!$A$8,Dienste!$C$8,IF(AH44=Dienste!$A$9,Dienste!$C$9,IF(AH44=Dienste!$A$10,Dienste!$C$10,IF(AH44=Dienste!$A$11,Dienste!$C$11,IF(AH44=Dienste!$A$12,Dienste!$C$12,IF(AH44=Dienste!$A$13,Dienste!$C$13,IF(AH44=Dienste!$A$14,Dienste!$C$14,IF(AH44=Dienste!$A$15,Dienste!$C$15,IF(AH44=Dienste!$A$16,Dienste!$C$16,IF(AH44=Dienste!$A$17,Dienste!$C$17,IF(AH44=Dienste!$A$18,Dienste!$C$18,IF(AH44=Dienste!$A$19,Dienste!$C$19,IF(AH44=Dienste!$A$20,Dienste!$C$20,IF(AH44=Dienste!$A$21,Dienste!$C$21,IF(AH44=Dienste!$A$22,Dienste!$C$22,IF(AH44=Dienste!$A$23,Dienste!$C$23,IF(AH44=Dienste!$A$24,Dienste!$C$24,IF(AH44=Dienste!$A$25,Dienste!$C$25,IF(AH44=Dienste!$A$26,Dienste!$C$26,IF(AH44=Dienste!$A$27,Dienste!$C$27,IF(AH44=Dienste!$A$28,Dienste!$C$28,IF(AH44=Dienste!#REF!,Dienste!#REF!,IF(AH44=Dienste!#REF!,Dienste!#REF!,IF(AH44=Dienste!#REF!,Dienste!#REF!,IF(AH44=Dienste!#REF!,Dienste!#REF!,IF(AH44=Dienste!$A$33,Dienste!$C$33,IF(AH44=Dienste!$A$34,Dienste!$C$34,IF(AH44=Dienste!$A$35,Dienste!$C$35,IF(AH44=Dienste!$A$36,Dienste!$C$36,)))))))))))))))))))))))))))))))))))</f>
        <v>#REF!</v>
      </c>
      <c r="CC44" s="27" t="e">
        <f>IF(AI44=Dienste!$A$2,Dienste!$C$2,IF(AI44=Dienste!$A$3,Dienste!$C$3,IF(AI44=Dienste!$A$4,Dienste!$C$4,IF(AI44=Dienste!$A$5,Dienste!$C$5,IF(AI44=Dienste!$A$6,Dienste!$C$6,IF(AI44=Dienste!$A$7,Dienste!$C$7,IF(AI44=Dienste!$A$8,Dienste!$C$8,IF(AI44=Dienste!$A$9,Dienste!$C$9,IF(AI44=Dienste!$A$10,Dienste!$C$10,IF(AI44=Dienste!$A$11,Dienste!$C$11,IF(AI44=Dienste!$A$12,Dienste!$C$12,IF(AI44=Dienste!$A$13,Dienste!$C$13,IF(AI44=Dienste!$A$14,Dienste!$C$14,IF(AI44=Dienste!$A$15,Dienste!$C$15,IF(AI44=Dienste!$A$16,Dienste!$C$16,IF(AI44=Dienste!$A$17,Dienste!$C$17,IF(AI44=Dienste!$A$18,Dienste!$C$18,IF(AI44=Dienste!$A$19,Dienste!$C$19,IF(AI44=Dienste!$A$20,Dienste!$C$20,IF(AI44=Dienste!$A$21,Dienste!$C$21,IF(AI44=Dienste!$A$22,Dienste!$C$22,IF(AI44=Dienste!$A$23,Dienste!$C$23,IF(AI44=Dienste!$A$24,Dienste!$C$24,IF(AI44=Dienste!$A$25,Dienste!$C$25,IF(AI44=Dienste!$A$26,Dienste!$C$26,IF(AI44=Dienste!$A$27,Dienste!$C$27,IF(AI44=Dienste!$A$28,Dienste!$C$28,IF(AI44=Dienste!#REF!,Dienste!#REF!,IF(AI44=Dienste!#REF!,Dienste!#REF!,IF(AI44=Dienste!#REF!,Dienste!#REF!,IF(AI44=Dienste!#REF!,Dienste!#REF!,IF(AI44=Dienste!$A$33,Dienste!$C$33,IF(AI44=Dienste!$A$34,Dienste!$C$34,IF(AI44=Dienste!$A$35,Dienste!$C$35,IF(AI44=Dienste!$A$36,Dienste!$C$36,)))))))))))))))))))))))))))))))))))</f>
        <v>#REF!</v>
      </c>
    </row>
    <row r="45" spans="1:81" ht="15.75" thickBot="1" x14ac:dyDescent="0.3">
      <c r="A45" s="15"/>
      <c r="B45" s="15"/>
      <c r="C45" s="15"/>
      <c r="D45" s="98" t="s">
        <v>31</v>
      </c>
      <c r="E45" s="15">
        <f>COUNTIF(E$3:E$44,$D45)</f>
        <v>0</v>
      </c>
      <c r="F45" s="15">
        <f t="shared" ref="F45:AI53" si="8">COUNTIF(F$3:F$44,$D45)</f>
        <v>13</v>
      </c>
      <c r="G45" s="15">
        <f t="shared" si="8"/>
        <v>12</v>
      </c>
      <c r="H45" s="15">
        <f t="shared" si="8"/>
        <v>12</v>
      </c>
      <c r="I45" s="15">
        <f t="shared" si="8"/>
        <v>13</v>
      </c>
      <c r="J45" s="15">
        <f t="shared" si="8"/>
        <v>13</v>
      </c>
      <c r="K45" s="15">
        <f t="shared" si="8"/>
        <v>0</v>
      </c>
      <c r="L45" s="15">
        <f t="shared" si="8"/>
        <v>0</v>
      </c>
      <c r="M45" s="15">
        <f t="shared" si="8"/>
        <v>12</v>
      </c>
      <c r="N45" s="15">
        <f t="shared" si="8"/>
        <v>12</v>
      </c>
      <c r="O45" s="15">
        <f t="shared" si="8"/>
        <v>12</v>
      </c>
      <c r="P45" s="15">
        <f t="shared" si="8"/>
        <v>12</v>
      </c>
      <c r="Q45" s="15">
        <f t="shared" si="8"/>
        <v>12</v>
      </c>
      <c r="R45" s="15">
        <f t="shared" si="8"/>
        <v>0</v>
      </c>
      <c r="S45" s="15">
        <f t="shared" si="8"/>
        <v>0</v>
      </c>
      <c r="T45" s="15">
        <f t="shared" si="8"/>
        <v>12</v>
      </c>
      <c r="U45" s="15">
        <f t="shared" si="8"/>
        <v>12</v>
      </c>
      <c r="V45" s="15">
        <f t="shared" si="8"/>
        <v>12</v>
      </c>
      <c r="W45" s="15">
        <f t="shared" si="8"/>
        <v>12</v>
      </c>
      <c r="X45" s="15">
        <f t="shared" si="8"/>
        <v>12</v>
      </c>
      <c r="Y45" s="15">
        <f t="shared" si="8"/>
        <v>0</v>
      </c>
      <c r="Z45" s="15">
        <f t="shared" si="8"/>
        <v>0</v>
      </c>
      <c r="AA45" s="15">
        <f t="shared" si="8"/>
        <v>12</v>
      </c>
      <c r="AB45" s="15">
        <f t="shared" si="8"/>
        <v>12</v>
      </c>
      <c r="AC45" s="15">
        <f t="shared" si="8"/>
        <v>12</v>
      </c>
      <c r="AD45" s="15">
        <f t="shared" si="8"/>
        <v>12</v>
      </c>
      <c r="AE45" s="15">
        <f t="shared" si="8"/>
        <v>12</v>
      </c>
      <c r="AF45" s="15">
        <f t="shared" si="8"/>
        <v>0</v>
      </c>
      <c r="AG45" s="27">
        <f t="shared" si="8"/>
        <v>0</v>
      </c>
      <c r="AH45" s="27">
        <f t="shared" si="8"/>
        <v>12</v>
      </c>
      <c r="AI45" s="27">
        <f t="shared" si="8"/>
        <v>0</v>
      </c>
      <c r="AJ45" s="112">
        <f>SUM(AJ3:AJ44)</f>
        <v>407.75</v>
      </c>
      <c r="AK45" s="113">
        <f t="shared" ref="AK45:AQ45" si="9">SUM(AK3:AK44)</f>
        <v>4799.2139999999999</v>
      </c>
      <c r="AL45" s="114">
        <f t="shared" si="9"/>
        <v>4856</v>
      </c>
      <c r="AM45" s="114">
        <f t="shared" si="9"/>
        <v>464.53599999999994</v>
      </c>
      <c r="AN45" s="113">
        <f t="shared" si="9"/>
        <v>56.785999999999966</v>
      </c>
      <c r="AO45" s="114">
        <f t="shared" si="9"/>
        <v>545</v>
      </c>
      <c r="AP45" s="114">
        <f t="shared" si="9"/>
        <v>81</v>
      </c>
      <c r="AQ45" s="113">
        <f t="shared" si="9"/>
        <v>104</v>
      </c>
      <c r="AT45" s="98"/>
      <c r="AU45" s="101" t="e">
        <f>SUM(AU3:AU44)</f>
        <v>#REF!</v>
      </c>
      <c r="AV45" s="101" t="e">
        <f>SUM(AV3:AV44)</f>
        <v>#REF!</v>
      </c>
      <c r="AW45" s="101" t="e">
        <f>SUM(AW3:AW44)</f>
        <v>#REF!</v>
      </c>
    </row>
    <row r="46" spans="1:81" ht="15.75" thickTop="1" x14ac:dyDescent="0.25">
      <c r="D46" s="98" t="s">
        <v>17</v>
      </c>
      <c r="E46" s="27">
        <f t="shared" ref="E46:T60" si="10">COUNTIF(E$3:E$44,$D46)</f>
        <v>0</v>
      </c>
      <c r="F46" s="27">
        <f t="shared" si="8"/>
        <v>1</v>
      </c>
      <c r="G46" s="27">
        <f t="shared" si="8"/>
        <v>1</v>
      </c>
      <c r="H46" s="27">
        <f t="shared" si="8"/>
        <v>1</v>
      </c>
      <c r="I46" s="27">
        <f t="shared" si="8"/>
        <v>1</v>
      </c>
      <c r="J46" s="27">
        <f t="shared" si="8"/>
        <v>1</v>
      </c>
      <c r="K46" s="27">
        <f t="shared" si="8"/>
        <v>0</v>
      </c>
      <c r="L46" s="27">
        <f t="shared" si="8"/>
        <v>0</v>
      </c>
      <c r="M46" s="27">
        <f t="shared" si="8"/>
        <v>1</v>
      </c>
      <c r="N46" s="27">
        <f t="shared" si="8"/>
        <v>1</v>
      </c>
      <c r="O46" s="27">
        <f t="shared" si="8"/>
        <v>1</v>
      </c>
      <c r="P46" s="27">
        <f t="shared" si="8"/>
        <v>0</v>
      </c>
      <c r="Q46" s="27">
        <f t="shared" si="8"/>
        <v>1</v>
      </c>
      <c r="R46" s="27">
        <f t="shared" si="8"/>
        <v>0</v>
      </c>
      <c r="S46" s="27">
        <f t="shared" si="8"/>
        <v>0</v>
      </c>
      <c r="T46" s="27">
        <f t="shared" si="8"/>
        <v>1</v>
      </c>
      <c r="U46" s="27">
        <f t="shared" si="8"/>
        <v>1</v>
      </c>
      <c r="V46" s="27">
        <f t="shared" si="8"/>
        <v>1</v>
      </c>
      <c r="W46" s="27">
        <f t="shared" si="8"/>
        <v>1</v>
      </c>
      <c r="X46" s="27">
        <f t="shared" si="8"/>
        <v>1</v>
      </c>
      <c r="Y46" s="27">
        <f t="shared" si="8"/>
        <v>0</v>
      </c>
      <c r="Z46" s="27">
        <f t="shared" si="8"/>
        <v>0</v>
      </c>
      <c r="AA46" s="27">
        <f t="shared" si="8"/>
        <v>1</v>
      </c>
      <c r="AB46" s="27">
        <f t="shared" si="8"/>
        <v>1</v>
      </c>
      <c r="AC46" s="27">
        <f t="shared" si="8"/>
        <v>1</v>
      </c>
      <c r="AD46" s="27">
        <f t="shared" si="8"/>
        <v>1</v>
      </c>
      <c r="AE46" s="27">
        <f t="shared" si="8"/>
        <v>1</v>
      </c>
      <c r="AF46" s="27">
        <f t="shared" si="8"/>
        <v>0</v>
      </c>
      <c r="AG46" s="27">
        <f t="shared" si="8"/>
        <v>0</v>
      </c>
      <c r="AH46" s="27">
        <f t="shared" si="8"/>
        <v>1</v>
      </c>
      <c r="AI46" s="27">
        <f t="shared" si="8"/>
        <v>0</v>
      </c>
      <c r="AJ46" s="109"/>
    </row>
    <row r="47" spans="1:81" x14ac:dyDescent="0.25">
      <c r="D47" s="98" t="s">
        <v>53</v>
      </c>
      <c r="E47" s="27">
        <f t="shared" si="10"/>
        <v>1</v>
      </c>
      <c r="F47" s="27">
        <f t="shared" si="8"/>
        <v>1</v>
      </c>
      <c r="G47" s="27">
        <f t="shared" si="8"/>
        <v>1</v>
      </c>
      <c r="H47" s="27">
        <f t="shared" si="8"/>
        <v>1</v>
      </c>
      <c r="I47" s="27">
        <f t="shared" si="8"/>
        <v>1</v>
      </c>
      <c r="J47" s="27">
        <f t="shared" si="8"/>
        <v>1</v>
      </c>
      <c r="K47" s="27">
        <f t="shared" si="8"/>
        <v>1</v>
      </c>
      <c r="L47" s="27">
        <f t="shared" si="8"/>
        <v>1</v>
      </c>
      <c r="M47" s="27">
        <f t="shared" si="8"/>
        <v>1</v>
      </c>
      <c r="N47" s="27">
        <f t="shared" si="8"/>
        <v>1</v>
      </c>
      <c r="O47" s="27">
        <f t="shared" si="8"/>
        <v>1</v>
      </c>
      <c r="P47" s="27">
        <f t="shared" si="8"/>
        <v>1</v>
      </c>
      <c r="Q47" s="27">
        <f t="shared" si="8"/>
        <v>1</v>
      </c>
      <c r="R47" s="27">
        <f t="shared" si="8"/>
        <v>1</v>
      </c>
      <c r="S47" s="27">
        <f t="shared" si="8"/>
        <v>1</v>
      </c>
      <c r="T47" s="27">
        <f t="shared" si="8"/>
        <v>1</v>
      </c>
      <c r="U47" s="27">
        <f t="shared" si="8"/>
        <v>1</v>
      </c>
      <c r="V47" s="27">
        <f t="shared" si="8"/>
        <v>1</v>
      </c>
      <c r="W47" s="27">
        <f t="shared" si="8"/>
        <v>1</v>
      </c>
      <c r="X47" s="27">
        <f t="shared" si="8"/>
        <v>1</v>
      </c>
      <c r="Y47" s="27">
        <f t="shared" si="8"/>
        <v>1</v>
      </c>
      <c r="Z47" s="27">
        <f t="shared" si="8"/>
        <v>1</v>
      </c>
      <c r="AA47" s="27">
        <f t="shared" si="8"/>
        <v>1</v>
      </c>
      <c r="AB47" s="27">
        <f t="shared" si="8"/>
        <v>1</v>
      </c>
      <c r="AC47" s="27">
        <f t="shared" si="8"/>
        <v>1</v>
      </c>
      <c r="AD47" s="27">
        <f t="shared" si="8"/>
        <v>1</v>
      </c>
      <c r="AE47" s="27">
        <f t="shared" si="8"/>
        <v>1</v>
      </c>
      <c r="AF47" s="27">
        <f t="shared" si="8"/>
        <v>1</v>
      </c>
      <c r="AG47" s="27">
        <f t="shared" si="8"/>
        <v>1</v>
      </c>
      <c r="AH47" s="27">
        <f t="shared" si="8"/>
        <v>1</v>
      </c>
      <c r="AI47" s="27">
        <f t="shared" si="8"/>
        <v>0</v>
      </c>
      <c r="AJ47" s="109"/>
    </row>
    <row r="48" spans="1:81" x14ac:dyDescent="0.25">
      <c r="D48" s="98" t="s">
        <v>32</v>
      </c>
      <c r="E48" s="27">
        <f t="shared" si="10"/>
        <v>0</v>
      </c>
      <c r="F48" s="27">
        <f t="shared" si="8"/>
        <v>1</v>
      </c>
      <c r="G48" s="27">
        <f t="shared" si="8"/>
        <v>1</v>
      </c>
      <c r="H48" s="27">
        <f t="shared" si="8"/>
        <v>1</v>
      </c>
      <c r="I48" s="27">
        <f t="shared" si="8"/>
        <v>1</v>
      </c>
      <c r="J48" s="27">
        <f t="shared" si="8"/>
        <v>1</v>
      </c>
      <c r="K48" s="27">
        <f t="shared" si="8"/>
        <v>0</v>
      </c>
      <c r="L48" s="27">
        <f t="shared" si="8"/>
        <v>0</v>
      </c>
      <c r="M48" s="27">
        <f t="shared" si="8"/>
        <v>1</v>
      </c>
      <c r="N48" s="27">
        <f t="shared" si="8"/>
        <v>1</v>
      </c>
      <c r="O48" s="27">
        <f t="shared" si="8"/>
        <v>1</v>
      </c>
      <c r="P48" s="27">
        <f t="shared" si="8"/>
        <v>1</v>
      </c>
      <c r="Q48" s="27">
        <f t="shared" si="8"/>
        <v>1</v>
      </c>
      <c r="R48" s="27">
        <f t="shared" si="8"/>
        <v>0</v>
      </c>
      <c r="S48" s="27">
        <f t="shared" si="8"/>
        <v>0</v>
      </c>
      <c r="T48" s="27">
        <f t="shared" si="8"/>
        <v>1</v>
      </c>
      <c r="U48" s="27">
        <f t="shared" si="8"/>
        <v>1</v>
      </c>
      <c r="V48" s="27">
        <f t="shared" si="8"/>
        <v>1</v>
      </c>
      <c r="W48" s="27">
        <f t="shared" si="8"/>
        <v>1</v>
      </c>
      <c r="X48" s="27">
        <f t="shared" si="8"/>
        <v>1</v>
      </c>
      <c r="Y48" s="27">
        <f t="shared" si="8"/>
        <v>0</v>
      </c>
      <c r="Z48" s="27">
        <f t="shared" si="8"/>
        <v>0</v>
      </c>
      <c r="AA48" s="27">
        <f t="shared" si="8"/>
        <v>1</v>
      </c>
      <c r="AB48" s="27">
        <f t="shared" si="8"/>
        <v>1</v>
      </c>
      <c r="AC48" s="27">
        <f t="shared" si="8"/>
        <v>1</v>
      </c>
      <c r="AD48" s="27">
        <f t="shared" si="8"/>
        <v>1</v>
      </c>
      <c r="AE48" s="27">
        <f t="shared" si="8"/>
        <v>1</v>
      </c>
      <c r="AF48" s="27">
        <f t="shared" si="8"/>
        <v>0</v>
      </c>
      <c r="AG48" s="27">
        <f t="shared" si="8"/>
        <v>0</v>
      </c>
      <c r="AH48" s="27">
        <f t="shared" si="8"/>
        <v>1</v>
      </c>
      <c r="AI48" s="27">
        <f t="shared" si="8"/>
        <v>0</v>
      </c>
      <c r="AJ48" s="109"/>
    </row>
    <row r="49" spans="4:36" x14ac:dyDescent="0.25">
      <c r="D49" s="98" t="s">
        <v>6</v>
      </c>
      <c r="E49" s="27">
        <f t="shared" si="10"/>
        <v>0</v>
      </c>
      <c r="F49" s="27">
        <f t="shared" si="8"/>
        <v>1</v>
      </c>
      <c r="G49" s="27">
        <f t="shared" si="8"/>
        <v>1</v>
      </c>
      <c r="H49" s="27">
        <f t="shared" si="8"/>
        <v>1</v>
      </c>
      <c r="I49" s="27">
        <f t="shared" si="8"/>
        <v>1</v>
      </c>
      <c r="J49" s="27">
        <f t="shared" si="8"/>
        <v>1</v>
      </c>
      <c r="K49" s="27">
        <f t="shared" si="8"/>
        <v>0</v>
      </c>
      <c r="L49" s="27">
        <f t="shared" si="8"/>
        <v>0</v>
      </c>
      <c r="M49" s="27">
        <f t="shared" si="8"/>
        <v>1</v>
      </c>
      <c r="N49" s="27">
        <f t="shared" si="8"/>
        <v>1</v>
      </c>
      <c r="O49" s="27">
        <f t="shared" si="8"/>
        <v>1</v>
      </c>
      <c r="P49" s="27">
        <f t="shared" si="8"/>
        <v>1</v>
      </c>
      <c r="Q49" s="27">
        <f t="shared" si="8"/>
        <v>1</v>
      </c>
      <c r="R49" s="27">
        <f t="shared" si="8"/>
        <v>0</v>
      </c>
      <c r="S49" s="27">
        <f t="shared" si="8"/>
        <v>0</v>
      </c>
      <c r="T49" s="27">
        <f t="shared" si="8"/>
        <v>1</v>
      </c>
      <c r="U49" s="27">
        <f t="shared" si="8"/>
        <v>1</v>
      </c>
      <c r="V49" s="27">
        <f t="shared" si="8"/>
        <v>1</v>
      </c>
      <c r="W49" s="27">
        <f t="shared" si="8"/>
        <v>1</v>
      </c>
      <c r="X49" s="27">
        <f t="shared" si="8"/>
        <v>1</v>
      </c>
      <c r="Y49" s="27">
        <f t="shared" si="8"/>
        <v>0</v>
      </c>
      <c r="Z49" s="27">
        <f t="shared" si="8"/>
        <v>0</v>
      </c>
      <c r="AA49" s="27">
        <f t="shared" si="8"/>
        <v>1</v>
      </c>
      <c r="AB49" s="27">
        <f t="shared" si="8"/>
        <v>1</v>
      </c>
      <c r="AC49" s="27">
        <f t="shared" si="8"/>
        <v>1</v>
      </c>
      <c r="AD49" s="27">
        <f t="shared" si="8"/>
        <v>1</v>
      </c>
      <c r="AE49" s="27">
        <f t="shared" si="8"/>
        <v>1</v>
      </c>
      <c r="AF49" s="27">
        <f t="shared" si="8"/>
        <v>0</v>
      </c>
      <c r="AG49" s="27">
        <f t="shared" si="8"/>
        <v>0</v>
      </c>
      <c r="AH49" s="27">
        <f t="shared" si="8"/>
        <v>1</v>
      </c>
      <c r="AI49" s="27">
        <f t="shared" si="8"/>
        <v>0</v>
      </c>
      <c r="AJ49" s="109"/>
    </row>
    <row r="50" spans="4:36" x14ac:dyDescent="0.25">
      <c r="D50" s="98" t="s">
        <v>43</v>
      </c>
      <c r="E50" s="27">
        <f t="shared" si="10"/>
        <v>0</v>
      </c>
      <c r="F50" s="27">
        <f t="shared" si="8"/>
        <v>1</v>
      </c>
      <c r="G50" s="27">
        <f t="shared" si="8"/>
        <v>1</v>
      </c>
      <c r="H50" s="27">
        <f t="shared" si="8"/>
        <v>1</v>
      </c>
      <c r="I50" s="27">
        <f t="shared" si="8"/>
        <v>1</v>
      </c>
      <c r="J50" s="27">
        <f t="shared" si="8"/>
        <v>0</v>
      </c>
      <c r="K50" s="27">
        <f t="shared" si="8"/>
        <v>0</v>
      </c>
      <c r="L50" s="27">
        <f t="shared" si="8"/>
        <v>0</v>
      </c>
      <c r="M50" s="27">
        <f t="shared" si="8"/>
        <v>1</v>
      </c>
      <c r="N50" s="27">
        <f t="shared" si="8"/>
        <v>1</v>
      </c>
      <c r="O50" s="27">
        <f t="shared" si="8"/>
        <v>1</v>
      </c>
      <c r="P50" s="27">
        <f t="shared" si="8"/>
        <v>1</v>
      </c>
      <c r="Q50" s="27">
        <f t="shared" si="8"/>
        <v>0</v>
      </c>
      <c r="R50" s="27">
        <f t="shared" si="8"/>
        <v>0</v>
      </c>
      <c r="S50" s="27">
        <f t="shared" si="8"/>
        <v>0</v>
      </c>
      <c r="T50" s="27">
        <f t="shared" si="8"/>
        <v>1</v>
      </c>
      <c r="U50" s="27">
        <f t="shared" si="8"/>
        <v>1</v>
      </c>
      <c r="V50" s="27">
        <f t="shared" si="8"/>
        <v>1</v>
      </c>
      <c r="W50" s="27">
        <f t="shared" si="8"/>
        <v>1</v>
      </c>
      <c r="X50" s="27">
        <f t="shared" si="8"/>
        <v>0</v>
      </c>
      <c r="Y50" s="27">
        <f t="shared" si="8"/>
        <v>0</v>
      </c>
      <c r="Z50" s="27">
        <f t="shared" si="8"/>
        <v>0</v>
      </c>
      <c r="AA50" s="27">
        <f t="shared" si="8"/>
        <v>1</v>
      </c>
      <c r="AB50" s="27">
        <f t="shared" si="8"/>
        <v>1</v>
      </c>
      <c r="AC50" s="27">
        <f t="shared" si="8"/>
        <v>1</v>
      </c>
      <c r="AD50" s="27">
        <f t="shared" si="8"/>
        <v>1</v>
      </c>
      <c r="AE50" s="27">
        <f t="shared" si="8"/>
        <v>0</v>
      </c>
      <c r="AF50" s="27">
        <f t="shared" si="8"/>
        <v>0</v>
      </c>
      <c r="AG50" s="27">
        <f t="shared" si="8"/>
        <v>0</v>
      </c>
      <c r="AH50" s="27">
        <f t="shared" si="8"/>
        <v>1</v>
      </c>
      <c r="AI50" s="27">
        <f t="shared" si="8"/>
        <v>0</v>
      </c>
      <c r="AJ50" s="109"/>
    </row>
    <row r="51" spans="4:36" x14ac:dyDescent="0.25">
      <c r="D51" s="98" t="s">
        <v>80</v>
      </c>
      <c r="E51" s="27">
        <f t="shared" si="10"/>
        <v>0</v>
      </c>
      <c r="F51" s="27">
        <f t="shared" si="8"/>
        <v>0</v>
      </c>
      <c r="G51" s="27">
        <f t="shared" si="8"/>
        <v>0</v>
      </c>
      <c r="H51" s="27">
        <f t="shared" si="8"/>
        <v>0</v>
      </c>
      <c r="I51" s="27">
        <f t="shared" si="8"/>
        <v>0</v>
      </c>
      <c r="J51" s="27">
        <f t="shared" si="8"/>
        <v>1</v>
      </c>
      <c r="K51" s="27">
        <f t="shared" si="8"/>
        <v>0</v>
      </c>
      <c r="L51" s="27">
        <f t="shared" si="8"/>
        <v>0</v>
      </c>
      <c r="M51" s="27">
        <f t="shared" si="8"/>
        <v>0</v>
      </c>
      <c r="N51" s="27">
        <f t="shared" si="8"/>
        <v>0</v>
      </c>
      <c r="O51" s="27">
        <f t="shared" si="8"/>
        <v>0</v>
      </c>
      <c r="P51" s="27">
        <f t="shared" si="8"/>
        <v>0</v>
      </c>
      <c r="Q51" s="27">
        <f t="shared" si="8"/>
        <v>1</v>
      </c>
      <c r="R51" s="27">
        <f t="shared" si="8"/>
        <v>0</v>
      </c>
      <c r="S51" s="27">
        <f t="shared" si="8"/>
        <v>0</v>
      </c>
      <c r="T51" s="27">
        <f t="shared" si="8"/>
        <v>0</v>
      </c>
      <c r="U51" s="27">
        <f t="shared" si="8"/>
        <v>0</v>
      </c>
      <c r="V51" s="27">
        <f t="shared" si="8"/>
        <v>0</v>
      </c>
      <c r="W51" s="27">
        <f t="shared" si="8"/>
        <v>0</v>
      </c>
      <c r="X51" s="27">
        <f t="shared" si="8"/>
        <v>1</v>
      </c>
      <c r="Y51" s="27">
        <f t="shared" si="8"/>
        <v>0</v>
      </c>
      <c r="Z51" s="27">
        <f t="shared" si="8"/>
        <v>0</v>
      </c>
      <c r="AA51" s="27">
        <f t="shared" si="8"/>
        <v>0</v>
      </c>
      <c r="AB51" s="27">
        <f t="shared" si="8"/>
        <v>0</v>
      </c>
      <c r="AC51" s="27">
        <f t="shared" si="8"/>
        <v>0</v>
      </c>
      <c r="AD51" s="27">
        <f t="shared" si="8"/>
        <v>0</v>
      </c>
      <c r="AE51" s="27">
        <f t="shared" si="8"/>
        <v>1</v>
      </c>
      <c r="AF51" s="27">
        <f t="shared" si="8"/>
        <v>0</v>
      </c>
      <c r="AG51" s="27">
        <f t="shared" si="8"/>
        <v>0</v>
      </c>
      <c r="AH51" s="27">
        <f t="shared" si="8"/>
        <v>0</v>
      </c>
      <c r="AI51" s="27">
        <f t="shared" si="8"/>
        <v>0</v>
      </c>
      <c r="AJ51" s="109"/>
    </row>
    <row r="52" spans="4:36" x14ac:dyDescent="0.25">
      <c r="D52" s="98" t="s">
        <v>63</v>
      </c>
      <c r="E52" s="27">
        <f t="shared" si="10"/>
        <v>0</v>
      </c>
      <c r="F52" s="27">
        <f t="shared" si="8"/>
        <v>1</v>
      </c>
      <c r="G52" s="27">
        <f t="shared" si="8"/>
        <v>1</v>
      </c>
      <c r="H52" s="27">
        <f t="shared" si="8"/>
        <v>0</v>
      </c>
      <c r="I52" s="27">
        <f t="shared" si="8"/>
        <v>0</v>
      </c>
      <c r="J52" s="27">
        <f t="shared" si="8"/>
        <v>1</v>
      </c>
      <c r="K52" s="27">
        <f t="shared" si="8"/>
        <v>0</v>
      </c>
      <c r="L52" s="27">
        <f t="shared" si="8"/>
        <v>0</v>
      </c>
      <c r="M52" s="27">
        <f t="shared" si="8"/>
        <v>3</v>
      </c>
      <c r="N52" s="27">
        <f t="shared" si="8"/>
        <v>3</v>
      </c>
      <c r="O52" s="27">
        <f t="shared" si="8"/>
        <v>3</v>
      </c>
      <c r="P52" s="27">
        <f t="shared" si="8"/>
        <v>3</v>
      </c>
      <c r="Q52" s="27">
        <f t="shared" si="8"/>
        <v>3</v>
      </c>
      <c r="R52" s="27">
        <f t="shared" si="8"/>
        <v>0</v>
      </c>
      <c r="S52" s="27">
        <f t="shared" si="8"/>
        <v>0</v>
      </c>
      <c r="T52" s="27">
        <f t="shared" si="8"/>
        <v>3</v>
      </c>
      <c r="U52" s="27">
        <f t="shared" si="8"/>
        <v>3</v>
      </c>
      <c r="V52" s="27">
        <f t="shared" si="8"/>
        <v>3</v>
      </c>
      <c r="W52" s="27">
        <f t="shared" si="8"/>
        <v>3</v>
      </c>
      <c r="X52" s="27">
        <f t="shared" si="8"/>
        <v>3</v>
      </c>
      <c r="Y52" s="27">
        <f t="shared" si="8"/>
        <v>0</v>
      </c>
      <c r="Z52" s="27">
        <f t="shared" si="8"/>
        <v>0</v>
      </c>
      <c r="AA52" s="27">
        <f t="shared" si="8"/>
        <v>4</v>
      </c>
      <c r="AB52" s="27">
        <f t="shared" si="8"/>
        <v>4</v>
      </c>
      <c r="AC52" s="27">
        <f t="shared" si="8"/>
        <v>4</v>
      </c>
      <c r="AD52" s="27">
        <f t="shared" si="8"/>
        <v>4</v>
      </c>
      <c r="AE52" s="27">
        <f t="shared" si="8"/>
        <v>4</v>
      </c>
      <c r="AF52" s="27">
        <f t="shared" si="8"/>
        <v>0</v>
      </c>
      <c r="AG52" s="27">
        <f t="shared" si="8"/>
        <v>0</v>
      </c>
      <c r="AH52" s="27">
        <f t="shared" si="8"/>
        <v>3</v>
      </c>
      <c r="AI52" s="27">
        <f t="shared" si="8"/>
        <v>0</v>
      </c>
      <c r="AJ52" s="109"/>
    </row>
    <row r="53" spans="4:36" x14ac:dyDescent="0.25">
      <c r="D53" s="98" t="s">
        <v>84</v>
      </c>
      <c r="E53" s="27">
        <f t="shared" si="10"/>
        <v>0</v>
      </c>
      <c r="F53" s="27">
        <f t="shared" si="8"/>
        <v>0</v>
      </c>
      <c r="G53" s="27">
        <f t="shared" si="8"/>
        <v>0</v>
      </c>
      <c r="H53" s="27">
        <f t="shared" si="8"/>
        <v>0</v>
      </c>
      <c r="I53" s="27">
        <f t="shared" si="8"/>
        <v>0</v>
      </c>
      <c r="J53" s="27">
        <f t="shared" si="8"/>
        <v>0</v>
      </c>
      <c r="K53" s="27">
        <f t="shared" si="8"/>
        <v>3</v>
      </c>
      <c r="L53" s="27">
        <f t="shared" si="8"/>
        <v>3</v>
      </c>
      <c r="M53" s="27">
        <f t="shared" si="8"/>
        <v>0</v>
      </c>
      <c r="N53" s="27">
        <f t="shared" si="8"/>
        <v>0</v>
      </c>
      <c r="O53" s="27">
        <f t="shared" si="8"/>
        <v>0</v>
      </c>
      <c r="P53" s="27">
        <f t="shared" si="8"/>
        <v>0</v>
      </c>
      <c r="Q53" s="27">
        <f t="shared" si="8"/>
        <v>0</v>
      </c>
      <c r="R53" s="27">
        <f t="shared" si="8"/>
        <v>3</v>
      </c>
      <c r="S53" s="27">
        <f t="shared" si="8"/>
        <v>3</v>
      </c>
      <c r="T53" s="27">
        <f t="shared" si="8"/>
        <v>0</v>
      </c>
      <c r="U53" s="27">
        <f t="shared" ref="U53:AI60" si="11">COUNTIF(U$3:U$44,$D53)</f>
        <v>0</v>
      </c>
      <c r="V53" s="27">
        <f t="shared" si="11"/>
        <v>0</v>
      </c>
      <c r="W53" s="27">
        <f t="shared" si="11"/>
        <v>0</v>
      </c>
      <c r="X53" s="27">
        <f t="shared" si="11"/>
        <v>0</v>
      </c>
      <c r="Y53" s="27">
        <f t="shared" si="11"/>
        <v>5</v>
      </c>
      <c r="Z53" s="27">
        <f t="shared" si="11"/>
        <v>5</v>
      </c>
      <c r="AA53" s="27">
        <f t="shared" si="11"/>
        <v>0</v>
      </c>
      <c r="AB53" s="27">
        <f t="shared" si="11"/>
        <v>0</v>
      </c>
      <c r="AC53" s="27">
        <f t="shared" si="11"/>
        <v>0</v>
      </c>
      <c r="AD53" s="27">
        <f t="shared" si="11"/>
        <v>0</v>
      </c>
      <c r="AE53" s="27">
        <f t="shared" si="11"/>
        <v>0</v>
      </c>
      <c r="AF53" s="27">
        <f t="shared" si="11"/>
        <v>6</v>
      </c>
      <c r="AG53" s="27">
        <f t="shared" si="11"/>
        <v>5</v>
      </c>
      <c r="AH53" s="27">
        <f t="shared" si="11"/>
        <v>0</v>
      </c>
      <c r="AI53" s="27">
        <f t="shared" si="11"/>
        <v>0</v>
      </c>
      <c r="AJ53" s="109"/>
    </row>
    <row r="54" spans="4:36" x14ac:dyDescent="0.25">
      <c r="D54" s="98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J54" s="109"/>
    </row>
    <row r="55" spans="4:36" x14ac:dyDescent="0.25">
      <c r="D55" s="98" t="s">
        <v>169</v>
      </c>
      <c r="E55" s="27">
        <f t="shared" si="10"/>
        <v>0</v>
      </c>
      <c r="F55" s="27">
        <f t="shared" si="10"/>
        <v>0</v>
      </c>
      <c r="G55" s="27">
        <f t="shared" si="10"/>
        <v>0</v>
      </c>
      <c r="H55" s="27">
        <f t="shared" si="10"/>
        <v>0</v>
      </c>
      <c r="I55" s="27">
        <f t="shared" si="10"/>
        <v>0</v>
      </c>
      <c r="J55" s="27">
        <f t="shared" si="10"/>
        <v>0</v>
      </c>
      <c r="K55" s="27">
        <f t="shared" si="10"/>
        <v>0</v>
      </c>
      <c r="L55" s="27">
        <f t="shared" si="10"/>
        <v>0</v>
      </c>
      <c r="M55" s="27">
        <f t="shared" si="10"/>
        <v>0</v>
      </c>
      <c r="N55" s="27">
        <f t="shared" si="10"/>
        <v>0</v>
      </c>
      <c r="O55" s="27">
        <f t="shared" si="10"/>
        <v>0</v>
      </c>
      <c r="P55" s="27">
        <f t="shared" si="10"/>
        <v>0</v>
      </c>
      <c r="Q55" s="27">
        <f t="shared" si="10"/>
        <v>0</v>
      </c>
      <c r="R55" s="27">
        <f t="shared" si="10"/>
        <v>0</v>
      </c>
      <c r="S55" s="27">
        <f t="shared" si="10"/>
        <v>0</v>
      </c>
      <c r="T55" s="27">
        <f t="shared" si="10"/>
        <v>0</v>
      </c>
      <c r="U55" s="27">
        <f t="shared" si="11"/>
        <v>0</v>
      </c>
      <c r="V55" s="27">
        <f t="shared" si="11"/>
        <v>0</v>
      </c>
      <c r="W55" s="27">
        <f t="shared" si="11"/>
        <v>0</v>
      </c>
      <c r="X55" s="27">
        <f t="shared" si="11"/>
        <v>0</v>
      </c>
      <c r="Y55" s="27">
        <f t="shared" si="11"/>
        <v>0</v>
      </c>
      <c r="Z55" s="27">
        <f t="shared" si="11"/>
        <v>0</v>
      </c>
      <c r="AA55" s="27">
        <f t="shared" si="11"/>
        <v>0</v>
      </c>
      <c r="AB55" s="27">
        <f t="shared" si="11"/>
        <v>0</v>
      </c>
      <c r="AC55" s="27">
        <f t="shared" si="11"/>
        <v>0</v>
      </c>
      <c r="AD55" s="27">
        <f t="shared" si="11"/>
        <v>0</v>
      </c>
      <c r="AE55" s="27">
        <f t="shared" si="11"/>
        <v>0</v>
      </c>
      <c r="AF55" s="27">
        <f t="shared" si="11"/>
        <v>0</v>
      </c>
      <c r="AG55" s="27">
        <f t="shared" si="11"/>
        <v>0</v>
      </c>
      <c r="AH55" s="27">
        <f t="shared" si="11"/>
        <v>0</v>
      </c>
      <c r="AI55" s="27">
        <f t="shared" si="11"/>
        <v>0</v>
      </c>
      <c r="AJ55" s="109"/>
    </row>
    <row r="56" spans="4:36" x14ac:dyDescent="0.25">
      <c r="D56" s="98" t="s">
        <v>26</v>
      </c>
      <c r="E56" s="27">
        <f t="shared" si="10"/>
        <v>1</v>
      </c>
      <c r="F56" s="27">
        <f t="shared" si="10"/>
        <v>2</v>
      </c>
      <c r="G56" s="27">
        <f t="shared" si="10"/>
        <v>2</v>
      </c>
      <c r="H56" s="27">
        <f t="shared" si="10"/>
        <v>2</v>
      </c>
      <c r="I56" s="27">
        <f t="shared" si="10"/>
        <v>2</v>
      </c>
      <c r="J56" s="27">
        <f t="shared" si="10"/>
        <v>2</v>
      </c>
      <c r="K56" s="27">
        <f t="shared" si="10"/>
        <v>1</v>
      </c>
      <c r="L56" s="27">
        <f t="shared" si="10"/>
        <v>1</v>
      </c>
      <c r="M56" s="27">
        <f t="shared" si="10"/>
        <v>2</v>
      </c>
      <c r="N56" s="27">
        <f t="shared" si="10"/>
        <v>2</v>
      </c>
      <c r="O56" s="27">
        <f t="shared" si="10"/>
        <v>2</v>
      </c>
      <c r="P56" s="27">
        <f t="shared" si="10"/>
        <v>2</v>
      </c>
      <c r="Q56" s="27">
        <f t="shared" si="10"/>
        <v>2</v>
      </c>
      <c r="R56" s="27">
        <f t="shared" si="10"/>
        <v>1</v>
      </c>
      <c r="S56" s="27">
        <f t="shared" si="10"/>
        <v>1</v>
      </c>
      <c r="T56" s="27">
        <f t="shared" si="10"/>
        <v>2</v>
      </c>
      <c r="U56" s="27">
        <f t="shared" si="11"/>
        <v>2</v>
      </c>
      <c r="V56" s="27">
        <f t="shared" si="11"/>
        <v>2</v>
      </c>
      <c r="W56" s="27">
        <f t="shared" si="11"/>
        <v>2</v>
      </c>
      <c r="X56" s="27">
        <f t="shared" si="11"/>
        <v>2</v>
      </c>
      <c r="Y56" s="27">
        <f t="shared" si="11"/>
        <v>1</v>
      </c>
      <c r="Z56" s="27">
        <f t="shared" si="11"/>
        <v>1</v>
      </c>
      <c r="AA56" s="27">
        <f t="shared" si="11"/>
        <v>2</v>
      </c>
      <c r="AB56" s="27">
        <f t="shared" si="11"/>
        <v>2</v>
      </c>
      <c r="AC56" s="27">
        <f t="shared" si="11"/>
        <v>2</v>
      </c>
      <c r="AD56" s="27">
        <f t="shared" si="11"/>
        <v>2</v>
      </c>
      <c r="AE56" s="27">
        <f t="shared" si="11"/>
        <v>2</v>
      </c>
      <c r="AF56" s="27">
        <f t="shared" si="11"/>
        <v>1</v>
      </c>
      <c r="AG56" s="27">
        <f t="shared" si="11"/>
        <v>1</v>
      </c>
      <c r="AH56" s="27">
        <f t="shared" si="11"/>
        <v>2</v>
      </c>
      <c r="AI56" s="27">
        <f t="shared" si="11"/>
        <v>0</v>
      </c>
      <c r="AJ56" s="109"/>
    </row>
    <row r="57" spans="4:36" x14ac:dyDescent="0.25">
      <c r="D57" s="98" t="s">
        <v>168</v>
      </c>
      <c r="E57" s="27">
        <f t="shared" si="10"/>
        <v>0</v>
      </c>
      <c r="F57" s="27">
        <f t="shared" si="10"/>
        <v>0</v>
      </c>
      <c r="G57" s="27">
        <f t="shared" si="10"/>
        <v>0</v>
      </c>
      <c r="H57" s="27">
        <f t="shared" si="10"/>
        <v>1</v>
      </c>
      <c r="I57" s="27">
        <f t="shared" si="10"/>
        <v>0</v>
      </c>
      <c r="J57" s="27">
        <f t="shared" si="10"/>
        <v>0</v>
      </c>
      <c r="K57" s="27">
        <f t="shared" si="10"/>
        <v>0</v>
      </c>
      <c r="L57" s="27">
        <f t="shared" si="10"/>
        <v>0</v>
      </c>
      <c r="M57" s="27">
        <f t="shared" si="10"/>
        <v>0</v>
      </c>
      <c r="N57" s="27">
        <f t="shared" si="10"/>
        <v>0</v>
      </c>
      <c r="O57" s="27">
        <f t="shared" si="10"/>
        <v>1</v>
      </c>
      <c r="P57" s="27">
        <f t="shared" si="10"/>
        <v>0</v>
      </c>
      <c r="Q57" s="27">
        <f t="shared" si="10"/>
        <v>0</v>
      </c>
      <c r="R57" s="27">
        <f t="shared" si="10"/>
        <v>0</v>
      </c>
      <c r="S57" s="27">
        <f t="shared" si="10"/>
        <v>0</v>
      </c>
      <c r="T57" s="27">
        <f t="shared" si="10"/>
        <v>0</v>
      </c>
      <c r="U57" s="27">
        <f t="shared" si="11"/>
        <v>0</v>
      </c>
      <c r="V57" s="27">
        <f t="shared" si="11"/>
        <v>1</v>
      </c>
      <c r="W57" s="27">
        <f t="shared" si="11"/>
        <v>0</v>
      </c>
      <c r="X57" s="27">
        <f t="shared" si="11"/>
        <v>0</v>
      </c>
      <c r="Y57" s="27">
        <f t="shared" si="11"/>
        <v>0</v>
      </c>
      <c r="Z57" s="27">
        <f t="shared" si="11"/>
        <v>0</v>
      </c>
      <c r="AA57" s="27">
        <f t="shared" si="11"/>
        <v>0</v>
      </c>
      <c r="AB57" s="27">
        <f t="shared" si="11"/>
        <v>0</v>
      </c>
      <c r="AC57" s="27">
        <f t="shared" si="11"/>
        <v>1</v>
      </c>
      <c r="AD57" s="27">
        <f t="shared" si="11"/>
        <v>0</v>
      </c>
      <c r="AE57" s="27">
        <f t="shared" si="11"/>
        <v>0</v>
      </c>
      <c r="AF57" s="27">
        <f t="shared" si="11"/>
        <v>0</v>
      </c>
      <c r="AG57" s="27">
        <f t="shared" si="11"/>
        <v>0</v>
      </c>
      <c r="AH57" s="27">
        <f t="shared" si="11"/>
        <v>0</v>
      </c>
      <c r="AI57" s="27">
        <f t="shared" si="11"/>
        <v>0</v>
      </c>
      <c r="AJ57" s="109"/>
    </row>
    <row r="58" spans="4:36" x14ac:dyDescent="0.25">
      <c r="D58" s="98" t="s">
        <v>60</v>
      </c>
      <c r="E58" s="27">
        <f t="shared" si="10"/>
        <v>0</v>
      </c>
      <c r="F58" s="27">
        <f t="shared" si="10"/>
        <v>1</v>
      </c>
      <c r="G58" s="27">
        <f t="shared" si="10"/>
        <v>1</v>
      </c>
      <c r="H58" s="27">
        <f t="shared" si="10"/>
        <v>1</v>
      </c>
      <c r="I58" s="27">
        <f t="shared" si="10"/>
        <v>1</v>
      </c>
      <c r="J58" s="27">
        <f t="shared" si="10"/>
        <v>1</v>
      </c>
      <c r="K58" s="27">
        <f t="shared" si="10"/>
        <v>0</v>
      </c>
      <c r="L58" s="27">
        <f t="shared" si="10"/>
        <v>0</v>
      </c>
      <c r="M58" s="27">
        <f t="shared" si="10"/>
        <v>1</v>
      </c>
      <c r="N58" s="27">
        <f t="shared" si="10"/>
        <v>1</v>
      </c>
      <c r="O58" s="27">
        <f t="shared" si="10"/>
        <v>1</v>
      </c>
      <c r="P58" s="27">
        <f t="shared" si="10"/>
        <v>1</v>
      </c>
      <c r="Q58" s="27">
        <f t="shared" si="10"/>
        <v>1</v>
      </c>
      <c r="R58" s="27">
        <f t="shared" si="10"/>
        <v>0</v>
      </c>
      <c r="S58" s="27">
        <f t="shared" si="10"/>
        <v>0</v>
      </c>
      <c r="T58" s="27">
        <f t="shared" si="10"/>
        <v>1</v>
      </c>
      <c r="U58" s="27">
        <f t="shared" si="11"/>
        <v>1</v>
      </c>
      <c r="V58" s="27">
        <f t="shared" si="11"/>
        <v>1</v>
      </c>
      <c r="W58" s="27">
        <f t="shared" si="11"/>
        <v>1</v>
      </c>
      <c r="X58" s="27">
        <f t="shared" si="11"/>
        <v>1</v>
      </c>
      <c r="Y58" s="27">
        <f t="shared" si="11"/>
        <v>0</v>
      </c>
      <c r="Z58" s="27">
        <f t="shared" si="11"/>
        <v>0</v>
      </c>
      <c r="AA58" s="27">
        <f t="shared" si="11"/>
        <v>1</v>
      </c>
      <c r="AB58" s="27">
        <f t="shared" si="11"/>
        <v>1</v>
      </c>
      <c r="AC58" s="27">
        <f t="shared" si="11"/>
        <v>1</v>
      </c>
      <c r="AD58" s="27">
        <f t="shared" si="11"/>
        <v>1</v>
      </c>
      <c r="AE58" s="27">
        <f t="shared" si="11"/>
        <v>1</v>
      </c>
      <c r="AF58" s="27">
        <f t="shared" si="11"/>
        <v>0</v>
      </c>
      <c r="AG58" s="27">
        <f t="shared" si="11"/>
        <v>0</v>
      </c>
      <c r="AH58" s="27">
        <f t="shared" si="11"/>
        <v>1</v>
      </c>
      <c r="AI58" s="27">
        <f t="shared" si="11"/>
        <v>0</v>
      </c>
      <c r="AJ58" s="109"/>
    </row>
    <row r="59" spans="4:36" x14ac:dyDescent="0.25">
      <c r="D59" s="98" t="s">
        <v>58</v>
      </c>
      <c r="E59" s="27">
        <f t="shared" si="10"/>
        <v>0</v>
      </c>
      <c r="F59" s="27">
        <f t="shared" si="10"/>
        <v>1</v>
      </c>
      <c r="G59" s="27">
        <f t="shared" si="10"/>
        <v>1</v>
      </c>
      <c r="H59" s="27">
        <f t="shared" si="10"/>
        <v>1</v>
      </c>
      <c r="I59" s="27">
        <f t="shared" si="10"/>
        <v>1</v>
      </c>
      <c r="J59" s="27">
        <f t="shared" si="10"/>
        <v>1</v>
      </c>
      <c r="K59" s="27">
        <f t="shared" si="10"/>
        <v>0</v>
      </c>
      <c r="L59" s="27">
        <f t="shared" si="10"/>
        <v>0</v>
      </c>
      <c r="M59" s="27">
        <f t="shared" si="10"/>
        <v>0</v>
      </c>
      <c r="N59" s="27">
        <f t="shared" si="10"/>
        <v>0</v>
      </c>
      <c r="O59" s="27">
        <f t="shared" si="10"/>
        <v>0</v>
      </c>
      <c r="P59" s="27">
        <f t="shared" si="10"/>
        <v>0</v>
      </c>
      <c r="Q59" s="27">
        <f t="shared" si="10"/>
        <v>0</v>
      </c>
      <c r="R59" s="27">
        <f t="shared" si="10"/>
        <v>0</v>
      </c>
      <c r="S59" s="27">
        <f t="shared" si="10"/>
        <v>0</v>
      </c>
      <c r="T59" s="27">
        <f t="shared" si="10"/>
        <v>1</v>
      </c>
      <c r="U59" s="27">
        <f t="shared" si="11"/>
        <v>1</v>
      </c>
      <c r="V59" s="27">
        <f t="shared" si="11"/>
        <v>1</v>
      </c>
      <c r="W59" s="27">
        <f t="shared" si="11"/>
        <v>1</v>
      </c>
      <c r="X59" s="27">
        <f t="shared" si="11"/>
        <v>1</v>
      </c>
      <c r="Y59" s="27">
        <f t="shared" si="11"/>
        <v>0</v>
      </c>
      <c r="Z59" s="27">
        <f t="shared" si="11"/>
        <v>0</v>
      </c>
      <c r="AA59" s="27">
        <f t="shared" si="11"/>
        <v>0</v>
      </c>
      <c r="AB59" s="27">
        <f t="shared" si="11"/>
        <v>1</v>
      </c>
      <c r="AC59" s="27">
        <f t="shared" si="11"/>
        <v>1</v>
      </c>
      <c r="AD59" s="27">
        <f t="shared" si="11"/>
        <v>0</v>
      </c>
      <c r="AE59" s="27">
        <f t="shared" si="11"/>
        <v>0</v>
      </c>
      <c r="AF59" s="27">
        <f t="shared" si="11"/>
        <v>0</v>
      </c>
      <c r="AG59" s="27">
        <f t="shared" si="11"/>
        <v>0</v>
      </c>
      <c r="AH59" s="27">
        <f t="shared" si="11"/>
        <v>1</v>
      </c>
      <c r="AI59" s="27">
        <f t="shared" si="11"/>
        <v>0</v>
      </c>
      <c r="AJ59" s="109"/>
    </row>
    <row r="60" spans="4:36" x14ac:dyDescent="0.25">
      <c r="D60" s="98" t="s">
        <v>83</v>
      </c>
      <c r="E60" s="27">
        <f t="shared" si="10"/>
        <v>27</v>
      </c>
      <c r="F60" s="27">
        <f t="shared" si="10"/>
        <v>3</v>
      </c>
      <c r="G60" s="27">
        <f t="shared" si="10"/>
        <v>2</v>
      </c>
      <c r="H60" s="27">
        <f t="shared" si="10"/>
        <v>2</v>
      </c>
      <c r="I60" s="27">
        <f t="shared" si="10"/>
        <v>1</v>
      </c>
      <c r="J60" s="27">
        <f t="shared" si="10"/>
        <v>1</v>
      </c>
      <c r="K60" s="27">
        <f t="shared" si="10"/>
        <v>24</v>
      </c>
      <c r="L60" s="27">
        <f t="shared" si="10"/>
        <v>23</v>
      </c>
      <c r="M60" s="27">
        <f t="shared" si="10"/>
        <v>2</v>
      </c>
      <c r="N60" s="27">
        <f t="shared" si="10"/>
        <v>1</v>
      </c>
      <c r="O60" s="27">
        <f t="shared" si="10"/>
        <v>0</v>
      </c>
      <c r="P60" s="27">
        <f t="shared" si="10"/>
        <v>1</v>
      </c>
      <c r="Q60" s="27">
        <f t="shared" si="10"/>
        <v>1</v>
      </c>
      <c r="R60" s="27">
        <f t="shared" si="10"/>
        <v>21</v>
      </c>
      <c r="S60" s="27">
        <f t="shared" si="10"/>
        <v>23</v>
      </c>
      <c r="T60" s="27">
        <f t="shared" si="10"/>
        <v>1</v>
      </c>
      <c r="U60" s="27">
        <f t="shared" si="11"/>
        <v>2</v>
      </c>
      <c r="V60" s="27">
        <f t="shared" si="11"/>
        <v>1</v>
      </c>
      <c r="W60" s="27">
        <f t="shared" si="11"/>
        <v>1</v>
      </c>
      <c r="X60" s="27">
        <f t="shared" si="11"/>
        <v>2</v>
      </c>
      <c r="Y60" s="27">
        <f t="shared" si="11"/>
        <v>21</v>
      </c>
      <c r="Z60" s="27">
        <f t="shared" si="11"/>
        <v>21</v>
      </c>
      <c r="AA60" s="27">
        <f t="shared" si="11"/>
        <v>1</v>
      </c>
      <c r="AB60" s="27">
        <f t="shared" si="11"/>
        <v>1</v>
      </c>
      <c r="AC60" s="27">
        <f t="shared" si="11"/>
        <v>0</v>
      </c>
      <c r="AD60" s="27">
        <f t="shared" si="11"/>
        <v>1</v>
      </c>
      <c r="AE60" s="27">
        <f t="shared" si="11"/>
        <v>1</v>
      </c>
      <c r="AF60" s="27">
        <f t="shared" si="11"/>
        <v>19</v>
      </c>
      <c r="AG60" s="27">
        <f t="shared" si="11"/>
        <v>20</v>
      </c>
      <c r="AH60" s="27">
        <f t="shared" si="11"/>
        <v>1</v>
      </c>
      <c r="AI60" s="27">
        <f t="shared" si="11"/>
        <v>0</v>
      </c>
      <c r="AJ60" s="109"/>
    </row>
    <row r="61" spans="4:36" x14ac:dyDescent="0.25">
      <c r="D61" s="98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J61" s="109"/>
    </row>
    <row r="62" spans="4:36" x14ac:dyDescent="0.25">
      <c r="D62" s="98" t="s">
        <v>224</v>
      </c>
      <c r="E62" s="27">
        <f>AnzahlPersonal-Plan1!E63</f>
        <v>4</v>
      </c>
      <c r="F62" s="27">
        <f>AnzahlPersonal-Plan1!F63</f>
        <v>22</v>
      </c>
      <c r="G62" s="27">
        <f>AnzahlPersonal-Plan1!G63</f>
        <v>23</v>
      </c>
      <c r="H62" s="27">
        <f>AnzahlPersonal-Plan1!H63</f>
        <v>23</v>
      </c>
      <c r="I62" s="27">
        <f>AnzahlPersonal-Plan1!I63</f>
        <v>24</v>
      </c>
      <c r="J62" s="27">
        <f>AnzahlPersonal-Plan1!J63</f>
        <v>22</v>
      </c>
      <c r="K62" s="27">
        <f>AnzahlPersonal-Plan1!K63</f>
        <v>4</v>
      </c>
      <c r="L62" s="27">
        <f>AnzahlPersonal-Plan1!L63</f>
        <v>5</v>
      </c>
      <c r="M62" s="27">
        <f>AnzahlPersonal-Plan1!M63</f>
        <v>21</v>
      </c>
      <c r="N62" s="27">
        <f>AnzahlPersonal-Plan1!N63</f>
        <v>22</v>
      </c>
      <c r="O62" s="27">
        <f>AnzahlPersonal-Plan1!O63</f>
        <v>21</v>
      </c>
      <c r="P62" s="27">
        <f>AnzahlPersonal-Plan1!P63</f>
        <v>19</v>
      </c>
      <c r="Q62" s="27">
        <f>AnzahlPersonal-Plan1!Q63</f>
        <v>20</v>
      </c>
      <c r="R62" s="27">
        <f>AnzahlPersonal-Plan1!R63</f>
        <v>5</v>
      </c>
      <c r="S62" s="27">
        <f>AnzahlPersonal-Plan1!S63</f>
        <v>5</v>
      </c>
      <c r="T62" s="27">
        <f>AnzahlPersonal-Plan1!T63</f>
        <v>22</v>
      </c>
      <c r="U62" s="27">
        <f>AnzahlPersonal-Plan1!U63</f>
        <v>21</v>
      </c>
      <c r="V62" s="27">
        <f>AnzahlPersonal-Plan1!V63</f>
        <v>22</v>
      </c>
      <c r="W62" s="27">
        <f>AnzahlPersonal-Plan1!W63</f>
        <v>22</v>
      </c>
      <c r="X62" s="27">
        <f>AnzahlPersonal-Plan1!X63</f>
        <v>21</v>
      </c>
      <c r="Y62" s="27">
        <f>AnzahlPersonal-Plan1!Y63</f>
        <v>5</v>
      </c>
      <c r="Z62" s="27">
        <f>AnzahlPersonal-Plan1!Z63</f>
        <v>5</v>
      </c>
      <c r="AA62" s="27">
        <f>AnzahlPersonal-Plan1!AA63</f>
        <v>21</v>
      </c>
      <c r="AB62" s="27">
        <f>AnzahlPersonal-Plan1!AB63</f>
        <v>22</v>
      </c>
      <c r="AC62" s="27">
        <f>AnzahlPersonal-Plan1!AC63</f>
        <v>23</v>
      </c>
      <c r="AD62" s="27">
        <f>AnzahlPersonal-Plan1!AD63</f>
        <v>21</v>
      </c>
      <c r="AE62" s="27">
        <f>AnzahlPersonal-Plan1!AE63</f>
        <v>20</v>
      </c>
      <c r="AF62" s="27">
        <f>AnzahlPersonal-Plan1!AF63</f>
        <v>5</v>
      </c>
      <c r="AG62" s="27">
        <f t="shared" ref="AG62:AI62" si="12">COUNTIF(AG$3:AG$44,"Frei")+COUNTIF(AG$3:AG$44,"A")+COUNTIF(AG$3:AG$44,"XBD")+COUNTIF(AG$3:AG$44,"UR")+COUNTIF(AG$3:AG$44,"UR0")+COUNTIF(AG$3:AG$44,"KR")</f>
        <v>25</v>
      </c>
      <c r="AH62" s="27">
        <f t="shared" si="12"/>
        <v>9</v>
      </c>
      <c r="AI62" s="27">
        <f t="shared" si="12"/>
        <v>0</v>
      </c>
      <c r="AJ62" s="109"/>
    </row>
    <row r="63" spans="4:36" x14ac:dyDescent="0.25">
      <c r="D63" s="98" t="s">
        <v>223</v>
      </c>
      <c r="E63" s="27">
        <f>COUNTIF(E$3:E$44,"Frei")+COUNTIF(E$3:E$44,"A")+COUNTIF(E$3:E$44,"XBD")+COUNTIF(E$3:E$44,"UR")+COUNTIF(E$3:E$44,"UR0")+COUNTIF(E$3:E$44,"KR")++COUNTIF(E$3:E$44,"FW")</f>
        <v>27</v>
      </c>
      <c r="F63" s="27">
        <f t="shared" ref="F63:AF63" si="13">COUNTIF(F$3:F$44,"Frei")+COUNTIF(F$3:F$44,"A")+COUNTIF(F$3:F$44,"XBD")+COUNTIF(F$3:F$44,"UR")+COUNTIF(F$3:F$44,"UR0")+COUNTIF(F$3:F$44,"KR")++COUNTIF(F$3:F$44,"FW")</f>
        <v>9</v>
      </c>
      <c r="G63" s="27">
        <f t="shared" si="13"/>
        <v>8</v>
      </c>
      <c r="H63" s="27">
        <f t="shared" si="13"/>
        <v>8</v>
      </c>
      <c r="I63" s="27">
        <f t="shared" si="13"/>
        <v>7</v>
      </c>
      <c r="J63" s="27">
        <f t="shared" si="13"/>
        <v>9</v>
      </c>
      <c r="K63" s="27">
        <f t="shared" si="13"/>
        <v>27</v>
      </c>
      <c r="L63" s="27">
        <f t="shared" si="13"/>
        <v>26</v>
      </c>
      <c r="M63" s="27">
        <f t="shared" si="13"/>
        <v>10</v>
      </c>
      <c r="N63" s="27">
        <f t="shared" si="13"/>
        <v>9</v>
      </c>
      <c r="O63" s="27">
        <f t="shared" si="13"/>
        <v>10</v>
      </c>
      <c r="P63" s="27">
        <f t="shared" si="13"/>
        <v>12</v>
      </c>
      <c r="Q63" s="27">
        <f t="shared" si="13"/>
        <v>11</v>
      </c>
      <c r="R63" s="27">
        <f t="shared" si="13"/>
        <v>26</v>
      </c>
      <c r="S63" s="27">
        <f t="shared" si="13"/>
        <v>26</v>
      </c>
      <c r="T63" s="27">
        <f t="shared" si="13"/>
        <v>9</v>
      </c>
      <c r="U63" s="27">
        <f t="shared" si="13"/>
        <v>10</v>
      </c>
      <c r="V63" s="27">
        <f t="shared" si="13"/>
        <v>9</v>
      </c>
      <c r="W63" s="27">
        <f t="shared" si="13"/>
        <v>9</v>
      </c>
      <c r="X63" s="27">
        <f t="shared" si="13"/>
        <v>10</v>
      </c>
      <c r="Y63" s="27">
        <f t="shared" si="13"/>
        <v>26</v>
      </c>
      <c r="Z63" s="27">
        <f t="shared" si="13"/>
        <v>26</v>
      </c>
      <c r="AA63" s="27">
        <f t="shared" si="13"/>
        <v>10</v>
      </c>
      <c r="AB63" s="27">
        <f t="shared" si="13"/>
        <v>9</v>
      </c>
      <c r="AC63" s="27">
        <f t="shared" si="13"/>
        <v>8</v>
      </c>
      <c r="AD63" s="27">
        <f t="shared" si="13"/>
        <v>10</v>
      </c>
      <c r="AE63" s="27">
        <f t="shared" si="13"/>
        <v>11</v>
      </c>
      <c r="AF63" s="27">
        <f t="shared" si="13"/>
        <v>26</v>
      </c>
      <c r="AG63" s="27">
        <f>AnzahlPersonal-Plan1!AG62</f>
        <v>6</v>
      </c>
      <c r="AH63" s="27">
        <f>AnzahlPersonal-Plan1!AH62</f>
        <v>22</v>
      </c>
      <c r="AI63" s="27">
        <f>AnzahlPersonal-Plan1!AI62</f>
        <v>31</v>
      </c>
      <c r="AJ63" s="109"/>
    </row>
  </sheetData>
  <conditionalFormatting sqref="E45:AI63">
    <cfRule type="cellIs" dxfId="16" priority="1109" operator="greaterThan">
      <formula>0</formula>
    </cfRule>
  </conditionalFormatting>
  <conditionalFormatting sqref="E3:AH33">
    <cfRule type="containsText" dxfId="15" priority="1" operator="containsText" text="AO">
      <formula>NOT(ISERROR(SEARCH("AO",E3)))</formula>
    </cfRule>
    <cfRule type="containsText" dxfId="14" priority="2" operator="containsText" text="BD3">
      <formula>NOT(ISERROR(SEARCH("BD3",E3)))</formula>
    </cfRule>
    <cfRule type="containsText" dxfId="13" priority="3" operator="containsText" text="V93">
      <formula>NOT(ISERROR(SEARCH("V93",E3)))</formula>
    </cfRule>
    <cfRule type="containsText" dxfId="12" priority="4" operator="containsText" text="Z4">
      <formula>NOT(ISERROR(SEARCH("Z4",E3)))</formula>
    </cfRule>
    <cfRule type="containsText" dxfId="11" priority="5" operator="containsText" text="IOP">
      <formula>NOT(ISERROR(SEARCH("IOP",E3)))</formula>
    </cfRule>
    <cfRule type="containsText" dxfId="10" priority="6" operator="containsText" text="IO">
      <formula>NOT(ISERROR(SEARCH("IO",E3)))</formula>
    </cfRule>
    <cfRule type="containsText" dxfId="9" priority="7" operator="containsText" text="ZD">
      <formula>NOT(ISERROR(SEARCH("ZD",E3)))</formula>
    </cfRule>
    <cfRule type="containsText" dxfId="8" priority="8" operator="containsText" text="IOP">
      <formula>NOT(ISERROR(SEARCH("IOP",E3)))</formula>
    </cfRule>
    <cfRule type="containsText" dxfId="7" priority="9" operator="containsText" text="OP">
      <formula>NOT(ISERROR(SEARCH("OP",E3)))</formula>
    </cfRule>
    <cfRule type="containsText" dxfId="6" priority="10" operator="containsText" text="UR">
      <formula>NOT(ISERROR(SEARCH("UR",E3)))</formula>
    </cfRule>
    <cfRule type="containsText" dxfId="5" priority="11" operator="containsText" text="Frei">
      <formula>NOT(ISERROR(SEARCH("Frei",E3)))</formula>
    </cfRule>
    <cfRule type="containsText" dxfId="4" priority="12" operator="containsText" text="BD1">
      <formula>NOT(ISERROR(SEARCH("BD1",E3)))</formula>
    </cfRule>
    <cfRule type="containsText" dxfId="3" priority="13" operator="containsText" text="PM">
      <formula>NOT(ISERROR(SEARCH("PM",E3)))</formula>
    </cfRule>
    <cfRule type="containsText" dxfId="2" priority="14" operator="containsText" text="S1">
      <formula>NOT(ISERROR(SEARCH("S1",E3)))</formula>
    </cfRule>
    <cfRule type="containsText" dxfId="1" priority="15" operator="containsText" text="A73">
      <formula>NOT(ISERROR(SEARCH("A73",E3)))</formula>
    </cfRule>
    <cfRule type="containsText" dxfId="0" priority="16" operator="containsText" text="A">
      <formula>NOT(ISERROR(SEARCH("A",E3)))</formula>
    </cfRule>
  </conditionalFormatting>
  <pageMargins left="0.51181102362204722" right="0.51181102362204722" top="0.78740157480314965" bottom="0.78740157480314965" header="0.11811023622047245" footer="0.11811023622047245"/>
  <pageSetup paperSize="9" scale="41" orientation="landscape" r:id="rId1"/>
  <headerFooter>
    <oddHeader xml:space="preserve">&amp;LDatum/Uhrzeit: &amp;D  &amp;T </oddHeader>
    <oddFooter>&amp;CANÄSTHESIE ÄD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X746"/>
  <sheetViews>
    <sheetView tabSelected="1" zoomScale="80" zoomScaleNormal="80" workbookViewId="0">
      <selection activeCell="Q22" sqref="Q22"/>
    </sheetView>
  </sheetViews>
  <sheetFormatPr baseColWidth="10" defaultRowHeight="15" x14ac:dyDescent="0.25"/>
  <cols>
    <col min="14" max="14" width="14.42578125" customWidth="1"/>
    <col min="21" max="24" width="11.42578125" style="15"/>
  </cols>
  <sheetData>
    <row r="1" spans="1:18" x14ac:dyDescent="0.25">
      <c r="A1" t="s">
        <v>165</v>
      </c>
      <c r="G1" t="s">
        <v>166</v>
      </c>
      <c r="L1" s="10" t="s">
        <v>163</v>
      </c>
      <c r="M1" s="10"/>
      <c r="O1" t="s">
        <v>167</v>
      </c>
    </row>
    <row r="2" spans="1:18" x14ac:dyDescent="0.25">
      <c r="A2" s="8" t="s">
        <v>162</v>
      </c>
      <c r="B2" s="8">
        <v>1</v>
      </c>
      <c r="C2" s="8" t="s">
        <v>164</v>
      </c>
      <c r="D2" s="8">
        <v>1</v>
      </c>
      <c r="G2" s="8" t="s">
        <v>162</v>
      </c>
      <c r="H2" s="8">
        <v>1</v>
      </c>
      <c r="I2" s="8" t="s">
        <v>164</v>
      </c>
      <c r="J2" s="8">
        <v>1</v>
      </c>
      <c r="L2" s="28" t="s">
        <v>229</v>
      </c>
      <c r="M2" s="10">
        <v>0</v>
      </c>
      <c r="O2" s="8" t="s">
        <v>162</v>
      </c>
      <c r="P2" s="8">
        <v>1</v>
      </c>
      <c r="Q2" s="8" t="s">
        <v>164</v>
      </c>
      <c r="R2" s="8">
        <v>1</v>
      </c>
    </row>
    <row r="3" spans="1:18" x14ac:dyDescent="0.25">
      <c r="A3" s="15" t="s">
        <v>334</v>
      </c>
      <c r="B3" s="15">
        <v>-6</v>
      </c>
      <c r="C3" s="15" t="s">
        <v>26</v>
      </c>
      <c r="D3" s="15">
        <v>1</v>
      </c>
      <c r="G3" s="15" t="s">
        <v>334</v>
      </c>
      <c r="H3" s="15">
        <v>7</v>
      </c>
      <c r="I3" s="15" t="s">
        <v>84</v>
      </c>
      <c r="J3" s="15">
        <v>1</v>
      </c>
      <c r="L3" s="10" t="s">
        <v>121</v>
      </c>
      <c r="M3" s="10"/>
      <c r="O3" s="27"/>
    </row>
    <row r="4" spans="1:18" x14ac:dyDescent="0.25">
      <c r="A4" s="15" t="s">
        <v>334</v>
      </c>
      <c r="B4" s="15">
        <v>-5</v>
      </c>
      <c r="C4" s="15" t="s">
        <v>26</v>
      </c>
      <c r="D4" s="15">
        <v>1</v>
      </c>
      <c r="G4" s="15" t="s">
        <v>334</v>
      </c>
      <c r="H4" s="15">
        <v>8</v>
      </c>
      <c r="I4" s="15" t="s">
        <v>84</v>
      </c>
      <c r="J4" s="15">
        <v>1</v>
      </c>
      <c r="L4" s="28">
        <v>6</v>
      </c>
      <c r="M4" s="10"/>
      <c r="O4" s="27"/>
    </row>
    <row r="5" spans="1:18" x14ac:dyDescent="0.25">
      <c r="A5" s="15" t="s">
        <v>334</v>
      </c>
      <c r="B5" s="15">
        <v>-4</v>
      </c>
      <c r="C5" s="15" t="s">
        <v>83</v>
      </c>
      <c r="D5" s="15">
        <v>1</v>
      </c>
      <c r="G5" s="15" t="s">
        <v>334</v>
      </c>
      <c r="H5" s="15">
        <v>9</v>
      </c>
      <c r="I5" s="15" t="s">
        <v>63</v>
      </c>
      <c r="J5" s="15">
        <v>1</v>
      </c>
      <c r="O5" s="27"/>
    </row>
    <row r="6" spans="1:18" x14ac:dyDescent="0.25">
      <c r="A6" s="15" t="s">
        <v>334</v>
      </c>
      <c r="B6" s="15">
        <v>-3</v>
      </c>
      <c r="C6" s="15" t="s">
        <v>83</v>
      </c>
      <c r="D6" s="15">
        <v>1</v>
      </c>
      <c r="G6" s="15" t="s">
        <v>334</v>
      </c>
      <c r="H6" s="15">
        <v>10</v>
      </c>
      <c r="I6" s="15" t="s">
        <v>63</v>
      </c>
      <c r="J6" s="15">
        <v>1</v>
      </c>
      <c r="O6" s="27"/>
    </row>
    <row r="7" spans="1:18" x14ac:dyDescent="0.25">
      <c r="A7" s="15" t="s">
        <v>334</v>
      </c>
      <c r="B7" s="15">
        <v>-2</v>
      </c>
      <c r="C7" s="15" t="s">
        <v>5</v>
      </c>
      <c r="D7" s="15">
        <v>1</v>
      </c>
      <c r="G7" s="15" t="s">
        <v>334</v>
      </c>
      <c r="H7" s="15">
        <v>11</v>
      </c>
      <c r="I7" s="15" t="s">
        <v>63</v>
      </c>
      <c r="J7" s="15">
        <v>1</v>
      </c>
      <c r="O7" s="27"/>
      <c r="P7" s="27"/>
      <c r="Q7" s="27"/>
      <c r="R7" s="27"/>
    </row>
    <row r="8" spans="1:18" x14ac:dyDescent="0.25">
      <c r="A8" s="15" t="s">
        <v>334</v>
      </c>
      <c r="B8" s="15">
        <v>-1</v>
      </c>
      <c r="C8" s="15" t="s">
        <v>5</v>
      </c>
      <c r="D8" s="15">
        <v>1</v>
      </c>
      <c r="G8" s="15" t="s">
        <v>334</v>
      </c>
      <c r="H8" s="15">
        <v>12</v>
      </c>
      <c r="I8" s="15" t="s">
        <v>63</v>
      </c>
      <c r="J8" s="15">
        <v>1</v>
      </c>
      <c r="O8" s="27"/>
      <c r="P8" s="27"/>
      <c r="Q8" s="27"/>
      <c r="R8" s="27"/>
    </row>
    <row r="9" spans="1:18" x14ac:dyDescent="0.25">
      <c r="A9" s="15" t="s">
        <v>334</v>
      </c>
      <c r="B9" s="15">
        <v>0</v>
      </c>
      <c r="C9" s="15" t="s">
        <v>83</v>
      </c>
      <c r="D9" s="15">
        <v>1</v>
      </c>
      <c r="G9" s="15" t="s">
        <v>334</v>
      </c>
      <c r="H9" s="15">
        <v>13</v>
      </c>
      <c r="I9" s="15" t="s">
        <v>63</v>
      </c>
      <c r="J9" s="15">
        <v>1</v>
      </c>
      <c r="O9" s="27"/>
      <c r="P9" s="27"/>
      <c r="Q9" s="27"/>
      <c r="R9" s="27"/>
    </row>
    <row r="10" spans="1:18" x14ac:dyDescent="0.25">
      <c r="A10" s="15" t="s">
        <v>334</v>
      </c>
      <c r="B10" s="15">
        <v>1</v>
      </c>
      <c r="C10" s="15" t="s">
        <v>83</v>
      </c>
      <c r="D10" s="15">
        <v>1</v>
      </c>
      <c r="G10" s="15" t="s">
        <v>334</v>
      </c>
      <c r="H10" s="15">
        <v>14</v>
      </c>
      <c r="I10" s="15" t="s">
        <v>84</v>
      </c>
      <c r="J10" s="15">
        <v>1</v>
      </c>
      <c r="L10" t="s">
        <v>212</v>
      </c>
      <c r="O10" s="27"/>
      <c r="P10" s="27"/>
      <c r="Q10" s="27"/>
      <c r="R10" s="27"/>
    </row>
    <row r="11" spans="1:18" x14ac:dyDescent="0.25">
      <c r="A11" s="15" t="s">
        <v>334</v>
      </c>
      <c r="B11" s="15">
        <v>2</v>
      </c>
      <c r="C11" s="15" t="s">
        <v>5</v>
      </c>
      <c r="D11" s="15">
        <v>1</v>
      </c>
      <c r="G11" s="15" t="s">
        <v>334</v>
      </c>
      <c r="H11" s="15">
        <v>15</v>
      </c>
      <c r="I11" s="15" t="s">
        <v>84</v>
      </c>
      <c r="J11" s="15">
        <v>1</v>
      </c>
      <c r="L11" t="s">
        <v>213</v>
      </c>
    </row>
    <row r="12" spans="1:18" x14ac:dyDescent="0.25">
      <c r="A12" s="15" t="s">
        <v>334</v>
      </c>
      <c r="B12" s="15">
        <v>3</v>
      </c>
      <c r="C12" s="15" t="s">
        <v>31</v>
      </c>
      <c r="D12" s="15">
        <v>1</v>
      </c>
      <c r="G12" s="15" t="s">
        <v>334</v>
      </c>
      <c r="H12" s="15">
        <v>16</v>
      </c>
      <c r="I12" s="15" t="s">
        <v>31</v>
      </c>
      <c r="J12" s="15">
        <v>1</v>
      </c>
    </row>
    <row r="13" spans="1:18" x14ac:dyDescent="0.25">
      <c r="A13" s="15" t="s">
        <v>334</v>
      </c>
      <c r="B13" s="15">
        <v>4</v>
      </c>
      <c r="C13" s="15" t="s">
        <v>83</v>
      </c>
      <c r="D13" s="15">
        <v>1</v>
      </c>
      <c r="G13" s="15" t="s">
        <v>334</v>
      </c>
      <c r="H13" s="15">
        <v>17</v>
      </c>
      <c r="I13" s="15" t="s">
        <v>5</v>
      </c>
      <c r="J13" s="15">
        <v>1</v>
      </c>
    </row>
    <row r="14" spans="1:18" x14ac:dyDescent="0.25">
      <c r="A14" s="15" t="s">
        <v>334</v>
      </c>
      <c r="B14" s="15">
        <v>5</v>
      </c>
      <c r="C14" s="15" t="s">
        <v>31</v>
      </c>
      <c r="D14" s="15">
        <v>1</v>
      </c>
      <c r="G14" s="15" t="s">
        <v>334</v>
      </c>
      <c r="H14" s="15">
        <v>18</v>
      </c>
      <c r="I14" s="15" t="s">
        <v>31</v>
      </c>
      <c r="J14" s="15">
        <v>1</v>
      </c>
    </row>
    <row r="15" spans="1:18" x14ac:dyDescent="0.25">
      <c r="A15" s="15" t="s">
        <v>334</v>
      </c>
      <c r="B15" s="15">
        <v>6</v>
      </c>
      <c r="C15" s="15" t="s">
        <v>5</v>
      </c>
      <c r="D15" s="15">
        <v>1</v>
      </c>
      <c r="G15" s="15" t="s">
        <v>334</v>
      </c>
      <c r="H15" s="15">
        <v>19</v>
      </c>
      <c r="I15" s="15" t="s">
        <v>43</v>
      </c>
      <c r="J15" s="15">
        <v>1</v>
      </c>
    </row>
    <row r="16" spans="1:18" x14ac:dyDescent="0.25">
      <c r="A16" s="15" t="s">
        <v>334</v>
      </c>
      <c r="B16" s="15">
        <v>7</v>
      </c>
      <c r="C16" s="15" t="s">
        <v>84</v>
      </c>
      <c r="D16" s="15">
        <v>1</v>
      </c>
      <c r="G16" s="15" t="s">
        <v>334</v>
      </c>
      <c r="H16" s="15">
        <v>20</v>
      </c>
      <c r="I16" s="15" t="s">
        <v>31</v>
      </c>
      <c r="J16" s="15">
        <v>1</v>
      </c>
    </row>
    <row r="17" spans="1:10" x14ac:dyDescent="0.25">
      <c r="A17" s="15" t="s">
        <v>334</v>
      </c>
      <c r="B17" s="15">
        <v>8</v>
      </c>
      <c r="C17" s="15" t="s">
        <v>84</v>
      </c>
      <c r="D17" s="15">
        <v>1</v>
      </c>
      <c r="G17" s="15" t="s">
        <v>334</v>
      </c>
      <c r="H17" s="15">
        <v>21</v>
      </c>
      <c r="I17" s="15" t="s">
        <v>83</v>
      </c>
      <c r="J17" s="15">
        <v>1</v>
      </c>
    </row>
    <row r="18" spans="1:10" x14ac:dyDescent="0.25">
      <c r="A18" s="15" t="s">
        <v>334</v>
      </c>
      <c r="B18" s="15">
        <v>9</v>
      </c>
      <c r="C18" s="15" t="s">
        <v>63</v>
      </c>
      <c r="D18" s="15">
        <v>1</v>
      </c>
      <c r="G18" s="15" t="s">
        <v>334</v>
      </c>
      <c r="H18" s="15">
        <v>22</v>
      </c>
      <c r="I18" s="15" t="s">
        <v>83</v>
      </c>
      <c r="J18" s="15">
        <v>1</v>
      </c>
    </row>
    <row r="19" spans="1:10" x14ac:dyDescent="0.25">
      <c r="A19" s="15" t="s">
        <v>334</v>
      </c>
      <c r="B19" s="15">
        <v>10</v>
      </c>
      <c r="C19" s="15" t="s">
        <v>63</v>
      </c>
      <c r="D19" s="15">
        <v>1</v>
      </c>
      <c r="G19" s="15" t="s">
        <v>334</v>
      </c>
      <c r="H19" s="15">
        <v>23</v>
      </c>
      <c r="I19" s="15" t="s">
        <v>31</v>
      </c>
      <c r="J19" s="15">
        <v>1</v>
      </c>
    </row>
    <row r="20" spans="1:10" x14ac:dyDescent="0.25">
      <c r="A20" s="15" t="s">
        <v>334</v>
      </c>
      <c r="B20" s="15">
        <v>11</v>
      </c>
      <c r="C20" s="15" t="s">
        <v>63</v>
      </c>
      <c r="D20" s="15">
        <v>1</v>
      </c>
      <c r="G20" s="15" t="s">
        <v>334</v>
      </c>
      <c r="H20" s="15">
        <v>24</v>
      </c>
      <c r="I20" s="15" t="s">
        <v>31</v>
      </c>
      <c r="J20" s="15">
        <v>1</v>
      </c>
    </row>
    <row r="21" spans="1:10" x14ac:dyDescent="0.25">
      <c r="A21" s="15" t="s">
        <v>334</v>
      </c>
      <c r="B21" s="15">
        <v>12</v>
      </c>
      <c r="C21" s="15" t="s">
        <v>63</v>
      </c>
      <c r="D21" s="15">
        <v>1</v>
      </c>
      <c r="G21" s="15" t="s">
        <v>334</v>
      </c>
      <c r="H21" s="15">
        <v>25</v>
      </c>
      <c r="I21" s="15" t="s">
        <v>5</v>
      </c>
      <c r="J21" s="15">
        <v>1</v>
      </c>
    </row>
    <row r="22" spans="1:10" x14ac:dyDescent="0.25">
      <c r="A22" s="15" t="s">
        <v>334</v>
      </c>
      <c r="B22" s="15">
        <v>13</v>
      </c>
      <c r="C22" s="15" t="s">
        <v>63</v>
      </c>
      <c r="D22" s="15">
        <v>1</v>
      </c>
      <c r="G22" s="15" t="s">
        <v>334</v>
      </c>
      <c r="H22" s="15">
        <v>26</v>
      </c>
      <c r="I22" s="15" t="s">
        <v>31</v>
      </c>
      <c r="J22" s="15">
        <v>1</v>
      </c>
    </row>
    <row r="23" spans="1:10" x14ac:dyDescent="0.25">
      <c r="A23" s="15" t="s">
        <v>334</v>
      </c>
      <c r="B23" s="15">
        <v>14</v>
      </c>
      <c r="C23" s="15" t="s">
        <v>84</v>
      </c>
      <c r="D23" s="15">
        <v>1</v>
      </c>
      <c r="G23" s="15" t="s">
        <v>334</v>
      </c>
      <c r="H23" s="15">
        <v>27</v>
      </c>
      <c r="I23" s="15" t="s">
        <v>6</v>
      </c>
      <c r="J23" s="15">
        <v>1</v>
      </c>
    </row>
    <row r="24" spans="1:10" x14ac:dyDescent="0.25">
      <c r="A24" s="15" t="s">
        <v>334</v>
      </c>
      <c r="B24" s="15">
        <v>15</v>
      </c>
      <c r="C24" s="15" t="s">
        <v>84</v>
      </c>
      <c r="D24" s="15">
        <v>1</v>
      </c>
      <c r="G24" s="15" t="s">
        <v>334</v>
      </c>
      <c r="H24" s="15">
        <v>28</v>
      </c>
      <c r="I24" s="15" t="s">
        <v>83</v>
      </c>
      <c r="J24" s="15">
        <v>1</v>
      </c>
    </row>
    <row r="25" spans="1:10" x14ac:dyDescent="0.25">
      <c r="A25" s="15" t="s">
        <v>122</v>
      </c>
      <c r="B25" s="15">
        <v>-6</v>
      </c>
      <c r="C25" s="15" t="s">
        <v>83</v>
      </c>
      <c r="D25" s="15">
        <v>1</v>
      </c>
      <c r="G25" s="15" t="s">
        <v>334</v>
      </c>
      <c r="H25" s="15">
        <v>29</v>
      </c>
      <c r="I25" s="15" t="s">
        <v>83</v>
      </c>
      <c r="J25" s="15">
        <v>1</v>
      </c>
    </row>
    <row r="26" spans="1:10" x14ac:dyDescent="0.25">
      <c r="A26" s="15" t="s">
        <v>122</v>
      </c>
      <c r="B26" s="15">
        <v>-5</v>
      </c>
      <c r="C26" s="15" t="s">
        <v>5</v>
      </c>
      <c r="D26" s="15">
        <v>1</v>
      </c>
      <c r="G26" s="15" t="s">
        <v>334</v>
      </c>
      <c r="H26" s="15">
        <v>30</v>
      </c>
      <c r="I26" s="15" t="s">
        <v>31</v>
      </c>
      <c r="J26" s="15">
        <v>1</v>
      </c>
    </row>
    <row r="27" spans="1:10" x14ac:dyDescent="0.25">
      <c r="A27" s="15" t="s">
        <v>122</v>
      </c>
      <c r="B27" s="15">
        <v>-4</v>
      </c>
      <c r="C27" s="15" t="s">
        <v>31</v>
      </c>
      <c r="D27" s="15">
        <v>1</v>
      </c>
      <c r="G27" s="15" t="s">
        <v>122</v>
      </c>
      <c r="H27" s="15">
        <v>7</v>
      </c>
      <c r="I27" s="15" t="s">
        <v>83</v>
      </c>
      <c r="J27" s="15">
        <v>1</v>
      </c>
    </row>
    <row r="28" spans="1:10" x14ac:dyDescent="0.25">
      <c r="A28" s="15" t="s">
        <v>122</v>
      </c>
      <c r="B28" s="15">
        <v>-3</v>
      </c>
      <c r="C28" s="15" t="s">
        <v>31</v>
      </c>
      <c r="D28" s="15">
        <v>1</v>
      </c>
      <c r="G28" s="15" t="s">
        <v>122</v>
      </c>
      <c r="H28" s="15">
        <v>8</v>
      </c>
      <c r="I28" s="15" t="s">
        <v>83</v>
      </c>
      <c r="J28" s="15">
        <v>1</v>
      </c>
    </row>
    <row r="29" spans="1:10" x14ac:dyDescent="0.25">
      <c r="A29" s="15" t="s">
        <v>122</v>
      </c>
      <c r="B29" s="15">
        <v>-2</v>
      </c>
      <c r="C29" s="15" t="s">
        <v>5</v>
      </c>
      <c r="D29" s="15">
        <v>1</v>
      </c>
      <c r="G29" s="15" t="s">
        <v>122</v>
      </c>
      <c r="H29" s="15">
        <v>9</v>
      </c>
      <c r="I29" s="15" t="s">
        <v>5</v>
      </c>
      <c r="J29" s="15">
        <v>1</v>
      </c>
    </row>
    <row r="30" spans="1:10" x14ac:dyDescent="0.25">
      <c r="A30" s="15" t="s">
        <v>122</v>
      </c>
      <c r="B30" s="15">
        <v>-1</v>
      </c>
      <c r="C30" s="15" t="s">
        <v>5</v>
      </c>
      <c r="D30" s="15">
        <v>1</v>
      </c>
      <c r="G30" s="15" t="s">
        <v>122</v>
      </c>
      <c r="H30" s="15">
        <v>10</v>
      </c>
      <c r="I30" s="15" t="s">
        <v>31</v>
      </c>
      <c r="J30" s="15">
        <v>1</v>
      </c>
    </row>
    <row r="31" spans="1:10" x14ac:dyDescent="0.25">
      <c r="A31" s="15" t="s">
        <v>122</v>
      </c>
      <c r="B31" s="15">
        <v>0</v>
      </c>
      <c r="C31" s="15" t="s">
        <v>83</v>
      </c>
      <c r="D31" s="15">
        <v>1</v>
      </c>
      <c r="G31" s="15" t="s">
        <v>122</v>
      </c>
      <c r="H31" s="15">
        <v>11</v>
      </c>
      <c r="I31" s="15" t="s">
        <v>32</v>
      </c>
      <c r="J31" s="15">
        <v>1</v>
      </c>
    </row>
    <row r="32" spans="1:10" x14ac:dyDescent="0.25">
      <c r="A32" s="15" t="s">
        <v>122</v>
      </c>
      <c r="B32" s="15">
        <v>1</v>
      </c>
      <c r="C32" s="15" t="s">
        <v>83</v>
      </c>
      <c r="D32" s="15">
        <v>1</v>
      </c>
      <c r="G32" s="15" t="s">
        <v>122</v>
      </c>
      <c r="H32" s="15">
        <v>12</v>
      </c>
      <c r="I32" s="15" t="s">
        <v>5</v>
      </c>
      <c r="J32" s="15">
        <v>1</v>
      </c>
    </row>
    <row r="33" spans="1:10" x14ac:dyDescent="0.25">
      <c r="A33" s="15" t="s">
        <v>122</v>
      </c>
      <c r="B33" s="15">
        <v>2</v>
      </c>
      <c r="C33" s="15" t="s">
        <v>5</v>
      </c>
      <c r="D33" s="15">
        <v>1</v>
      </c>
      <c r="G33" s="15" t="s">
        <v>122</v>
      </c>
      <c r="H33" s="15">
        <v>13</v>
      </c>
      <c r="I33" s="15" t="s">
        <v>5</v>
      </c>
      <c r="J33" s="15">
        <v>1</v>
      </c>
    </row>
    <row r="34" spans="1:10" x14ac:dyDescent="0.25">
      <c r="A34" s="15" t="s">
        <v>122</v>
      </c>
      <c r="B34" s="15">
        <v>3</v>
      </c>
      <c r="C34" s="15" t="s">
        <v>32</v>
      </c>
      <c r="D34" s="15">
        <v>1</v>
      </c>
      <c r="G34" s="15" t="s">
        <v>122</v>
      </c>
      <c r="H34" s="15">
        <v>14</v>
      </c>
      <c r="I34" s="15" t="s">
        <v>83</v>
      </c>
      <c r="J34" s="15">
        <v>1</v>
      </c>
    </row>
    <row r="35" spans="1:10" x14ac:dyDescent="0.25">
      <c r="A35" s="15" t="s">
        <v>122</v>
      </c>
      <c r="B35" s="15">
        <v>4</v>
      </c>
      <c r="C35" s="15" t="s">
        <v>32</v>
      </c>
      <c r="D35" s="15">
        <v>1</v>
      </c>
      <c r="G35" s="15" t="s">
        <v>122</v>
      </c>
      <c r="H35" s="15">
        <v>15</v>
      </c>
      <c r="I35" s="15" t="s">
        <v>83</v>
      </c>
      <c r="J35" s="15">
        <v>1</v>
      </c>
    </row>
    <row r="36" spans="1:10" x14ac:dyDescent="0.25">
      <c r="A36" s="15" t="s">
        <v>122</v>
      </c>
      <c r="B36" s="15">
        <v>5</v>
      </c>
      <c r="C36" s="15" t="s">
        <v>5</v>
      </c>
      <c r="D36" s="15">
        <v>1</v>
      </c>
      <c r="G36" s="15" t="s">
        <v>122</v>
      </c>
      <c r="H36" s="15">
        <v>16</v>
      </c>
      <c r="I36" s="15" t="s">
        <v>5</v>
      </c>
      <c r="J36" s="15">
        <v>1</v>
      </c>
    </row>
    <row r="37" spans="1:10" x14ac:dyDescent="0.25">
      <c r="A37" s="15" t="s">
        <v>122</v>
      </c>
      <c r="B37" s="15">
        <v>6</v>
      </c>
      <c r="C37" s="15" t="s">
        <v>5</v>
      </c>
      <c r="D37" s="15">
        <v>1</v>
      </c>
      <c r="G37" s="15" t="s">
        <v>122</v>
      </c>
      <c r="H37" s="15">
        <v>17</v>
      </c>
      <c r="I37" s="15" t="s">
        <v>31</v>
      </c>
      <c r="J37" s="15">
        <v>1</v>
      </c>
    </row>
    <row r="38" spans="1:10" x14ac:dyDescent="0.25">
      <c r="A38" s="15" t="s">
        <v>122</v>
      </c>
      <c r="B38" s="15">
        <v>9</v>
      </c>
      <c r="C38" s="15" t="s">
        <v>5</v>
      </c>
      <c r="D38" s="15">
        <v>1</v>
      </c>
      <c r="G38" s="15" t="s">
        <v>122</v>
      </c>
      <c r="H38" s="15">
        <v>18</v>
      </c>
      <c r="I38" s="15" t="s">
        <v>32</v>
      </c>
      <c r="J38" s="15">
        <v>1</v>
      </c>
    </row>
    <row r="39" spans="1:10" x14ac:dyDescent="0.25">
      <c r="A39" s="15" t="s">
        <v>122</v>
      </c>
      <c r="B39" s="15">
        <v>12</v>
      </c>
      <c r="C39" s="15" t="s">
        <v>5</v>
      </c>
      <c r="D39" s="15">
        <v>1</v>
      </c>
      <c r="G39" s="15" t="s">
        <v>122</v>
      </c>
      <c r="H39" s="15">
        <v>19</v>
      </c>
      <c r="I39" s="15" t="s">
        <v>5</v>
      </c>
      <c r="J39" s="15">
        <v>1</v>
      </c>
    </row>
    <row r="40" spans="1:10" x14ac:dyDescent="0.25">
      <c r="A40" s="15" t="s">
        <v>122</v>
      </c>
      <c r="B40" s="15">
        <v>13</v>
      </c>
      <c r="C40" s="15" t="s">
        <v>5</v>
      </c>
      <c r="D40" s="15">
        <v>1</v>
      </c>
      <c r="G40" s="15" t="s">
        <v>122</v>
      </c>
      <c r="H40" s="15">
        <v>20</v>
      </c>
      <c r="I40" s="15" t="s">
        <v>5</v>
      </c>
      <c r="J40" s="15">
        <v>1</v>
      </c>
    </row>
    <row r="41" spans="1:10" x14ac:dyDescent="0.25">
      <c r="A41" s="15" t="s">
        <v>122</v>
      </c>
      <c r="B41" s="15">
        <v>16</v>
      </c>
      <c r="C41" s="15" t="s">
        <v>5</v>
      </c>
      <c r="D41" s="15">
        <v>1</v>
      </c>
      <c r="G41" s="15" t="s">
        <v>122</v>
      </c>
      <c r="H41" s="15">
        <v>21</v>
      </c>
      <c r="I41" s="15" t="s">
        <v>83</v>
      </c>
      <c r="J41" s="15">
        <v>1</v>
      </c>
    </row>
    <row r="42" spans="1:10" x14ac:dyDescent="0.25">
      <c r="A42" s="15" t="s">
        <v>122</v>
      </c>
      <c r="B42" s="15">
        <v>19</v>
      </c>
      <c r="C42" s="15" t="s">
        <v>5</v>
      </c>
      <c r="D42" s="15">
        <v>1</v>
      </c>
      <c r="G42" s="15" t="s">
        <v>122</v>
      </c>
      <c r="H42" s="15">
        <v>22</v>
      </c>
      <c r="I42" s="15" t="s">
        <v>83</v>
      </c>
      <c r="J42" s="15">
        <v>1</v>
      </c>
    </row>
    <row r="43" spans="1:10" x14ac:dyDescent="0.25">
      <c r="A43" s="15" t="s">
        <v>122</v>
      </c>
      <c r="B43" s="15">
        <v>20</v>
      </c>
      <c r="C43" s="15" t="s">
        <v>5</v>
      </c>
      <c r="D43" s="15">
        <v>1</v>
      </c>
      <c r="G43" s="15" t="s">
        <v>122</v>
      </c>
      <c r="H43" s="15">
        <v>23</v>
      </c>
      <c r="I43" s="15" t="s">
        <v>5</v>
      </c>
      <c r="J43" s="15">
        <v>1</v>
      </c>
    </row>
    <row r="44" spans="1:10" x14ac:dyDescent="0.25">
      <c r="A44" s="15" t="s">
        <v>122</v>
      </c>
      <c r="B44" s="15">
        <v>23</v>
      </c>
      <c r="C44" s="15" t="s">
        <v>5</v>
      </c>
      <c r="D44" s="15">
        <v>1</v>
      </c>
      <c r="G44" s="15" t="s">
        <v>122</v>
      </c>
      <c r="H44" s="15">
        <v>24</v>
      </c>
      <c r="I44" s="15" t="s">
        <v>32</v>
      </c>
      <c r="J44" s="15">
        <v>1</v>
      </c>
    </row>
    <row r="45" spans="1:10" x14ac:dyDescent="0.25">
      <c r="A45" s="15" t="s">
        <v>122</v>
      </c>
      <c r="B45" s="15">
        <v>26</v>
      </c>
      <c r="C45" s="15" t="s">
        <v>5</v>
      </c>
      <c r="D45" s="15">
        <v>1</v>
      </c>
      <c r="G45" s="15" t="s">
        <v>122</v>
      </c>
      <c r="H45" s="15">
        <v>25</v>
      </c>
      <c r="I45" s="15" t="s">
        <v>31</v>
      </c>
      <c r="J45" s="15">
        <v>1</v>
      </c>
    </row>
    <row r="46" spans="1:10" x14ac:dyDescent="0.25">
      <c r="A46" s="15" t="s">
        <v>122</v>
      </c>
      <c r="B46" s="15">
        <v>27</v>
      </c>
      <c r="C46" s="15" t="s">
        <v>5</v>
      </c>
      <c r="D46" s="15">
        <v>1</v>
      </c>
      <c r="G46" s="15" t="s">
        <v>122</v>
      </c>
      <c r="H46" s="15">
        <v>26</v>
      </c>
      <c r="I46" s="15" t="s">
        <v>5</v>
      </c>
      <c r="J46" s="15">
        <v>1</v>
      </c>
    </row>
    <row r="47" spans="1:10" x14ac:dyDescent="0.25">
      <c r="A47" s="15" t="s">
        <v>122</v>
      </c>
      <c r="B47" s="15">
        <v>30</v>
      </c>
      <c r="C47" s="15" t="s">
        <v>5</v>
      </c>
      <c r="D47" s="15">
        <v>1</v>
      </c>
      <c r="G47" s="15" t="s">
        <v>122</v>
      </c>
      <c r="H47" s="15">
        <v>27</v>
      </c>
      <c r="I47" s="15" t="s">
        <v>5</v>
      </c>
      <c r="J47" s="15">
        <v>1</v>
      </c>
    </row>
    <row r="48" spans="1:10" x14ac:dyDescent="0.25">
      <c r="A48" s="15" t="s">
        <v>122</v>
      </c>
      <c r="B48" s="15">
        <v>33</v>
      </c>
      <c r="C48" s="15" t="s">
        <v>5</v>
      </c>
      <c r="D48" s="15">
        <v>1</v>
      </c>
      <c r="G48" s="15" t="s">
        <v>122</v>
      </c>
      <c r="H48" s="15">
        <v>28</v>
      </c>
      <c r="I48" s="15" t="s">
        <v>83</v>
      </c>
      <c r="J48" s="15">
        <v>1</v>
      </c>
    </row>
    <row r="49" spans="1:10" x14ac:dyDescent="0.25">
      <c r="A49" s="15" t="s">
        <v>122</v>
      </c>
      <c r="B49" s="15">
        <v>34</v>
      </c>
      <c r="C49" s="15" t="s">
        <v>5</v>
      </c>
      <c r="D49" s="15">
        <v>1</v>
      </c>
      <c r="G49" s="15" t="s">
        <v>122</v>
      </c>
      <c r="H49" s="15">
        <v>29</v>
      </c>
      <c r="I49" s="15" t="s">
        <v>83</v>
      </c>
      <c r="J49" s="15">
        <v>1</v>
      </c>
    </row>
    <row r="50" spans="1:10" x14ac:dyDescent="0.25">
      <c r="A50" s="15" t="s">
        <v>123</v>
      </c>
      <c r="B50" s="15">
        <v>-6</v>
      </c>
      <c r="C50" s="15" t="s">
        <v>83</v>
      </c>
      <c r="D50" s="15">
        <v>1</v>
      </c>
      <c r="G50" s="15" t="s">
        <v>122</v>
      </c>
      <c r="H50" s="15">
        <v>30</v>
      </c>
      <c r="I50" s="15" t="s">
        <v>5</v>
      </c>
      <c r="J50" s="15">
        <v>1</v>
      </c>
    </row>
    <row r="51" spans="1:10" x14ac:dyDescent="0.25">
      <c r="A51" s="15" t="s">
        <v>123</v>
      </c>
      <c r="B51" s="15">
        <v>-5</v>
      </c>
      <c r="C51" s="15" t="s">
        <v>63</v>
      </c>
      <c r="D51" s="15">
        <v>1</v>
      </c>
      <c r="G51" s="15" t="s">
        <v>123</v>
      </c>
      <c r="H51" s="15">
        <v>7</v>
      </c>
      <c r="I51" s="15" t="s">
        <v>83</v>
      </c>
      <c r="J51" s="15">
        <v>1</v>
      </c>
    </row>
    <row r="52" spans="1:10" x14ac:dyDescent="0.25">
      <c r="A52" s="15" t="s">
        <v>123</v>
      </c>
      <c r="B52" s="15">
        <v>-4</v>
      </c>
      <c r="C52" s="15" t="s">
        <v>63</v>
      </c>
      <c r="D52" s="15">
        <v>1</v>
      </c>
      <c r="G52" s="15" t="s">
        <v>123</v>
      </c>
      <c r="H52" s="15">
        <v>8</v>
      </c>
      <c r="I52" s="15" t="s">
        <v>83</v>
      </c>
      <c r="J52" s="15">
        <v>1</v>
      </c>
    </row>
    <row r="53" spans="1:10" x14ac:dyDescent="0.25">
      <c r="A53" s="15" t="s">
        <v>123</v>
      </c>
      <c r="B53" s="15">
        <v>-3</v>
      </c>
      <c r="C53" s="15" t="s">
        <v>63</v>
      </c>
      <c r="D53" s="15">
        <v>1</v>
      </c>
      <c r="G53" s="15" t="s">
        <v>123</v>
      </c>
      <c r="H53" s="15">
        <v>9</v>
      </c>
      <c r="I53" s="15" t="s">
        <v>365</v>
      </c>
      <c r="J53" s="15">
        <v>1</v>
      </c>
    </row>
    <row r="54" spans="1:10" x14ac:dyDescent="0.25">
      <c r="A54" s="15" t="s">
        <v>123</v>
      </c>
      <c r="B54" s="15">
        <v>-2</v>
      </c>
      <c r="C54" s="15" t="s">
        <v>63</v>
      </c>
      <c r="D54" s="15">
        <v>1</v>
      </c>
      <c r="G54" s="15" t="s">
        <v>123</v>
      </c>
      <c r="H54" s="15">
        <v>10</v>
      </c>
      <c r="I54" s="15" t="s">
        <v>6</v>
      </c>
      <c r="J54" s="15">
        <v>1</v>
      </c>
    </row>
    <row r="55" spans="1:10" x14ac:dyDescent="0.25">
      <c r="A55" s="15" t="s">
        <v>123</v>
      </c>
      <c r="B55" s="15">
        <v>-1</v>
      </c>
      <c r="C55" s="15" t="s">
        <v>17</v>
      </c>
      <c r="D55" s="15">
        <v>1</v>
      </c>
      <c r="G55" s="15" t="s">
        <v>123</v>
      </c>
      <c r="H55" s="15">
        <v>11</v>
      </c>
      <c r="I55" s="15" t="s">
        <v>83</v>
      </c>
      <c r="J55" s="15">
        <v>1</v>
      </c>
    </row>
    <row r="56" spans="1:10" x14ac:dyDescent="0.25">
      <c r="A56" s="15" t="s">
        <v>123</v>
      </c>
      <c r="B56" s="15">
        <v>0</v>
      </c>
      <c r="C56" s="15" t="s">
        <v>83</v>
      </c>
      <c r="D56" s="15">
        <v>1</v>
      </c>
      <c r="G56" s="15" t="s">
        <v>123</v>
      </c>
      <c r="H56" s="15">
        <v>12</v>
      </c>
      <c r="I56" s="15" t="s">
        <v>58</v>
      </c>
      <c r="J56" s="15">
        <v>1</v>
      </c>
    </row>
    <row r="57" spans="1:10" x14ac:dyDescent="0.25">
      <c r="A57" s="15" t="s">
        <v>123</v>
      </c>
      <c r="B57" s="15">
        <v>1</v>
      </c>
      <c r="C57" s="15" t="s">
        <v>83</v>
      </c>
      <c r="D57" s="15">
        <v>1</v>
      </c>
      <c r="G57" s="15" t="s">
        <v>123</v>
      </c>
      <c r="H57" s="15">
        <v>13</v>
      </c>
      <c r="I57" s="15" t="s">
        <v>31</v>
      </c>
      <c r="J57" s="15">
        <v>1</v>
      </c>
    </row>
    <row r="58" spans="1:10" x14ac:dyDescent="0.25">
      <c r="A58" s="15" t="s">
        <v>123</v>
      </c>
      <c r="B58" s="15">
        <v>2</v>
      </c>
      <c r="C58" s="15" t="s">
        <v>60</v>
      </c>
      <c r="D58" s="15">
        <v>1</v>
      </c>
      <c r="G58" s="15" t="s">
        <v>123</v>
      </c>
      <c r="H58" s="15">
        <v>14</v>
      </c>
      <c r="I58" s="15" t="s">
        <v>19</v>
      </c>
      <c r="J58" s="15">
        <v>1</v>
      </c>
    </row>
    <row r="59" spans="1:10" x14ac:dyDescent="0.25">
      <c r="A59" s="15" t="s">
        <v>123</v>
      </c>
      <c r="B59" s="15">
        <v>3</v>
      </c>
      <c r="C59" s="15" t="s">
        <v>60</v>
      </c>
      <c r="D59" s="15">
        <v>1</v>
      </c>
      <c r="G59" s="15" t="s">
        <v>123</v>
      </c>
      <c r="H59" s="15">
        <v>15</v>
      </c>
      <c r="I59" s="15" t="s">
        <v>83</v>
      </c>
      <c r="J59" s="15">
        <v>1</v>
      </c>
    </row>
    <row r="60" spans="1:10" x14ac:dyDescent="0.25">
      <c r="A60" s="15" t="s">
        <v>123</v>
      </c>
      <c r="B60" s="15">
        <v>4</v>
      </c>
      <c r="C60" s="15" t="s">
        <v>60</v>
      </c>
      <c r="D60" s="15">
        <v>1</v>
      </c>
      <c r="G60" s="15" t="s">
        <v>123</v>
      </c>
      <c r="H60" s="15">
        <v>16</v>
      </c>
      <c r="I60" s="15" t="s">
        <v>31</v>
      </c>
      <c r="J60" s="15">
        <v>1</v>
      </c>
    </row>
    <row r="61" spans="1:10" x14ac:dyDescent="0.25">
      <c r="A61" s="15" t="s">
        <v>123</v>
      </c>
      <c r="B61" s="15">
        <v>5</v>
      </c>
      <c r="C61" s="15" t="s">
        <v>60</v>
      </c>
      <c r="D61" s="15">
        <v>1</v>
      </c>
      <c r="G61" s="15" t="s">
        <v>123</v>
      </c>
      <c r="H61" s="15">
        <v>17</v>
      </c>
      <c r="I61" s="15" t="s">
        <v>58</v>
      </c>
      <c r="J61" s="15">
        <v>1</v>
      </c>
    </row>
    <row r="62" spans="1:10" x14ac:dyDescent="0.25">
      <c r="A62" s="15" t="s">
        <v>123</v>
      </c>
      <c r="B62" s="15">
        <v>6</v>
      </c>
      <c r="C62" s="15" t="s">
        <v>32</v>
      </c>
      <c r="D62" s="15">
        <v>1</v>
      </c>
      <c r="G62" s="15" t="s">
        <v>123</v>
      </c>
      <c r="H62" s="15">
        <v>18</v>
      </c>
      <c r="I62" s="15" t="s">
        <v>60</v>
      </c>
      <c r="J62" s="15">
        <v>1</v>
      </c>
    </row>
    <row r="63" spans="1:10" x14ac:dyDescent="0.25">
      <c r="A63" s="15" t="s">
        <v>123</v>
      </c>
      <c r="B63" s="15">
        <v>14</v>
      </c>
      <c r="C63" s="15" t="s">
        <v>19</v>
      </c>
      <c r="D63" s="15">
        <v>1</v>
      </c>
      <c r="G63" s="15" t="s">
        <v>123</v>
      </c>
      <c r="H63" s="15">
        <v>19</v>
      </c>
      <c r="I63" s="15" t="s">
        <v>60</v>
      </c>
      <c r="J63" s="15">
        <v>1</v>
      </c>
    </row>
    <row r="64" spans="1:10" x14ac:dyDescent="0.25">
      <c r="A64" s="15" t="s">
        <v>124</v>
      </c>
      <c r="B64" s="15">
        <v>-6</v>
      </c>
      <c r="C64" s="15" t="s">
        <v>83</v>
      </c>
      <c r="D64" s="15">
        <v>1</v>
      </c>
      <c r="G64" s="15" t="s">
        <v>123</v>
      </c>
      <c r="H64" s="15">
        <v>20</v>
      </c>
      <c r="I64" s="15" t="s">
        <v>60</v>
      </c>
      <c r="J64" s="15">
        <v>1</v>
      </c>
    </row>
    <row r="65" spans="1:10" x14ac:dyDescent="0.25">
      <c r="A65" s="15" t="s">
        <v>124</v>
      </c>
      <c r="B65" s="15">
        <v>-5</v>
      </c>
      <c r="C65" s="15" t="s">
        <v>31</v>
      </c>
      <c r="D65" s="15">
        <v>1</v>
      </c>
      <c r="G65" s="15" t="s">
        <v>123</v>
      </c>
      <c r="H65" s="15">
        <v>21</v>
      </c>
      <c r="I65" s="15" t="s">
        <v>371</v>
      </c>
      <c r="J65" s="15">
        <v>1</v>
      </c>
    </row>
    <row r="66" spans="1:10" x14ac:dyDescent="0.25">
      <c r="A66" s="15" t="s">
        <v>124</v>
      </c>
      <c r="B66" s="15">
        <v>-4</v>
      </c>
      <c r="C66" s="15" t="s">
        <v>5</v>
      </c>
      <c r="D66" s="15">
        <v>1</v>
      </c>
      <c r="G66" s="15" t="s">
        <v>123</v>
      </c>
      <c r="H66" s="15">
        <v>22</v>
      </c>
      <c r="I66" s="15" t="s">
        <v>83</v>
      </c>
      <c r="J66" s="15">
        <v>1</v>
      </c>
    </row>
    <row r="67" spans="1:10" x14ac:dyDescent="0.25">
      <c r="A67" s="15" t="s">
        <v>124</v>
      </c>
      <c r="B67" s="15">
        <v>-3</v>
      </c>
      <c r="C67" s="15" t="s">
        <v>31</v>
      </c>
      <c r="D67" s="15">
        <v>1</v>
      </c>
      <c r="G67" s="15" t="s">
        <v>123</v>
      </c>
      <c r="H67" s="15">
        <v>23</v>
      </c>
      <c r="I67" s="15" t="s">
        <v>31</v>
      </c>
      <c r="J67" s="15">
        <v>1</v>
      </c>
    </row>
    <row r="68" spans="1:10" x14ac:dyDescent="0.25">
      <c r="A68" s="15" t="s">
        <v>124</v>
      </c>
      <c r="B68" s="15">
        <v>-2</v>
      </c>
      <c r="C68" s="15" t="s">
        <v>31</v>
      </c>
      <c r="D68" s="15">
        <v>1</v>
      </c>
      <c r="G68" s="15" t="s">
        <v>123</v>
      </c>
      <c r="H68" s="15">
        <v>24</v>
      </c>
      <c r="I68" s="15" t="s">
        <v>31</v>
      </c>
      <c r="J68" s="15">
        <v>1</v>
      </c>
    </row>
    <row r="69" spans="1:10" x14ac:dyDescent="0.25">
      <c r="A69" s="15" t="s">
        <v>124</v>
      </c>
      <c r="B69" s="15">
        <v>-1</v>
      </c>
      <c r="C69" s="15" t="s">
        <v>31</v>
      </c>
      <c r="D69" s="15">
        <v>1</v>
      </c>
      <c r="G69" s="15" t="s">
        <v>123</v>
      </c>
      <c r="H69" s="15">
        <v>25</v>
      </c>
      <c r="I69" s="15" t="s">
        <v>364</v>
      </c>
      <c r="J69" s="15">
        <v>1</v>
      </c>
    </row>
    <row r="70" spans="1:10" x14ac:dyDescent="0.25">
      <c r="A70" s="15" t="s">
        <v>124</v>
      </c>
      <c r="B70" s="15">
        <v>0</v>
      </c>
      <c r="C70" s="15" t="s">
        <v>83</v>
      </c>
      <c r="D70" s="15">
        <v>1</v>
      </c>
      <c r="G70" s="15" t="s">
        <v>123</v>
      </c>
      <c r="H70" s="15">
        <v>26</v>
      </c>
      <c r="I70" s="15" t="s">
        <v>65</v>
      </c>
      <c r="J70" s="15">
        <v>1</v>
      </c>
    </row>
    <row r="71" spans="1:10" x14ac:dyDescent="0.25">
      <c r="A71" s="15" t="s">
        <v>124</v>
      </c>
      <c r="B71" s="15">
        <v>1</v>
      </c>
      <c r="C71" s="15" t="s">
        <v>83</v>
      </c>
      <c r="D71" s="15">
        <v>1</v>
      </c>
      <c r="G71" s="15" t="s">
        <v>123</v>
      </c>
      <c r="H71" s="15">
        <v>27</v>
      </c>
      <c r="I71" s="15" t="s">
        <v>60</v>
      </c>
      <c r="J71" s="15">
        <v>1</v>
      </c>
    </row>
    <row r="72" spans="1:10" x14ac:dyDescent="0.25">
      <c r="A72" s="15" t="s">
        <v>124</v>
      </c>
      <c r="B72" s="15">
        <v>2</v>
      </c>
      <c r="C72" s="15" t="s">
        <v>32</v>
      </c>
      <c r="D72" s="15">
        <v>1</v>
      </c>
      <c r="G72" s="15" t="s">
        <v>123</v>
      </c>
      <c r="H72" s="15">
        <v>28</v>
      </c>
      <c r="I72" s="15" t="s">
        <v>83</v>
      </c>
      <c r="J72" s="15">
        <v>1</v>
      </c>
    </row>
    <row r="73" spans="1:10" x14ac:dyDescent="0.25">
      <c r="A73" s="15" t="s">
        <v>124</v>
      </c>
      <c r="B73" s="15">
        <v>3</v>
      </c>
      <c r="C73" s="15" t="s">
        <v>31</v>
      </c>
      <c r="D73" s="15">
        <v>1</v>
      </c>
      <c r="G73" s="15" t="s">
        <v>123</v>
      </c>
      <c r="H73" s="15">
        <v>29</v>
      </c>
      <c r="I73" s="15" t="s">
        <v>83</v>
      </c>
      <c r="J73" s="15">
        <v>1</v>
      </c>
    </row>
    <row r="74" spans="1:10" x14ac:dyDescent="0.25">
      <c r="A74" s="15" t="s">
        <v>124</v>
      </c>
      <c r="B74" s="15">
        <v>4</v>
      </c>
      <c r="C74" s="15" t="s">
        <v>31</v>
      </c>
      <c r="D74" s="15">
        <v>1</v>
      </c>
      <c r="G74" s="15" t="s">
        <v>123</v>
      </c>
      <c r="H74" s="15">
        <v>30</v>
      </c>
      <c r="I74" s="15" t="s">
        <v>60</v>
      </c>
      <c r="J74" s="15">
        <v>1</v>
      </c>
    </row>
    <row r="75" spans="1:10" x14ac:dyDescent="0.25">
      <c r="A75" s="15" t="s">
        <v>124</v>
      </c>
      <c r="B75" s="15">
        <v>5</v>
      </c>
      <c r="C75" s="15" t="s">
        <v>31</v>
      </c>
      <c r="D75" s="15">
        <v>1</v>
      </c>
      <c r="G75" s="15" t="s">
        <v>124</v>
      </c>
      <c r="H75" s="15">
        <v>7</v>
      </c>
      <c r="I75" s="15" t="s">
        <v>83</v>
      </c>
      <c r="J75" s="15">
        <v>1</v>
      </c>
    </row>
    <row r="76" spans="1:10" x14ac:dyDescent="0.25">
      <c r="A76" s="15" t="s">
        <v>124</v>
      </c>
      <c r="B76" s="15">
        <v>6</v>
      </c>
      <c r="C76" s="15" t="s">
        <v>5</v>
      </c>
      <c r="D76" s="15">
        <v>1</v>
      </c>
      <c r="G76" s="15" t="s">
        <v>124</v>
      </c>
      <c r="H76" s="15">
        <v>8</v>
      </c>
      <c r="I76" s="15" t="s">
        <v>83</v>
      </c>
      <c r="J76" s="15">
        <v>1</v>
      </c>
    </row>
    <row r="77" spans="1:10" x14ac:dyDescent="0.25">
      <c r="A77" s="15" t="s">
        <v>125</v>
      </c>
      <c r="B77" s="15">
        <v>-6</v>
      </c>
      <c r="C77" s="15" t="s">
        <v>84</v>
      </c>
      <c r="D77" s="15">
        <v>1</v>
      </c>
      <c r="G77" s="15" t="s">
        <v>124</v>
      </c>
      <c r="H77" s="15">
        <v>9</v>
      </c>
      <c r="I77" s="15" t="s">
        <v>5</v>
      </c>
      <c r="J77" s="15">
        <v>1</v>
      </c>
    </row>
    <row r="78" spans="1:10" x14ac:dyDescent="0.25">
      <c r="A78" s="15" t="s">
        <v>125</v>
      </c>
      <c r="B78" s="15">
        <v>-5</v>
      </c>
      <c r="C78" s="15" t="s">
        <v>63</v>
      </c>
      <c r="D78" s="15">
        <v>1</v>
      </c>
      <c r="G78" s="15" t="s">
        <v>124</v>
      </c>
      <c r="H78" s="15">
        <v>10</v>
      </c>
      <c r="I78" s="15" t="s">
        <v>31</v>
      </c>
      <c r="J78" s="15">
        <v>1</v>
      </c>
    </row>
    <row r="79" spans="1:10" x14ac:dyDescent="0.25">
      <c r="A79" s="15" t="s">
        <v>125</v>
      </c>
      <c r="B79" s="15">
        <v>-4</v>
      </c>
      <c r="C79" s="15" t="s">
        <v>63</v>
      </c>
      <c r="D79" s="15">
        <v>1</v>
      </c>
      <c r="G79" s="15" t="s">
        <v>124</v>
      </c>
      <c r="H79" s="15">
        <v>11</v>
      </c>
      <c r="I79" s="15" t="s">
        <v>31</v>
      </c>
      <c r="J79" s="15">
        <v>1</v>
      </c>
    </row>
    <row r="80" spans="1:10" x14ac:dyDescent="0.25">
      <c r="A80" s="15" t="s">
        <v>125</v>
      </c>
      <c r="B80" s="15">
        <v>-3</v>
      </c>
      <c r="C80" s="15" t="s">
        <v>63</v>
      </c>
      <c r="D80" s="15">
        <v>1</v>
      </c>
      <c r="G80" s="15" t="s">
        <v>124</v>
      </c>
      <c r="H80" s="15">
        <v>12</v>
      </c>
      <c r="I80" s="15" t="s">
        <v>31</v>
      </c>
      <c r="J80" s="15">
        <v>1</v>
      </c>
    </row>
    <row r="81" spans="1:10" x14ac:dyDescent="0.25">
      <c r="A81" s="15" t="s">
        <v>125</v>
      </c>
      <c r="B81" s="15">
        <v>-2</v>
      </c>
      <c r="C81" s="15" t="s">
        <v>63</v>
      </c>
      <c r="D81" s="15">
        <v>1</v>
      </c>
      <c r="G81" s="15" t="s">
        <v>124</v>
      </c>
      <c r="H81" s="15">
        <v>13</v>
      </c>
      <c r="I81" s="15" t="s">
        <v>31</v>
      </c>
      <c r="J81" s="15">
        <v>1</v>
      </c>
    </row>
    <row r="82" spans="1:10" x14ac:dyDescent="0.25">
      <c r="A82" s="15" t="s">
        <v>125</v>
      </c>
      <c r="B82" s="15">
        <v>-1</v>
      </c>
      <c r="C82" s="15" t="s">
        <v>63</v>
      </c>
      <c r="D82" s="15">
        <v>1</v>
      </c>
      <c r="G82" s="15" t="s">
        <v>124</v>
      </c>
      <c r="H82" s="15">
        <v>14</v>
      </c>
      <c r="I82" s="15" t="s">
        <v>83</v>
      </c>
      <c r="J82" s="15">
        <v>1</v>
      </c>
    </row>
    <row r="83" spans="1:10" x14ac:dyDescent="0.25">
      <c r="A83" s="15" t="s">
        <v>125</v>
      </c>
      <c r="B83" s="15">
        <v>0</v>
      </c>
      <c r="C83" s="15" t="s">
        <v>84</v>
      </c>
      <c r="D83" s="15">
        <v>1</v>
      </c>
      <c r="G83" s="15" t="s">
        <v>124</v>
      </c>
      <c r="H83" s="15">
        <v>15</v>
      </c>
      <c r="I83" s="15" t="s">
        <v>83</v>
      </c>
      <c r="J83" s="15">
        <v>1</v>
      </c>
    </row>
    <row r="84" spans="1:10" x14ac:dyDescent="0.25">
      <c r="A84" s="15" t="s">
        <v>125</v>
      </c>
      <c r="B84" s="15">
        <v>1</v>
      </c>
      <c r="C84" s="15" t="s">
        <v>83</v>
      </c>
      <c r="D84" s="15">
        <v>1</v>
      </c>
      <c r="G84" s="15" t="s">
        <v>124</v>
      </c>
      <c r="H84" s="15">
        <v>16</v>
      </c>
      <c r="I84" s="15" t="s">
        <v>5</v>
      </c>
      <c r="J84" s="15">
        <v>1</v>
      </c>
    </row>
    <row r="85" spans="1:10" x14ac:dyDescent="0.25">
      <c r="A85" s="15" t="s">
        <v>125</v>
      </c>
      <c r="B85" s="15">
        <v>2</v>
      </c>
      <c r="C85" s="15" t="s">
        <v>31</v>
      </c>
      <c r="D85" s="15">
        <v>1</v>
      </c>
      <c r="G85" s="15" t="s">
        <v>124</v>
      </c>
      <c r="H85" s="15">
        <v>17</v>
      </c>
      <c r="I85" s="15" t="s">
        <v>31</v>
      </c>
      <c r="J85" s="15">
        <v>1</v>
      </c>
    </row>
    <row r="86" spans="1:10" x14ac:dyDescent="0.25">
      <c r="A86" s="15" t="s">
        <v>125</v>
      </c>
      <c r="B86" s="15">
        <v>3</v>
      </c>
      <c r="C86" s="15" t="s">
        <v>31</v>
      </c>
      <c r="D86" s="15">
        <v>1</v>
      </c>
      <c r="G86" s="15" t="s">
        <v>124</v>
      </c>
      <c r="H86" s="15">
        <v>18</v>
      </c>
      <c r="I86" s="15" t="s">
        <v>31</v>
      </c>
      <c r="J86" s="15">
        <v>1</v>
      </c>
    </row>
    <row r="87" spans="1:10" x14ac:dyDescent="0.25">
      <c r="A87" s="15" t="s">
        <v>125</v>
      </c>
      <c r="B87" s="15">
        <v>4</v>
      </c>
      <c r="C87" s="15" t="s">
        <v>83</v>
      </c>
      <c r="D87" s="15">
        <v>1</v>
      </c>
      <c r="G87" s="15" t="s">
        <v>124</v>
      </c>
      <c r="H87" s="15">
        <v>19</v>
      </c>
      <c r="I87" s="15" t="s">
        <v>31</v>
      </c>
      <c r="J87" s="15">
        <v>1</v>
      </c>
    </row>
    <row r="88" spans="1:10" x14ac:dyDescent="0.25">
      <c r="A88" s="15" t="s">
        <v>125</v>
      </c>
      <c r="B88" s="15">
        <v>5</v>
      </c>
      <c r="C88" s="15" t="s">
        <v>32</v>
      </c>
      <c r="D88" s="15">
        <v>1</v>
      </c>
      <c r="G88" s="15" t="s">
        <v>124</v>
      </c>
      <c r="H88" s="15">
        <v>20</v>
      </c>
      <c r="I88" s="15" t="s">
        <v>31</v>
      </c>
      <c r="J88" s="15">
        <v>1</v>
      </c>
    </row>
    <row r="89" spans="1:10" x14ac:dyDescent="0.25">
      <c r="A89" s="15" t="s">
        <v>125</v>
      </c>
      <c r="B89" s="15">
        <v>6</v>
      </c>
      <c r="C89" s="15" t="s">
        <v>31</v>
      </c>
      <c r="D89" s="15">
        <v>1</v>
      </c>
      <c r="G89" s="15" t="s">
        <v>124</v>
      </c>
      <c r="H89" s="15">
        <v>21</v>
      </c>
      <c r="I89" s="15" t="s">
        <v>83</v>
      </c>
      <c r="J89" s="15">
        <v>1</v>
      </c>
    </row>
    <row r="90" spans="1:10" x14ac:dyDescent="0.25">
      <c r="A90" s="15" t="s">
        <v>125</v>
      </c>
      <c r="B90" s="15">
        <v>13</v>
      </c>
      <c r="C90" s="15" t="s">
        <v>69</v>
      </c>
      <c r="D90" s="15">
        <v>1</v>
      </c>
      <c r="G90" s="15" t="s">
        <v>124</v>
      </c>
      <c r="H90" s="15">
        <v>22</v>
      </c>
      <c r="I90" s="15" t="s">
        <v>83</v>
      </c>
      <c r="J90" s="15">
        <v>1</v>
      </c>
    </row>
    <row r="91" spans="1:10" x14ac:dyDescent="0.25">
      <c r="A91" s="15" t="s">
        <v>126</v>
      </c>
      <c r="B91" s="15">
        <v>-6</v>
      </c>
      <c r="C91" s="15" t="s">
        <v>83</v>
      </c>
      <c r="D91" s="15">
        <v>1</v>
      </c>
      <c r="G91" s="15" t="s">
        <v>124</v>
      </c>
      <c r="H91" s="15">
        <v>23</v>
      </c>
      <c r="I91" s="15" t="s">
        <v>5</v>
      </c>
      <c r="J91" s="15">
        <v>1</v>
      </c>
    </row>
    <row r="92" spans="1:10" x14ac:dyDescent="0.25">
      <c r="A92" s="15" t="s">
        <v>126</v>
      </c>
      <c r="B92" s="15">
        <v>-5</v>
      </c>
      <c r="C92" s="15" t="s">
        <v>31</v>
      </c>
      <c r="D92" s="15">
        <v>1</v>
      </c>
      <c r="G92" s="15" t="s">
        <v>124</v>
      </c>
      <c r="H92" s="15">
        <v>24</v>
      </c>
      <c r="I92" s="15" t="s">
        <v>31</v>
      </c>
      <c r="J92" s="15">
        <v>1</v>
      </c>
    </row>
    <row r="93" spans="1:10" x14ac:dyDescent="0.25">
      <c r="A93" s="15" t="s">
        <v>126</v>
      </c>
      <c r="B93" s="15">
        <v>-4</v>
      </c>
      <c r="C93" s="15" t="s">
        <v>31</v>
      </c>
      <c r="D93" s="15">
        <v>1</v>
      </c>
      <c r="G93" s="15" t="s">
        <v>124</v>
      </c>
      <c r="H93" s="15">
        <v>25</v>
      </c>
      <c r="I93" s="15" t="s">
        <v>31</v>
      </c>
      <c r="J93" s="15">
        <v>1</v>
      </c>
    </row>
    <row r="94" spans="1:10" x14ac:dyDescent="0.25">
      <c r="A94" s="15" t="s">
        <v>126</v>
      </c>
      <c r="B94" s="15">
        <v>-3</v>
      </c>
      <c r="C94" s="15" t="s">
        <v>31</v>
      </c>
      <c r="D94" s="15">
        <v>1</v>
      </c>
      <c r="G94" s="15" t="s">
        <v>124</v>
      </c>
      <c r="H94" s="15">
        <v>26</v>
      </c>
      <c r="I94" s="15" t="s">
        <v>31</v>
      </c>
      <c r="J94" s="15">
        <v>1</v>
      </c>
    </row>
    <row r="95" spans="1:10" x14ac:dyDescent="0.25">
      <c r="A95" s="15" t="s">
        <v>126</v>
      </c>
      <c r="B95" s="15">
        <v>-2</v>
      </c>
      <c r="C95" s="15" t="s">
        <v>17</v>
      </c>
      <c r="D95" s="15">
        <v>1</v>
      </c>
      <c r="G95" s="15" t="s">
        <v>124</v>
      </c>
      <c r="H95" s="15">
        <v>27</v>
      </c>
      <c r="I95" s="15" t="s">
        <v>31</v>
      </c>
      <c r="J95" s="15">
        <v>1</v>
      </c>
    </row>
    <row r="96" spans="1:10" x14ac:dyDescent="0.25">
      <c r="A96" s="15" t="s">
        <v>126</v>
      </c>
      <c r="B96" s="15">
        <v>-1</v>
      </c>
      <c r="C96" s="15" t="s">
        <v>65</v>
      </c>
      <c r="D96" s="15">
        <v>1</v>
      </c>
      <c r="G96" s="15" t="s">
        <v>124</v>
      </c>
      <c r="H96" s="15">
        <v>28</v>
      </c>
      <c r="I96" s="15" t="s">
        <v>83</v>
      </c>
      <c r="J96" s="15">
        <v>1</v>
      </c>
    </row>
    <row r="97" spans="1:10" x14ac:dyDescent="0.25">
      <c r="A97" s="15" t="s">
        <v>126</v>
      </c>
      <c r="B97" s="15">
        <v>0</v>
      </c>
      <c r="C97" s="15" t="s">
        <v>83</v>
      </c>
      <c r="D97" s="15">
        <v>1</v>
      </c>
      <c r="G97" s="15" t="s">
        <v>124</v>
      </c>
      <c r="H97" s="15">
        <v>29</v>
      </c>
      <c r="I97" s="15" t="s">
        <v>83</v>
      </c>
      <c r="J97" s="15">
        <v>1</v>
      </c>
    </row>
    <row r="98" spans="1:10" x14ac:dyDescent="0.25">
      <c r="A98" s="15" t="s">
        <v>126</v>
      </c>
      <c r="B98" s="15">
        <v>1</v>
      </c>
      <c r="C98" s="15" t="s">
        <v>83</v>
      </c>
      <c r="D98" s="15">
        <v>1</v>
      </c>
      <c r="G98" s="15" t="s">
        <v>124</v>
      </c>
      <c r="H98" s="15">
        <v>30</v>
      </c>
      <c r="I98" s="15" t="s">
        <v>5</v>
      </c>
      <c r="J98" s="15">
        <v>1</v>
      </c>
    </row>
    <row r="99" spans="1:10" x14ac:dyDescent="0.25">
      <c r="A99" s="15" t="s">
        <v>126</v>
      </c>
      <c r="B99" s="15">
        <v>2</v>
      </c>
      <c r="C99" s="15" t="s">
        <v>63</v>
      </c>
      <c r="D99" s="15">
        <v>1</v>
      </c>
      <c r="G99" s="15" t="s">
        <v>125</v>
      </c>
      <c r="H99" s="15">
        <v>7</v>
      </c>
      <c r="I99" s="15" t="s">
        <v>53</v>
      </c>
      <c r="J99" s="15">
        <v>1</v>
      </c>
    </row>
    <row r="100" spans="1:10" x14ac:dyDescent="0.25">
      <c r="A100" s="15" t="s">
        <v>126</v>
      </c>
      <c r="B100" s="15">
        <v>3</v>
      </c>
      <c r="C100" s="15" t="s">
        <v>63</v>
      </c>
      <c r="D100" s="15">
        <v>1</v>
      </c>
      <c r="G100" s="15" t="s">
        <v>125</v>
      </c>
      <c r="H100" s="15">
        <v>8</v>
      </c>
      <c r="I100" s="15" t="s">
        <v>83</v>
      </c>
      <c r="J100" s="15">
        <v>1</v>
      </c>
    </row>
    <row r="101" spans="1:10" x14ac:dyDescent="0.25">
      <c r="A101" s="15" t="s">
        <v>126</v>
      </c>
      <c r="B101" s="15">
        <v>4</v>
      </c>
      <c r="C101" s="15" t="s">
        <v>31</v>
      </c>
      <c r="D101" s="15">
        <v>1</v>
      </c>
      <c r="G101" s="15" t="s">
        <v>125</v>
      </c>
      <c r="H101" s="15">
        <v>9</v>
      </c>
      <c r="I101" s="15" t="s">
        <v>83</v>
      </c>
      <c r="J101" s="15">
        <v>1</v>
      </c>
    </row>
    <row r="102" spans="1:10" x14ac:dyDescent="0.25">
      <c r="A102" s="15" t="s">
        <v>126</v>
      </c>
      <c r="B102" s="15">
        <v>5</v>
      </c>
      <c r="C102" s="15" t="s">
        <v>17</v>
      </c>
      <c r="D102" s="15">
        <v>1</v>
      </c>
      <c r="G102" s="15" t="s">
        <v>125</v>
      </c>
      <c r="H102" s="15">
        <v>10</v>
      </c>
      <c r="I102" s="15" t="s">
        <v>31</v>
      </c>
      <c r="J102" s="15">
        <v>1</v>
      </c>
    </row>
    <row r="103" spans="1:10" x14ac:dyDescent="0.25">
      <c r="A103" s="15" t="s">
        <v>126</v>
      </c>
      <c r="B103" s="15">
        <v>6</v>
      </c>
      <c r="C103" s="15" t="s">
        <v>65</v>
      </c>
      <c r="D103" s="15">
        <v>1</v>
      </c>
      <c r="G103" s="15" t="s">
        <v>125</v>
      </c>
      <c r="H103" s="15">
        <v>11</v>
      </c>
      <c r="I103" s="15" t="s">
        <v>53</v>
      </c>
      <c r="J103" s="15">
        <v>1</v>
      </c>
    </row>
    <row r="104" spans="1:10" x14ac:dyDescent="0.25">
      <c r="A104" s="15" t="s">
        <v>127</v>
      </c>
      <c r="B104" s="15">
        <v>-6</v>
      </c>
      <c r="C104" s="15" t="s">
        <v>83</v>
      </c>
      <c r="D104" s="15">
        <v>1</v>
      </c>
      <c r="G104" s="15" t="s">
        <v>125</v>
      </c>
      <c r="H104" s="15">
        <v>12</v>
      </c>
      <c r="I104" s="15" t="s">
        <v>65</v>
      </c>
      <c r="J104" s="15">
        <v>1</v>
      </c>
    </row>
    <row r="105" spans="1:10" x14ac:dyDescent="0.25">
      <c r="A105" s="15" t="s">
        <v>127</v>
      </c>
      <c r="B105" s="15">
        <v>-5</v>
      </c>
      <c r="C105" s="15" t="s">
        <v>83</v>
      </c>
      <c r="D105" s="15">
        <v>1</v>
      </c>
      <c r="G105" s="15" t="s">
        <v>125</v>
      </c>
      <c r="H105" s="15">
        <v>13</v>
      </c>
      <c r="I105" s="15" t="s">
        <v>69</v>
      </c>
      <c r="J105" s="15">
        <v>1</v>
      </c>
    </row>
    <row r="106" spans="1:10" x14ac:dyDescent="0.25">
      <c r="A106" s="15" t="s">
        <v>127</v>
      </c>
      <c r="B106" s="15">
        <v>-4</v>
      </c>
      <c r="C106" s="15" t="s">
        <v>6</v>
      </c>
      <c r="D106" s="15">
        <v>1</v>
      </c>
      <c r="G106" s="15" t="s">
        <v>125</v>
      </c>
      <c r="H106" s="15">
        <v>14</v>
      </c>
      <c r="I106" s="15" t="s">
        <v>83</v>
      </c>
      <c r="J106" s="15">
        <v>1</v>
      </c>
    </row>
    <row r="107" spans="1:10" x14ac:dyDescent="0.25">
      <c r="A107" s="15" t="s">
        <v>127</v>
      </c>
      <c r="B107" s="15">
        <v>-3</v>
      </c>
      <c r="C107" s="15" t="s">
        <v>5</v>
      </c>
      <c r="D107" s="15">
        <v>1</v>
      </c>
      <c r="G107" s="15" t="s">
        <v>125</v>
      </c>
      <c r="H107" s="15">
        <v>15</v>
      </c>
      <c r="I107" s="15" t="s">
        <v>53</v>
      </c>
      <c r="J107" s="15">
        <v>1</v>
      </c>
    </row>
    <row r="108" spans="1:10" x14ac:dyDescent="0.25">
      <c r="A108" s="15" t="s">
        <v>127</v>
      </c>
      <c r="B108" s="15">
        <v>-2</v>
      </c>
      <c r="C108" s="15" t="s">
        <v>31</v>
      </c>
      <c r="D108" s="15">
        <v>1</v>
      </c>
      <c r="G108" s="15" t="s">
        <v>125</v>
      </c>
      <c r="H108" s="15">
        <v>16</v>
      </c>
      <c r="I108" s="15" t="s">
        <v>65</v>
      </c>
      <c r="J108" s="15">
        <v>1</v>
      </c>
    </row>
    <row r="109" spans="1:10" x14ac:dyDescent="0.25">
      <c r="A109" s="15" t="s">
        <v>127</v>
      </c>
      <c r="B109" s="15">
        <v>-1</v>
      </c>
      <c r="C109" s="15" t="s">
        <v>31</v>
      </c>
      <c r="D109" s="15">
        <v>1</v>
      </c>
      <c r="G109" s="15" t="s">
        <v>125</v>
      </c>
      <c r="H109" s="15">
        <v>17</v>
      </c>
      <c r="I109" s="15" t="s">
        <v>83</v>
      </c>
      <c r="J109" s="15">
        <v>1</v>
      </c>
    </row>
    <row r="110" spans="1:10" x14ac:dyDescent="0.25">
      <c r="A110" s="15" t="s">
        <v>127</v>
      </c>
      <c r="B110" s="15">
        <v>0</v>
      </c>
      <c r="C110" s="15" t="s">
        <v>83</v>
      </c>
      <c r="D110" s="15">
        <v>1</v>
      </c>
      <c r="G110" s="15" t="s">
        <v>125</v>
      </c>
      <c r="H110" s="15">
        <v>18</v>
      </c>
      <c r="I110" s="15" t="s">
        <v>31</v>
      </c>
      <c r="J110" s="15">
        <v>1</v>
      </c>
    </row>
    <row r="111" spans="1:10" x14ac:dyDescent="0.25">
      <c r="A111" s="15" t="s">
        <v>127</v>
      </c>
      <c r="B111" s="15">
        <v>1</v>
      </c>
      <c r="C111" s="15" t="s">
        <v>83</v>
      </c>
      <c r="D111" s="15">
        <v>1</v>
      </c>
      <c r="G111" s="15" t="s">
        <v>125</v>
      </c>
      <c r="H111" s="15">
        <v>19</v>
      </c>
      <c r="I111" s="15" t="s">
        <v>31</v>
      </c>
      <c r="J111" s="15">
        <v>1</v>
      </c>
    </row>
    <row r="112" spans="1:10" x14ac:dyDescent="0.25">
      <c r="A112" s="15" t="s">
        <v>127</v>
      </c>
      <c r="B112" s="15">
        <v>2</v>
      </c>
      <c r="C112" s="15" t="s">
        <v>83</v>
      </c>
      <c r="D112" s="15">
        <v>1</v>
      </c>
      <c r="G112" s="15" t="s">
        <v>125</v>
      </c>
      <c r="H112" s="15">
        <v>20</v>
      </c>
      <c r="I112" s="15" t="s">
        <v>31</v>
      </c>
      <c r="J112" s="15">
        <v>1</v>
      </c>
    </row>
    <row r="113" spans="1:10" x14ac:dyDescent="0.25">
      <c r="A113" s="15" t="s">
        <v>127</v>
      </c>
      <c r="B113" s="15">
        <v>3</v>
      </c>
      <c r="C113" s="15" t="s">
        <v>5</v>
      </c>
      <c r="D113" s="15">
        <v>1</v>
      </c>
      <c r="G113" s="15" t="s">
        <v>125</v>
      </c>
      <c r="H113" s="15">
        <v>21</v>
      </c>
      <c r="I113" s="15" t="s">
        <v>83</v>
      </c>
      <c r="J113" s="15">
        <v>1</v>
      </c>
    </row>
    <row r="114" spans="1:10" x14ac:dyDescent="0.25">
      <c r="A114" s="15" t="s">
        <v>127</v>
      </c>
      <c r="B114" s="15">
        <v>4</v>
      </c>
      <c r="C114" s="15" t="s">
        <v>5</v>
      </c>
      <c r="D114" s="15">
        <v>1</v>
      </c>
      <c r="G114" s="15" t="s">
        <v>125</v>
      </c>
      <c r="H114" s="15">
        <v>22</v>
      </c>
      <c r="I114" s="15" t="s">
        <v>83</v>
      </c>
      <c r="J114" s="15">
        <v>1</v>
      </c>
    </row>
    <row r="115" spans="1:10" x14ac:dyDescent="0.25">
      <c r="A115" s="15" t="s">
        <v>127</v>
      </c>
      <c r="B115" s="15">
        <v>5</v>
      </c>
      <c r="C115" s="15" t="s">
        <v>31</v>
      </c>
      <c r="D115" s="15">
        <v>1</v>
      </c>
      <c r="G115" s="15" t="s">
        <v>125</v>
      </c>
      <c r="H115" s="15">
        <v>23</v>
      </c>
      <c r="I115" s="15" t="s">
        <v>31</v>
      </c>
      <c r="J115" s="15">
        <v>1</v>
      </c>
    </row>
    <row r="116" spans="1:10" x14ac:dyDescent="0.25">
      <c r="A116" s="15" t="s">
        <v>127</v>
      </c>
      <c r="B116" s="15">
        <v>6</v>
      </c>
      <c r="C116" s="15" t="s">
        <v>5</v>
      </c>
      <c r="D116" s="15">
        <v>1</v>
      </c>
      <c r="G116" s="15" t="s">
        <v>125</v>
      </c>
      <c r="H116" s="15">
        <v>24</v>
      </c>
      <c r="I116" s="15" t="s">
        <v>31</v>
      </c>
      <c r="J116" s="15">
        <v>1</v>
      </c>
    </row>
    <row r="117" spans="1:10" x14ac:dyDescent="0.25">
      <c r="A117" s="15" t="s">
        <v>128</v>
      </c>
      <c r="B117" s="15">
        <v>-6</v>
      </c>
      <c r="C117" s="15" t="s">
        <v>38</v>
      </c>
      <c r="D117" s="15">
        <v>1</v>
      </c>
      <c r="G117" s="15" t="s">
        <v>125</v>
      </c>
      <c r="H117" s="15">
        <v>25</v>
      </c>
      <c r="I117" s="15" t="s">
        <v>53</v>
      </c>
      <c r="J117" s="15">
        <v>1</v>
      </c>
    </row>
    <row r="118" spans="1:10" x14ac:dyDescent="0.25">
      <c r="A118" s="15" t="s">
        <v>128</v>
      </c>
      <c r="B118" s="15">
        <v>-5</v>
      </c>
      <c r="C118" s="15" t="s">
        <v>58</v>
      </c>
      <c r="D118" s="15">
        <v>1</v>
      </c>
      <c r="G118" s="15" t="s">
        <v>125</v>
      </c>
      <c r="H118" s="15">
        <v>26</v>
      </c>
      <c r="I118" s="15" t="s">
        <v>65</v>
      </c>
      <c r="J118" s="15">
        <v>1</v>
      </c>
    </row>
    <row r="119" spans="1:10" x14ac:dyDescent="0.25">
      <c r="A119" s="15" t="s">
        <v>128</v>
      </c>
      <c r="B119" s="15">
        <v>-4</v>
      </c>
      <c r="C119" s="15" t="s">
        <v>58</v>
      </c>
      <c r="D119" s="15">
        <v>1</v>
      </c>
      <c r="G119" s="15" t="s">
        <v>125</v>
      </c>
      <c r="H119" s="15">
        <v>27</v>
      </c>
      <c r="I119" s="15" t="s">
        <v>31</v>
      </c>
      <c r="J119" s="15">
        <v>1</v>
      </c>
    </row>
    <row r="120" spans="1:10" x14ac:dyDescent="0.25">
      <c r="A120" s="15" t="s">
        <v>128</v>
      </c>
      <c r="B120" s="15">
        <v>-3</v>
      </c>
      <c r="C120" s="15" t="s">
        <v>58</v>
      </c>
      <c r="D120" s="15">
        <v>1</v>
      </c>
      <c r="G120" s="15" t="s">
        <v>125</v>
      </c>
      <c r="H120" s="15">
        <v>28</v>
      </c>
      <c r="I120" s="15" t="s">
        <v>35</v>
      </c>
      <c r="J120" s="15">
        <v>1</v>
      </c>
    </row>
    <row r="121" spans="1:10" x14ac:dyDescent="0.25">
      <c r="A121" s="15" t="s">
        <v>128</v>
      </c>
      <c r="B121" s="15">
        <v>-2</v>
      </c>
      <c r="C121" s="15" t="s">
        <v>58</v>
      </c>
      <c r="D121" s="15">
        <v>1</v>
      </c>
      <c r="G121" s="15" t="s">
        <v>125</v>
      </c>
      <c r="H121" s="15">
        <v>29</v>
      </c>
      <c r="I121" s="15" t="s">
        <v>53</v>
      </c>
      <c r="J121" s="15">
        <v>1</v>
      </c>
    </row>
    <row r="122" spans="1:10" x14ac:dyDescent="0.25">
      <c r="A122" s="15" t="s">
        <v>128</v>
      </c>
      <c r="B122" s="15">
        <v>-1</v>
      </c>
      <c r="C122" s="15" t="s">
        <v>58</v>
      </c>
      <c r="D122" s="15">
        <v>1</v>
      </c>
      <c r="G122" s="15" t="s">
        <v>125</v>
      </c>
      <c r="H122" s="15">
        <v>30</v>
      </c>
      <c r="I122" s="15" t="s">
        <v>65</v>
      </c>
      <c r="J122" s="15">
        <v>1</v>
      </c>
    </row>
    <row r="123" spans="1:10" x14ac:dyDescent="0.25">
      <c r="A123" s="15" t="s">
        <v>128</v>
      </c>
      <c r="B123" s="15">
        <v>0</v>
      </c>
      <c r="C123" s="15" t="s">
        <v>83</v>
      </c>
      <c r="D123" s="15">
        <v>1</v>
      </c>
      <c r="G123" s="15" t="s">
        <v>126</v>
      </c>
      <c r="H123" s="15">
        <v>7</v>
      </c>
      <c r="I123" s="15" t="s">
        <v>83</v>
      </c>
      <c r="J123" s="15">
        <v>1</v>
      </c>
    </row>
    <row r="124" spans="1:10" x14ac:dyDescent="0.25">
      <c r="A124" s="15" t="s">
        <v>128</v>
      </c>
      <c r="B124" s="15">
        <v>1</v>
      </c>
      <c r="C124" s="15" t="s">
        <v>83</v>
      </c>
      <c r="D124" s="15">
        <v>1</v>
      </c>
      <c r="G124" s="15" t="s">
        <v>126</v>
      </c>
      <c r="H124" s="15">
        <v>8</v>
      </c>
      <c r="I124" s="15" t="s">
        <v>83</v>
      </c>
      <c r="J124" s="15">
        <v>1</v>
      </c>
    </row>
    <row r="125" spans="1:10" x14ac:dyDescent="0.25">
      <c r="A125" s="15" t="s">
        <v>128</v>
      </c>
      <c r="B125" s="15">
        <v>2</v>
      </c>
      <c r="C125" s="15" t="s">
        <v>31</v>
      </c>
      <c r="D125" s="15">
        <v>1</v>
      </c>
      <c r="G125" s="15" t="s">
        <v>126</v>
      </c>
      <c r="H125" s="15">
        <v>9</v>
      </c>
      <c r="I125" s="15" t="s">
        <v>43</v>
      </c>
      <c r="J125" s="15">
        <v>1</v>
      </c>
    </row>
    <row r="126" spans="1:10" x14ac:dyDescent="0.25">
      <c r="A126" s="15" t="s">
        <v>128</v>
      </c>
      <c r="B126" s="15">
        <v>3</v>
      </c>
      <c r="C126" s="15" t="s">
        <v>31</v>
      </c>
      <c r="D126" s="15">
        <v>1</v>
      </c>
      <c r="G126" s="15" t="s">
        <v>126</v>
      </c>
      <c r="H126" s="15">
        <v>10</v>
      </c>
      <c r="I126" s="15" t="s">
        <v>31</v>
      </c>
      <c r="J126" s="15">
        <v>1</v>
      </c>
    </row>
    <row r="127" spans="1:10" x14ac:dyDescent="0.25">
      <c r="A127" s="15" t="s">
        <v>128</v>
      </c>
      <c r="B127" s="15">
        <v>4</v>
      </c>
      <c r="C127" s="15" t="s">
        <v>31</v>
      </c>
      <c r="D127" s="15">
        <v>1</v>
      </c>
      <c r="G127" s="15" t="s">
        <v>126</v>
      </c>
      <c r="H127" s="15">
        <v>11</v>
      </c>
      <c r="I127" s="15" t="s">
        <v>43</v>
      </c>
      <c r="J127" s="15">
        <v>1</v>
      </c>
    </row>
    <row r="128" spans="1:10" x14ac:dyDescent="0.25">
      <c r="A128" s="15" t="s">
        <v>128</v>
      </c>
      <c r="B128" s="15">
        <v>5</v>
      </c>
      <c r="C128" s="15" t="s">
        <v>31</v>
      </c>
      <c r="D128" s="15">
        <v>1</v>
      </c>
      <c r="G128" s="15" t="s">
        <v>126</v>
      </c>
      <c r="H128" s="15">
        <v>12</v>
      </c>
      <c r="I128" s="15" t="s">
        <v>17</v>
      </c>
      <c r="J128" s="15">
        <v>1</v>
      </c>
    </row>
    <row r="129" spans="1:10" x14ac:dyDescent="0.25">
      <c r="A129" s="15" t="s">
        <v>128</v>
      </c>
      <c r="B129" s="15">
        <v>6</v>
      </c>
      <c r="C129" s="15" t="s">
        <v>60</v>
      </c>
      <c r="D129" s="15">
        <v>1</v>
      </c>
      <c r="G129" s="15" t="s">
        <v>126</v>
      </c>
      <c r="H129" s="15">
        <v>13</v>
      </c>
      <c r="I129" s="15" t="s">
        <v>65</v>
      </c>
      <c r="J129" s="15">
        <v>1</v>
      </c>
    </row>
    <row r="130" spans="1:10" x14ac:dyDescent="0.25">
      <c r="A130" s="15" t="s">
        <v>129</v>
      </c>
      <c r="B130" s="15">
        <v>-6</v>
      </c>
      <c r="C130" s="15" t="s">
        <v>84</v>
      </c>
      <c r="D130" s="15">
        <v>1</v>
      </c>
      <c r="G130" s="15" t="s">
        <v>126</v>
      </c>
      <c r="H130" s="15">
        <v>14</v>
      </c>
      <c r="I130" s="15" t="s">
        <v>83</v>
      </c>
      <c r="J130" s="15">
        <v>1</v>
      </c>
    </row>
    <row r="131" spans="1:10" x14ac:dyDescent="0.25">
      <c r="A131" s="15" t="s">
        <v>129</v>
      </c>
      <c r="B131" s="15">
        <v>-5</v>
      </c>
      <c r="C131" s="15" t="s">
        <v>32</v>
      </c>
      <c r="D131" s="15">
        <v>1</v>
      </c>
      <c r="G131" s="15" t="s">
        <v>126</v>
      </c>
      <c r="H131" s="15">
        <v>15</v>
      </c>
      <c r="I131" s="15" t="s">
        <v>83</v>
      </c>
      <c r="J131" s="15">
        <v>1</v>
      </c>
    </row>
    <row r="132" spans="1:10" x14ac:dyDescent="0.25">
      <c r="A132" s="15" t="s">
        <v>129</v>
      </c>
      <c r="B132" s="15">
        <v>-4</v>
      </c>
      <c r="C132" s="15" t="s">
        <v>60</v>
      </c>
      <c r="D132" s="15">
        <v>1</v>
      </c>
      <c r="G132" s="15" t="s">
        <v>126</v>
      </c>
      <c r="H132" s="15">
        <v>16</v>
      </c>
      <c r="I132" s="15" t="s">
        <v>17</v>
      </c>
      <c r="J132" s="15">
        <v>1</v>
      </c>
    </row>
    <row r="133" spans="1:10" x14ac:dyDescent="0.25">
      <c r="A133" s="15" t="s">
        <v>129</v>
      </c>
      <c r="B133" s="15">
        <v>-3</v>
      </c>
      <c r="C133" s="15" t="s">
        <v>60</v>
      </c>
      <c r="D133" s="15">
        <v>1</v>
      </c>
      <c r="G133" s="15" t="s">
        <v>126</v>
      </c>
      <c r="H133" s="15">
        <v>17</v>
      </c>
      <c r="I133" s="15" t="s">
        <v>65</v>
      </c>
      <c r="J133" s="15">
        <v>1</v>
      </c>
    </row>
    <row r="134" spans="1:10" x14ac:dyDescent="0.25">
      <c r="A134" s="15" t="s">
        <v>129</v>
      </c>
      <c r="B134" s="15">
        <v>-2</v>
      </c>
      <c r="C134" s="15" t="s">
        <v>60</v>
      </c>
      <c r="D134" s="15">
        <v>1</v>
      </c>
      <c r="G134" s="15" t="s">
        <v>126</v>
      </c>
      <c r="H134" s="15">
        <v>18</v>
      </c>
      <c r="I134" s="15" t="s">
        <v>6</v>
      </c>
      <c r="J134" s="15">
        <v>1</v>
      </c>
    </row>
    <row r="135" spans="1:10" x14ac:dyDescent="0.25">
      <c r="A135" s="15" t="s">
        <v>129</v>
      </c>
      <c r="B135" s="15">
        <v>-1</v>
      </c>
      <c r="C135" s="15" t="s">
        <v>83</v>
      </c>
      <c r="D135" s="15">
        <v>1</v>
      </c>
      <c r="G135" s="15" t="s">
        <v>126</v>
      </c>
      <c r="H135" s="15">
        <v>19</v>
      </c>
      <c r="I135" s="15" t="s">
        <v>31</v>
      </c>
      <c r="J135" s="15">
        <v>1</v>
      </c>
    </row>
    <row r="136" spans="1:10" x14ac:dyDescent="0.25">
      <c r="A136" s="15" t="s">
        <v>129</v>
      </c>
      <c r="B136" s="15">
        <v>0</v>
      </c>
      <c r="C136" s="15" t="s">
        <v>53</v>
      </c>
      <c r="D136" s="15">
        <v>1</v>
      </c>
      <c r="G136" s="15" t="s">
        <v>126</v>
      </c>
      <c r="H136" s="15">
        <v>20</v>
      </c>
      <c r="I136" s="15" t="s">
        <v>83</v>
      </c>
      <c r="J136" s="15">
        <v>1</v>
      </c>
    </row>
    <row r="137" spans="1:10" x14ac:dyDescent="0.25">
      <c r="A137" s="15" t="s">
        <v>129</v>
      </c>
      <c r="B137" s="15">
        <v>1</v>
      </c>
      <c r="C137" s="15" t="s">
        <v>83</v>
      </c>
      <c r="D137" s="15">
        <v>1</v>
      </c>
      <c r="G137" s="15" t="s">
        <v>126</v>
      </c>
      <c r="H137" s="15">
        <v>21</v>
      </c>
      <c r="I137" s="15" t="s">
        <v>19</v>
      </c>
      <c r="J137" s="15">
        <v>1</v>
      </c>
    </row>
    <row r="138" spans="1:10" x14ac:dyDescent="0.25">
      <c r="A138" s="15" t="s">
        <v>129</v>
      </c>
      <c r="B138" s="15">
        <v>2</v>
      </c>
      <c r="C138" s="15" t="s">
        <v>83</v>
      </c>
      <c r="D138" s="15">
        <v>1</v>
      </c>
      <c r="G138" s="15" t="s">
        <v>126</v>
      </c>
      <c r="H138" s="15">
        <v>22</v>
      </c>
      <c r="I138" s="15" t="s">
        <v>83</v>
      </c>
      <c r="J138" s="15">
        <v>1</v>
      </c>
    </row>
    <row r="139" spans="1:10" x14ac:dyDescent="0.25">
      <c r="A139" s="15" t="s">
        <v>129</v>
      </c>
      <c r="B139" s="15">
        <v>3</v>
      </c>
      <c r="C139" s="15" t="s">
        <v>58</v>
      </c>
      <c r="D139" s="15">
        <v>1</v>
      </c>
      <c r="G139" s="15" t="s">
        <v>126</v>
      </c>
      <c r="H139" s="15">
        <v>23</v>
      </c>
      <c r="I139" s="15" t="s">
        <v>31</v>
      </c>
      <c r="J139" s="15">
        <v>1</v>
      </c>
    </row>
    <row r="140" spans="1:10" x14ac:dyDescent="0.25">
      <c r="A140" s="15" t="s">
        <v>129</v>
      </c>
      <c r="B140" s="15">
        <v>4</v>
      </c>
      <c r="C140" s="15" t="s">
        <v>364</v>
      </c>
      <c r="D140" s="15">
        <v>1</v>
      </c>
      <c r="G140" s="15" t="s">
        <v>126</v>
      </c>
      <c r="H140" s="15">
        <v>24</v>
      </c>
      <c r="I140" s="15" t="s">
        <v>31</v>
      </c>
      <c r="J140" s="15">
        <v>1</v>
      </c>
    </row>
    <row r="141" spans="1:10" x14ac:dyDescent="0.25">
      <c r="A141" s="15" t="s">
        <v>129</v>
      </c>
      <c r="B141" s="15">
        <v>5</v>
      </c>
      <c r="C141" s="15" t="s">
        <v>65</v>
      </c>
      <c r="D141" s="15">
        <v>1</v>
      </c>
      <c r="G141" s="15" t="s">
        <v>126</v>
      </c>
      <c r="H141" s="15">
        <v>25</v>
      </c>
      <c r="I141" s="15" t="s">
        <v>6</v>
      </c>
      <c r="J141" s="15">
        <v>1</v>
      </c>
    </row>
    <row r="142" spans="1:10" x14ac:dyDescent="0.25">
      <c r="A142" s="15" t="s">
        <v>129</v>
      </c>
      <c r="B142" s="15">
        <v>6</v>
      </c>
      <c r="C142" s="15" t="s">
        <v>58</v>
      </c>
      <c r="D142" s="15">
        <v>1</v>
      </c>
      <c r="G142" s="15" t="s">
        <v>126</v>
      </c>
      <c r="H142" s="15">
        <v>26</v>
      </c>
      <c r="I142" s="15" t="s">
        <v>31</v>
      </c>
      <c r="J142" s="15">
        <v>1</v>
      </c>
    </row>
    <row r="143" spans="1:10" x14ac:dyDescent="0.25">
      <c r="A143" s="15" t="s">
        <v>129</v>
      </c>
      <c r="B143" s="15">
        <v>21</v>
      </c>
      <c r="C143" s="15" t="s">
        <v>84</v>
      </c>
      <c r="D143" s="15">
        <v>1</v>
      </c>
      <c r="G143" s="15" t="s">
        <v>126</v>
      </c>
      <c r="H143" s="15">
        <v>27</v>
      </c>
      <c r="I143" s="15" t="s">
        <v>31</v>
      </c>
      <c r="J143" s="15">
        <v>1</v>
      </c>
    </row>
    <row r="144" spans="1:10" x14ac:dyDescent="0.25">
      <c r="A144" s="15" t="s">
        <v>129</v>
      </c>
      <c r="B144" s="15">
        <v>22</v>
      </c>
      <c r="C144" s="15" t="s">
        <v>84</v>
      </c>
      <c r="D144" s="15">
        <v>1</v>
      </c>
      <c r="G144" s="15" t="s">
        <v>126</v>
      </c>
      <c r="H144" s="15">
        <v>28</v>
      </c>
      <c r="I144" s="15" t="s">
        <v>83</v>
      </c>
      <c r="J144" s="15">
        <v>1</v>
      </c>
    </row>
    <row r="145" spans="1:10" x14ac:dyDescent="0.25">
      <c r="A145" s="15" t="s">
        <v>129</v>
      </c>
      <c r="B145" s="15">
        <v>23</v>
      </c>
      <c r="C145" s="15" t="s">
        <v>63</v>
      </c>
      <c r="D145" s="15">
        <v>1</v>
      </c>
      <c r="G145" s="15" t="s">
        <v>126</v>
      </c>
      <c r="H145" s="15">
        <v>29</v>
      </c>
      <c r="I145" s="15" t="s">
        <v>83</v>
      </c>
      <c r="J145" s="15">
        <v>1</v>
      </c>
    </row>
    <row r="146" spans="1:10" x14ac:dyDescent="0.25">
      <c r="A146" s="15" t="s">
        <v>129</v>
      </c>
      <c r="B146" s="15">
        <v>24</v>
      </c>
      <c r="C146" s="15" t="s">
        <v>63</v>
      </c>
      <c r="D146" s="15">
        <v>1</v>
      </c>
      <c r="G146" s="15" t="s">
        <v>126</v>
      </c>
      <c r="H146" s="15">
        <v>30</v>
      </c>
      <c r="I146" s="15" t="s">
        <v>31</v>
      </c>
      <c r="J146" s="15">
        <v>1</v>
      </c>
    </row>
    <row r="147" spans="1:10" x14ac:dyDescent="0.25">
      <c r="A147" s="15" t="s">
        <v>129</v>
      </c>
      <c r="B147" s="15">
        <v>25</v>
      </c>
      <c r="C147" s="15" t="s">
        <v>63</v>
      </c>
      <c r="D147" s="15">
        <v>1</v>
      </c>
      <c r="G147" s="15" t="s">
        <v>127</v>
      </c>
      <c r="H147" s="15">
        <v>7</v>
      </c>
      <c r="I147" s="15" t="s">
        <v>19</v>
      </c>
      <c r="J147" s="15">
        <v>1</v>
      </c>
    </row>
    <row r="148" spans="1:10" x14ac:dyDescent="0.25">
      <c r="A148" s="15" t="s">
        <v>129</v>
      </c>
      <c r="B148" s="15">
        <v>26</v>
      </c>
      <c r="C148" s="15" t="s">
        <v>63</v>
      </c>
      <c r="D148" s="15">
        <v>1</v>
      </c>
      <c r="G148" s="15" t="s">
        <v>127</v>
      </c>
      <c r="H148" s="15">
        <v>8</v>
      </c>
      <c r="I148" s="15" t="s">
        <v>83</v>
      </c>
      <c r="J148" s="15">
        <v>1</v>
      </c>
    </row>
    <row r="149" spans="1:10" x14ac:dyDescent="0.25">
      <c r="A149" s="15" t="s">
        <v>129</v>
      </c>
      <c r="B149" s="15">
        <v>27</v>
      </c>
      <c r="C149" s="15" t="s">
        <v>63</v>
      </c>
      <c r="D149" s="15">
        <v>1</v>
      </c>
      <c r="G149" s="15" t="s">
        <v>127</v>
      </c>
      <c r="H149" s="15">
        <v>9</v>
      </c>
      <c r="I149" s="15" t="s">
        <v>31</v>
      </c>
      <c r="J149" s="15">
        <v>1</v>
      </c>
    </row>
    <row r="150" spans="1:10" x14ac:dyDescent="0.25">
      <c r="A150" s="15" t="s">
        <v>129</v>
      </c>
      <c r="B150" s="15">
        <v>28</v>
      </c>
      <c r="C150" s="15" t="s">
        <v>84</v>
      </c>
      <c r="D150" s="15">
        <v>1</v>
      </c>
      <c r="G150" s="15" t="s">
        <v>127</v>
      </c>
      <c r="H150" s="15">
        <v>10</v>
      </c>
      <c r="I150" s="15" t="s">
        <v>5</v>
      </c>
      <c r="J150" s="15">
        <v>1</v>
      </c>
    </row>
    <row r="151" spans="1:10" x14ac:dyDescent="0.25">
      <c r="A151" s="15" t="s">
        <v>129</v>
      </c>
      <c r="B151" s="15">
        <v>29</v>
      </c>
      <c r="C151" s="15" t="s">
        <v>84</v>
      </c>
      <c r="D151" s="15">
        <v>1</v>
      </c>
      <c r="G151" s="15" t="s">
        <v>127</v>
      </c>
      <c r="H151" s="15">
        <v>11</v>
      </c>
      <c r="I151" s="15" t="s">
        <v>5</v>
      </c>
      <c r="J151" s="15">
        <v>1</v>
      </c>
    </row>
    <row r="152" spans="1:10" x14ac:dyDescent="0.25">
      <c r="A152" s="15" t="s">
        <v>130</v>
      </c>
      <c r="B152" s="15">
        <v>-6</v>
      </c>
      <c r="C152" s="15" t="s">
        <v>83</v>
      </c>
      <c r="D152" s="15">
        <v>1</v>
      </c>
      <c r="G152" s="15" t="s">
        <v>127</v>
      </c>
      <c r="H152" s="15">
        <v>12</v>
      </c>
      <c r="I152" s="15" t="s">
        <v>32</v>
      </c>
      <c r="J152" s="15">
        <v>1</v>
      </c>
    </row>
    <row r="153" spans="1:10" x14ac:dyDescent="0.25">
      <c r="A153" s="15" t="s">
        <v>130</v>
      </c>
      <c r="B153" s="15">
        <v>-5</v>
      </c>
      <c r="C153" s="15" t="s">
        <v>5</v>
      </c>
      <c r="D153" s="15">
        <v>1</v>
      </c>
      <c r="G153" s="15" t="s">
        <v>127</v>
      </c>
      <c r="H153" s="15">
        <v>13</v>
      </c>
      <c r="I153" s="15" t="s">
        <v>31</v>
      </c>
      <c r="J153" s="15">
        <v>1</v>
      </c>
    </row>
    <row r="154" spans="1:10" x14ac:dyDescent="0.25">
      <c r="A154" s="15" t="s">
        <v>130</v>
      </c>
      <c r="B154" s="15">
        <v>-4</v>
      </c>
      <c r="C154" s="15" t="s">
        <v>31</v>
      </c>
      <c r="D154" s="15">
        <v>1</v>
      </c>
      <c r="G154" s="15" t="s">
        <v>127</v>
      </c>
      <c r="H154" s="15">
        <v>14</v>
      </c>
      <c r="I154" s="15" t="s">
        <v>83</v>
      </c>
      <c r="J154" s="15">
        <v>1</v>
      </c>
    </row>
    <row r="155" spans="1:10" x14ac:dyDescent="0.25">
      <c r="A155" s="15" t="s">
        <v>130</v>
      </c>
      <c r="B155" s="15">
        <v>-3</v>
      </c>
      <c r="C155" s="15" t="s">
        <v>17</v>
      </c>
      <c r="D155" s="15">
        <v>1</v>
      </c>
      <c r="G155" s="15" t="s">
        <v>127</v>
      </c>
      <c r="H155" s="15">
        <v>15</v>
      </c>
      <c r="I155" s="15" t="s">
        <v>83</v>
      </c>
      <c r="J155" s="15">
        <v>1</v>
      </c>
    </row>
    <row r="156" spans="1:10" x14ac:dyDescent="0.25">
      <c r="A156" s="15" t="s">
        <v>130</v>
      </c>
      <c r="B156" s="15">
        <v>-2</v>
      </c>
      <c r="C156" s="15" t="s">
        <v>65</v>
      </c>
      <c r="D156" s="15">
        <v>1</v>
      </c>
      <c r="G156" s="15" t="s">
        <v>127</v>
      </c>
      <c r="H156" s="15">
        <v>16</v>
      </c>
      <c r="I156" s="15" t="s">
        <v>6</v>
      </c>
      <c r="J156" s="15">
        <v>1</v>
      </c>
    </row>
    <row r="157" spans="1:10" x14ac:dyDescent="0.25">
      <c r="A157" s="15" t="s">
        <v>130</v>
      </c>
      <c r="B157" s="15">
        <v>-1</v>
      </c>
      <c r="C157" s="15" t="s">
        <v>31</v>
      </c>
      <c r="D157" s="15">
        <v>1</v>
      </c>
      <c r="G157" s="15" t="s">
        <v>127</v>
      </c>
      <c r="H157" s="15">
        <v>17</v>
      </c>
      <c r="I157" s="15" t="s">
        <v>43</v>
      </c>
      <c r="J157" s="15">
        <v>1</v>
      </c>
    </row>
    <row r="158" spans="1:10" x14ac:dyDescent="0.25">
      <c r="A158" s="15" t="s">
        <v>130</v>
      </c>
      <c r="B158" s="15">
        <v>0</v>
      </c>
      <c r="C158" s="15" t="s">
        <v>83</v>
      </c>
      <c r="D158" s="15">
        <v>1</v>
      </c>
      <c r="G158" s="15" t="s">
        <v>127</v>
      </c>
      <c r="H158" s="15">
        <v>18</v>
      </c>
      <c r="I158" s="15" t="s">
        <v>5</v>
      </c>
      <c r="J158" s="15">
        <v>1</v>
      </c>
    </row>
    <row r="159" spans="1:10" x14ac:dyDescent="0.25">
      <c r="A159" s="15" t="s">
        <v>130</v>
      </c>
      <c r="B159" s="15">
        <v>1</v>
      </c>
      <c r="C159" s="15" t="s">
        <v>83</v>
      </c>
      <c r="D159" s="15">
        <v>1</v>
      </c>
      <c r="G159" s="15" t="s">
        <v>127</v>
      </c>
      <c r="H159" s="15">
        <v>19</v>
      </c>
      <c r="I159" s="15" t="s">
        <v>31</v>
      </c>
      <c r="J159" s="15">
        <v>1</v>
      </c>
    </row>
    <row r="160" spans="1:10" x14ac:dyDescent="0.25">
      <c r="A160" s="15" t="s">
        <v>130</v>
      </c>
      <c r="B160" s="15">
        <v>2</v>
      </c>
      <c r="C160" s="15" t="s">
        <v>31</v>
      </c>
      <c r="D160" s="15">
        <v>1</v>
      </c>
      <c r="G160" s="15" t="s">
        <v>127</v>
      </c>
      <c r="H160" s="15">
        <v>20</v>
      </c>
      <c r="I160" s="15" t="s">
        <v>17</v>
      </c>
      <c r="J160" s="15">
        <v>1</v>
      </c>
    </row>
    <row r="161" spans="1:10" x14ac:dyDescent="0.25">
      <c r="A161" s="15" t="s">
        <v>130</v>
      </c>
      <c r="B161" s="15">
        <v>3</v>
      </c>
      <c r="C161" s="15" t="s">
        <v>5</v>
      </c>
      <c r="D161" s="15">
        <v>1</v>
      </c>
      <c r="G161" s="15" t="s">
        <v>127</v>
      </c>
      <c r="H161" s="15">
        <v>21</v>
      </c>
      <c r="I161" s="15" t="s">
        <v>83</v>
      </c>
      <c r="J161" s="15">
        <v>1</v>
      </c>
    </row>
    <row r="162" spans="1:10" x14ac:dyDescent="0.25">
      <c r="A162" s="15" t="s">
        <v>130</v>
      </c>
      <c r="B162" s="15">
        <v>4</v>
      </c>
      <c r="C162" s="15" t="s">
        <v>17</v>
      </c>
      <c r="D162" s="15">
        <v>1</v>
      </c>
      <c r="G162" s="15" t="s">
        <v>127</v>
      </c>
      <c r="H162" s="15">
        <v>22</v>
      </c>
      <c r="I162" s="15" t="s">
        <v>83</v>
      </c>
      <c r="J162" s="15">
        <v>1</v>
      </c>
    </row>
    <row r="163" spans="1:10" x14ac:dyDescent="0.25">
      <c r="A163" s="15" t="s">
        <v>130</v>
      </c>
      <c r="B163" s="15">
        <v>5</v>
      </c>
      <c r="C163" s="15" t="s">
        <v>65</v>
      </c>
      <c r="D163" s="15">
        <v>1</v>
      </c>
      <c r="G163" s="15" t="s">
        <v>127</v>
      </c>
      <c r="H163" s="15">
        <v>23</v>
      </c>
      <c r="I163" s="15" t="s">
        <v>6</v>
      </c>
      <c r="J163" s="15">
        <v>1</v>
      </c>
    </row>
    <row r="164" spans="1:10" x14ac:dyDescent="0.25">
      <c r="A164" s="15" t="s">
        <v>130</v>
      </c>
      <c r="B164" s="15">
        <v>6</v>
      </c>
      <c r="C164" s="15" t="s">
        <v>31</v>
      </c>
      <c r="D164" s="15">
        <v>1</v>
      </c>
      <c r="G164" s="15" t="s">
        <v>127</v>
      </c>
      <c r="H164" s="15">
        <v>24</v>
      </c>
      <c r="I164" s="15" t="s">
        <v>17</v>
      </c>
      <c r="J164" s="15">
        <v>1</v>
      </c>
    </row>
    <row r="165" spans="1:10" x14ac:dyDescent="0.25">
      <c r="A165" s="15" t="s">
        <v>130</v>
      </c>
      <c r="B165" s="15">
        <v>19</v>
      </c>
      <c r="C165" s="15" t="s">
        <v>63</v>
      </c>
      <c r="D165" s="15">
        <v>1</v>
      </c>
      <c r="G165" s="15" t="s">
        <v>127</v>
      </c>
      <c r="H165" s="15">
        <v>25</v>
      </c>
      <c r="I165" s="15" t="s">
        <v>65</v>
      </c>
      <c r="J165" s="15">
        <v>1</v>
      </c>
    </row>
    <row r="166" spans="1:10" x14ac:dyDescent="0.25">
      <c r="A166" s="15" t="s">
        <v>130</v>
      </c>
      <c r="B166" s="15">
        <v>20</v>
      </c>
      <c r="C166" s="15" t="s">
        <v>63</v>
      </c>
      <c r="D166" s="15">
        <v>1</v>
      </c>
      <c r="G166" s="15" t="s">
        <v>127</v>
      </c>
      <c r="H166" s="15">
        <v>26</v>
      </c>
      <c r="I166" s="15" t="s">
        <v>31</v>
      </c>
      <c r="J166" s="15">
        <v>1</v>
      </c>
    </row>
    <row r="167" spans="1:10" x14ac:dyDescent="0.25">
      <c r="A167" s="15" t="s">
        <v>130</v>
      </c>
      <c r="B167" s="15">
        <v>27</v>
      </c>
      <c r="C167" s="15" t="s">
        <v>69</v>
      </c>
      <c r="D167" s="15">
        <v>1</v>
      </c>
      <c r="G167" s="15" t="s">
        <v>127</v>
      </c>
      <c r="H167" s="15">
        <v>27</v>
      </c>
      <c r="I167" s="15" t="s">
        <v>31</v>
      </c>
      <c r="J167" s="15">
        <v>1</v>
      </c>
    </row>
    <row r="168" spans="1:10" x14ac:dyDescent="0.25">
      <c r="A168" s="15" t="s">
        <v>130</v>
      </c>
      <c r="B168" s="15">
        <v>28</v>
      </c>
      <c r="C168" s="15" t="s">
        <v>69</v>
      </c>
      <c r="D168" s="15">
        <v>1</v>
      </c>
      <c r="G168" s="15" t="s">
        <v>127</v>
      </c>
      <c r="H168" s="15">
        <v>28</v>
      </c>
      <c r="I168" s="15" t="s">
        <v>83</v>
      </c>
      <c r="J168" s="15">
        <v>1</v>
      </c>
    </row>
    <row r="169" spans="1:10" x14ac:dyDescent="0.25">
      <c r="A169" s="15" t="s">
        <v>130</v>
      </c>
      <c r="B169" s="15">
        <v>29</v>
      </c>
      <c r="C169" s="15" t="s">
        <v>69</v>
      </c>
      <c r="D169" s="15">
        <v>1</v>
      </c>
      <c r="G169" s="15" t="s">
        <v>127</v>
      </c>
      <c r="H169" s="15">
        <v>29</v>
      </c>
      <c r="I169" s="15" t="s">
        <v>83</v>
      </c>
      <c r="J169" s="15">
        <v>1</v>
      </c>
    </row>
    <row r="170" spans="1:10" x14ac:dyDescent="0.25">
      <c r="A170" s="15" t="s">
        <v>341</v>
      </c>
      <c r="B170" s="15">
        <v>-6</v>
      </c>
      <c r="C170" s="15" t="s">
        <v>83</v>
      </c>
      <c r="D170" s="15">
        <v>1</v>
      </c>
      <c r="G170" s="15" t="s">
        <v>127</v>
      </c>
      <c r="H170" s="15">
        <v>30</v>
      </c>
      <c r="I170" s="15" t="s">
        <v>31</v>
      </c>
      <c r="J170" s="15">
        <v>1</v>
      </c>
    </row>
    <row r="171" spans="1:10" x14ac:dyDescent="0.25">
      <c r="A171" s="15" t="s">
        <v>341</v>
      </c>
      <c r="B171" s="15">
        <v>-5</v>
      </c>
      <c r="C171" s="15" t="s">
        <v>17</v>
      </c>
      <c r="D171" s="15">
        <v>1</v>
      </c>
      <c r="G171" s="15" t="s">
        <v>128</v>
      </c>
      <c r="H171" s="15">
        <v>7</v>
      </c>
      <c r="I171" s="15" t="s">
        <v>83</v>
      </c>
      <c r="J171" s="15">
        <v>1</v>
      </c>
    </row>
    <row r="172" spans="1:10" x14ac:dyDescent="0.25">
      <c r="A172" s="15" t="s">
        <v>341</v>
      </c>
      <c r="B172" s="15">
        <v>-4</v>
      </c>
      <c r="C172" s="15" t="s">
        <v>65</v>
      </c>
      <c r="D172" s="15">
        <v>1</v>
      </c>
      <c r="G172" s="15" t="s">
        <v>128</v>
      </c>
      <c r="H172" s="15">
        <v>8</v>
      </c>
      <c r="I172" s="15" t="s">
        <v>83</v>
      </c>
      <c r="J172" s="15">
        <v>1</v>
      </c>
    </row>
    <row r="173" spans="1:10" x14ac:dyDescent="0.25">
      <c r="A173" s="15" t="s">
        <v>341</v>
      </c>
      <c r="B173" s="15">
        <v>-3</v>
      </c>
      <c r="C173" s="15" t="s">
        <v>31</v>
      </c>
      <c r="D173" s="15">
        <v>1</v>
      </c>
      <c r="G173" s="15" t="s">
        <v>128</v>
      </c>
      <c r="H173" s="15">
        <v>9</v>
      </c>
      <c r="I173" s="15" t="s">
        <v>60</v>
      </c>
      <c r="J173" s="15">
        <v>1</v>
      </c>
    </row>
    <row r="174" spans="1:10" x14ac:dyDescent="0.25">
      <c r="A174" s="15" t="s">
        <v>341</v>
      </c>
      <c r="B174" s="15">
        <v>-2</v>
      </c>
      <c r="C174" s="15" t="s">
        <v>31</v>
      </c>
      <c r="D174" s="15">
        <v>1</v>
      </c>
      <c r="G174" s="15" t="s">
        <v>128</v>
      </c>
      <c r="H174" s="15">
        <v>10</v>
      </c>
      <c r="I174" s="15" t="s">
        <v>60</v>
      </c>
      <c r="J174" s="15">
        <v>1</v>
      </c>
    </row>
    <row r="175" spans="1:10" x14ac:dyDescent="0.25">
      <c r="A175" s="15" t="s">
        <v>341</v>
      </c>
      <c r="B175" s="15">
        <v>-1</v>
      </c>
      <c r="C175" s="15" t="s">
        <v>31</v>
      </c>
      <c r="D175" s="15">
        <v>1</v>
      </c>
      <c r="G175" s="15" t="s">
        <v>128</v>
      </c>
      <c r="H175" s="15">
        <v>11</v>
      </c>
      <c r="I175" s="15" t="s">
        <v>60</v>
      </c>
      <c r="J175" s="15">
        <v>1</v>
      </c>
    </row>
    <row r="176" spans="1:10" x14ac:dyDescent="0.25">
      <c r="A176" s="15" t="s">
        <v>341</v>
      </c>
      <c r="B176" s="15">
        <v>0</v>
      </c>
      <c r="C176" s="15" t="s">
        <v>83</v>
      </c>
      <c r="D176" s="15">
        <v>1</v>
      </c>
      <c r="G176" s="15" t="s">
        <v>128</v>
      </c>
      <c r="H176" s="15">
        <v>12</v>
      </c>
      <c r="I176" s="15" t="s">
        <v>31</v>
      </c>
      <c r="J176" s="15">
        <v>1</v>
      </c>
    </row>
    <row r="177" spans="1:10" x14ac:dyDescent="0.25">
      <c r="A177" s="15" t="s">
        <v>341</v>
      </c>
      <c r="B177" s="15">
        <v>1</v>
      </c>
      <c r="C177" s="15" t="s">
        <v>83</v>
      </c>
      <c r="D177" s="15">
        <v>1</v>
      </c>
      <c r="G177" s="15" t="s">
        <v>128</v>
      </c>
      <c r="H177" s="15">
        <v>13</v>
      </c>
      <c r="I177" s="15" t="s">
        <v>31</v>
      </c>
      <c r="J177" s="15">
        <v>1</v>
      </c>
    </row>
    <row r="178" spans="1:10" x14ac:dyDescent="0.25">
      <c r="A178" s="15" t="s">
        <v>341</v>
      </c>
      <c r="B178" s="15">
        <v>2</v>
      </c>
      <c r="C178" s="15" t="s">
        <v>31</v>
      </c>
      <c r="D178" s="15">
        <v>1</v>
      </c>
      <c r="G178" s="15" t="s">
        <v>128</v>
      </c>
      <c r="H178" s="15">
        <v>14</v>
      </c>
      <c r="I178" s="15" t="s">
        <v>83</v>
      </c>
      <c r="J178" s="15">
        <v>1</v>
      </c>
    </row>
    <row r="179" spans="1:10" x14ac:dyDescent="0.25">
      <c r="A179" s="15" t="s">
        <v>341</v>
      </c>
      <c r="B179" s="15">
        <v>3</v>
      </c>
      <c r="C179" s="15" t="s">
        <v>31</v>
      </c>
      <c r="D179" s="15">
        <v>1</v>
      </c>
      <c r="G179" s="15" t="s">
        <v>128</v>
      </c>
      <c r="H179" s="15">
        <v>15</v>
      </c>
      <c r="I179" s="15" t="s">
        <v>83</v>
      </c>
      <c r="J179" s="15">
        <v>1</v>
      </c>
    </row>
    <row r="180" spans="1:10" x14ac:dyDescent="0.25">
      <c r="A180" s="15" t="s">
        <v>341</v>
      </c>
      <c r="B180" s="15">
        <v>4</v>
      </c>
      <c r="C180" s="15" t="s">
        <v>31</v>
      </c>
      <c r="D180" s="15">
        <v>1</v>
      </c>
      <c r="G180" s="15" t="s">
        <v>128</v>
      </c>
      <c r="H180" s="15">
        <v>16</v>
      </c>
      <c r="I180" s="15" t="s">
        <v>58</v>
      </c>
      <c r="J180" s="15">
        <v>1</v>
      </c>
    </row>
    <row r="181" spans="1:10" x14ac:dyDescent="0.25">
      <c r="A181" s="15" t="s">
        <v>341</v>
      </c>
      <c r="B181" s="15">
        <v>5</v>
      </c>
      <c r="C181" s="15" t="s">
        <v>43</v>
      </c>
      <c r="D181" s="15">
        <v>1</v>
      </c>
      <c r="G181" s="15" t="s">
        <v>128</v>
      </c>
      <c r="H181" s="15">
        <v>17</v>
      </c>
      <c r="I181" s="15" t="s">
        <v>31</v>
      </c>
      <c r="J181" s="15">
        <v>1</v>
      </c>
    </row>
    <row r="182" spans="1:10" x14ac:dyDescent="0.25">
      <c r="A182" s="15" t="s">
        <v>341</v>
      </c>
      <c r="B182" s="15">
        <v>6</v>
      </c>
      <c r="C182" s="15" t="s">
        <v>31</v>
      </c>
      <c r="D182" s="15">
        <v>1</v>
      </c>
      <c r="G182" s="15" t="s">
        <v>128</v>
      </c>
      <c r="H182" s="15">
        <v>18</v>
      </c>
      <c r="I182" s="15" t="s">
        <v>58</v>
      </c>
      <c r="J182" s="15">
        <v>1</v>
      </c>
    </row>
    <row r="183" spans="1:10" x14ac:dyDescent="0.25">
      <c r="A183" s="15" t="s">
        <v>131</v>
      </c>
      <c r="B183" s="15">
        <v>-6</v>
      </c>
      <c r="C183" s="15" t="s">
        <v>83</v>
      </c>
      <c r="D183" s="15">
        <v>1</v>
      </c>
      <c r="G183" s="15" t="s">
        <v>128</v>
      </c>
      <c r="H183" s="15">
        <v>19</v>
      </c>
      <c r="I183" s="15" t="s">
        <v>58</v>
      </c>
      <c r="J183" s="15">
        <v>1</v>
      </c>
    </row>
    <row r="184" spans="1:10" x14ac:dyDescent="0.25">
      <c r="A184" s="15" t="s">
        <v>131</v>
      </c>
      <c r="B184" s="15">
        <v>-5</v>
      </c>
      <c r="C184" s="15" t="s">
        <v>31</v>
      </c>
      <c r="D184" s="15">
        <v>1</v>
      </c>
      <c r="G184" s="15" t="s">
        <v>128</v>
      </c>
      <c r="H184" s="15">
        <v>20</v>
      </c>
      <c r="I184" s="15" t="s">
        <v>58</v>
      </c>
      <c r="J184" s="15">
        <v>1</v>
      </c>
    </row>
    <row r="185" spans="1:10" x14ac:dyDescent="0.25">
      <c r="A185" s="15" t="s">
        <v>131</v>
      </c>
      <c r="B185" s="15">
        <v>-4</v>
      </c>
      <c r="C185" s="15" t="s">
        <v>31</v>
      </c>
      <c r="D185" s="15">
        <v>1</v>
      </c>
      <c r="G185" s="15" t="s">
        <v>128</v>
      </c>
      <c r="H185" s="15">
        <v>21</v>
      </c>
      <c r="I185" s="15" t="s">
        <v>83</v>
      </c>
      <c r="J185" s="15">
        <v>1</v>
      </c>
    </row>
    <row r="186" spans="1:10" x14ac:dyDescent="0.25">
      <c r="A186" s="15" t="s">
        <v>131</v>
      </c>
      <c r="B186" s="15">
        <v>-3</v>
      </c>
      <c r="C186" s="15" t="s">
        <v>31</v>
      </c>
      <c r="D186" s="15">
        <v>1</v>
      </c>
      <c r="G186" s="15" t="s">
        <v>128</v>
      </c>
      <c r="H186" s="15">
        <v>22</v>
      </c>
      <c r="I186" s="15" t="s">
        <v>83</v>
      </c>
      <c r="J186" s="15">
        <v>1</v>
      </c>
    </row>
    <row r="187" spans="1:10" x14ac:dyDescent="0.25">
      <c r="A187" s="15" t="s">
        <v>131</v>
      </c>
      <c r="B187" s="15">
        <v>-2</v>
      </c>
      <c r="C187" s="15" t="s">
        <v>31</v>
      </c>
      <c r="D187" s="15">
        <v>1</v>
      </c>
      <c r="G187" s="15" t="s">
        <v>128</v>
      </c>
      <c r="H187" s="15">
        <v>23</v>
      </c>
      <c r="I187" s="15" t="s">
        <v>60</v>
      </c>
      <c r="J187" s="15">
        <v>1</v>
      </c>
    </row>
    <row r="188" spans="1:10" x14ac:dyDescent="0.25">
      <c r="A188" s="15" t="s">
        <v>131</v>
      </c>
      <c r="B188" s="15">
        <v>-1</v>
      </c>
      <c r="C188" s="15" t="s">
        <v>17</v>
      </c>
      <c r="D188" s="15">
        <v>1</v>
      </c>
      <c r="G188" s="15" t="s">
        <v>128</v>
      </c>
      <c r="H188" s="15">
        <v>24</v>
      </c>
      <c r="I188" s="15" t="s">
        <v>60</v>
      </c>
      <c r="J188" s="15">
        <v>1</v>
      </c>
    </row>
    <row r="189" spans="1:10" x14ac:dyDescent="0.25">
      <c r="A189" s="28" t="s">
        <v>131</v>
      </c>
      <c r="B189" s="28">
        <v>0</v>
      </c>
      <c r="C189" s="28" t="s">
        <v>83</v>
      </c>
      <c r="D189" s="28">
        <v>1</v>
      </c>
      <c r="G189" s="15" t="s">
        <v>128</v>
      </c>
      <c r="H189" s="15">
        <v>25</v>
      </c>
      <c r="I189" s="15" t="s">
        <v>60</v>
      </c>
      <c r="J189" s="15">
        <v>1</v>
      </c>
    </row>
    <row r="190" spans="1:10" x14ac:dyDescent="0.25">
      <c r="A190" s="28" t="s">
        <v>131</v>
      </c>
      <c r="B190" s="28">
        <v>1</v>
      </c>
      <c r="C190" s="28" t="s">
        <v>83</v>
      </c>
      <c r="D190" s="28">
        <v>1</v>
      </c>
      <c r="G190" s="15" t="s">
        <v>128</v>
      </c>
      <c r="H190" s="15">
        <v>26</v>
      </c>
      <c r="I190" s="15" t="s">
        <v>60</v>
      </c>
      <c r="J190" s="15">
        <v>1</v>
      </c>
    </row>
    <row r="191" spans="1:10" x14ac:dyDescent="0.25">
      <c r="A191" s="28" t="s">
        <v>131</v>
      </c>
      <c r="B191" s="28">
        <v>2</v>
      </c>
      <c r="C191" s="28" t="s">
        <v>31</v>
      </c>
      <c r="D191" s="28">
        <v>1</v>
      </c>
      <c r="G191" s="15" t="s">
        <v>128</v>
      </c>
      <c r="H191" s="15">
        <v>27</v>
      </c>
      <c r="I191" s="15" t="s">
        <v>58</v>
      </c>
      <c r="J191" s="15">
        <v>1</v>
      </c>
    </row>
    <row r="192" spans="1:10" x14ac:dyDescent="0.25">
      <c r="A192" s="28" t="s">
        <v>131</v>
      </c>
      <c r="B192" s="28">
        <v>3</v>
      </c>
      <c r="C192" s="28" t="s">
        <v>17</v>
      </c>
      <c r="D192" s="28">
        <v>1</v>
      </c>
      <c r="G192" s="15" t="s">
        <v>128</v>
      </c>
      <c r="H192" s="15">
        <v>28</v>
      </c>
      <c r="I192" s="15" t="s">
        <v>83</v>
      </c>
      <c r="J192" s="15">
        <v>1</v>
      </c>
    </row>
    <row r="193" spans="1:10" x14ac:dyDescent="0.25">
      <c r="A193" s="28" t="s">
        <v>131</v>
      </c>
      <c r="B193" s="28">
        <v>4</v>
      </c>
      <c r="C193" s="28" t="s">
        <v>65</v>
      </c>
      <c r="D193" s="28">
        <v>1</v>
      </c>
      <c r="G193" s="15" t="s">
        <v>128</v>
      </c>
      <c r="H193" s="15">
        <v>29</v>
      </c>
      <c r="I193" s="15" t="s">
        <v>83</v>
      </c>
      <c r="J193" s="15">
        <v>1</v>
      </c>
    </row>
    <row r="194" spans="1:10" x14ac:dyDescent="0.25">
      <c r="A194" s="28" t="s">
        <v>131</v>
      </c>
      <c r="B194" s="28">
        <v>5</v>
      </c>
      <c r="C194" s="28" t="s">
        <v>31</v>
      </c>
      <c r="D194" s="28">
        <v>1</v>
      </c>
      <c r="G194" s="15" t="s">
        <v>128</v>
      </c>
      <c r="H194" s="15">
        <v>30</v>
      </c>
      <c r="I194" s="15" t="s">
        <v>43</v>
      </c>
      <c r="J194" s="15">
        <v>1</v>
      </c>
    </row>
    <row r="195" spans="1:10" x14ac:dyDescent="0.25">
      <c r="A195" s="28" t="s">
        <v>131</v>
      </c>
      <c r="B195" s="28">
        <v>6</v>
      </c>
      <c r="C195" s="28" t="s">
        <v>31</v>
      </c>
      <c r="D195" s="28">
        <v>1</v>
      </c>
      <c r="G195" s="15" t="s">
        <v>129</v>
      </c>
      <c r="H195" s="15">
        <v>7</v>
      </c>
      <c r="I195" s="15" t="s">
        <v>83</v>
      </c>
      <c r="J195" s="15">
        <v>1</v>
      </c>
    </row>
    <row r="196" spans="1:10" x14ac:dyDescent="0.25">
      <c r="A196" s="28" t="s">
        <v>132</v>
      </c>
      <c r="B196" s="28">
        <v>-6</v>
      </c>
      <c r="C196" s="28" t="s">
        <v>83</v>
      </c>
      <c r="D196" s="28">
        <v>1</v>
      </c>
      <c r="G196" s="15" t="s">
        <v>129</v>
      </c>
      <c r="H196" s="15">
        <v>8</v>
      </c>
      <c r="I196" s="15" t="s">
        <v>371</v>
      </c>
      <c r="J196" s="15">
        <v>1</v>
      </c>
    </row>
    <row r="197" spans="1:10" x14ac:dyDescent="0.25">
      <c r="A197" s="28" t="s">
        <v>132</v>
      </c>
      <c r="B197" s="28">
        <v>-5</v>
      </c>
      <c r="C197" s="28" t="s">
        <v>69</v>
      </c>
      <c r="D197" s="28">
        <v>1</v>
      </c>
      <c r="G197" s="15" t="s">
        <v>129</v>
      </c>
      <c r="H197" s="15">
        <v>9</v>
      </c>
      <c r="I197" s="15" t="s">
        <v>58</v>
      </c>
      <c r="J197" s="15">
        <v>1</v>
      </c>
    </row>
    <row r="198" spans="1:10" x14ac:dyDescent="0.25">
      <c r="A198" s="28" t="s">
        <v>132</v>
      </c>
      <c r="B198" s="28">
        <v>-4</v>
      </c>
      <c r="C198" s="28" t="s">
        <v>43</v>
      </c>
      <c r="D198" s="28">
        <v>1</v>
      </c>
      <c r="G198" s="15" t="s">
        <v>129</v>
      </c>
      <c r="H198" s="15">
        <v>10</v>
      </c>
      <c r="I198" s="15" t="s">
        <v>31</v>
      </c>
      <c r="J198" s="15">
        <v>1</v>
      </c>
    </row>
    <row r="199" spans="1:10" x14ac:dyDescent="0.25">
      <c r="A199" s="28" t="s">
        <v>132</v>
      </c>
      <c r="B199" s="28">
        <v>-3</v>
      </c>
      <c r="C199" s="28" t="s">
        <v>53</v>
      </c>
      <c r="D199" s="28">
        <v>1</v>
      </c>
      <c r="G199" s="15" t="s">
        <v>129</v>
      </c>
      <c r="H199" s="15">
        <v>11</v>
      </c>
      <c r="I199" s="15" t="s">
        <v>58</v>
      </c>
      <c r="J199" s="15">
        <v>1</v>
      </c>
    </row>
    <row r="200" spans="1:10" x14ac:dyDescent="0.25">
      <c r="A200" s="28" t="s">
        <v>132</v>
      </c>
      <c r="B200" s="28">
        <v>-2</v>
      </c>
      <c r="C200" s="28" t="s">
        <v>65</v>
      </c>
      <c r="D200" s="28">
        <v>1</v>
      </c>
      <c r="G200" s="15" t="s">
        <v>129</v>
      </c>
      <c r="H200" s="15">
        <v>12</v>
      </c>
      <c r="I200" s="15" t="s">
        <v>60</v>
      </c>
      <c r="J200" s="15">
        <v>1</v>
      </c>
    </row>
    <row r="201" spans="1:10" x14ac:dyDescent="0.25">
      <c r="A201" s="28" t="s">
        <v>132</v>
      </c>
      <c r="B201" s="28">
        <v>-1</v>
      </c>
      <c r="C201" s="28" t="s">
        <v>31</v>
      </c>
      <c r="D201" s="28">
        <v>1</v>
      </c>
      <c r="G201" s="15" t="s">
        <v>129</v>
      </c>
      <c r="H201" s="15">
        <v>13</v>
      </c>
      <c r="I201" s="15" t="s">
        <v>60</v>
      </c>
      <c r="J201" s="15">
        <v>1</v>
      </c>
    </row>
    <row r="202" spans="1:10" x14ac:dyDescent="0.25">
      <c r="A202" s="28" t="s">
        <v>132</v>
      </c>
      <c r="B202" s="28">
        <v>0</v>
      </c>
      <c r="C202" s="28" t="s">
        <v>83</v>
      </c>
      <c r="D202" s="28">
        <v>1</v>
      </c>
      <c r="G202" s="15" t="s">
        <v>129</v>
      </c>
      <c r="H202" s="15">
        <v>14</v>
      </c>
      <c r="I202" s="15" t="s">
        <v>83</v>
      </c>
      <c r="J202" s="15">
        <v>1</v>
      </c>
    </row>
    <row r="203" spans="1:10" x14ac:dyDescent="0.25">
      <c r="A203" s="28" t="s">
        <v>132</v>
      </c>
      <c r="B203" s="28">
        <v>1</v>
      </c>
      <c r="C203" s="28" t="s">
        <v>83</v>
      </c>
      <c r="D203" s="28">
        <v>1</v>
      </c>
      <c r="G203" s="15" t="s">
        <v>129</v>
      </c>
      <c r="H203" s="15">
        <v>15</v>
      </c>
      <c r="I203" s="15" t="s">
        <v>83</v>
      </c>
      <c r="J203" s="15">
        <v>1</v>
      </c>
    </row>
    <row r="204" spans="1:10" x14ac:dyDescent="0.25">
      <c r="A204" s="28" t="s">
        <v>132</v>
      </c>
      <c r="B204" s="28">
        <v>2</v>
      </c>
      <c r="C204" s="28" t="s">
        <v>31</v>
      </c>
      <c r="D204" s="28">
        <v>1</v>
      </c>
      <c r="G204" s="15" t="s">
        <v>129</v>
      </c>
      <c r="H204" s="15">
        <v>16</v>
      </c>
      <c r="I204" s="15" t="s">
        <v>60</v>
      </c>
      <c r="J204" s="15">
        <v>1</v>
      </c>
    </row>
    <row r="205" spans="1:10" x14ac:dyDescent="0.25">
      <c r="A205" s="28" t="s">
        <v>132</v>
      </c>
      <c r="B205" s="28">
        <v>3</v>
      </c>
      <c r="C205" s="28" t="s">
        <v>365</v>
      </c>
      <c r="D205" s="28">
        <v>1</v>
      </c>
      <c r="G205" s="15" t="s">
        <v>129</v>
      </c>
      <c r="H205" s="15">
        <v>17</v>
      </c>
      <c r="I205" s="15" t="s">
        <v>60</v>
      </c>
      <c r="J205" s="15">
        <v>1</v>
      </c>
    </row>
    <row r="206" spans="1:10" x14ac:dyDescent="0.25">
      <c r="A206" s="28" t="s">
        <v>132</v>
      </c>
      <c r="B206" s="28">
        <v>4</v>
      </c>
      <c r="C206" s="28" t="s">
        <v>26</v>
      </c>
      <c r="D206" s="28">
        <v>1</v>
      </c>
      <c r="G206" s="15" t="s">
        <v>129</v>
      </c>
      <c r="H206" s="15">
        <v>18</v>
      </c>
      <c r="I206" s="15" t="s">
        <v>53</v>
      </c>
      <c r="J206" s="15">
        <v>1</v>
      </c>
    </row>
    <row r="207" spans="1:10" x14ac:dyDescent="0.25">
      <c r="A207" s="28" t="s">
        <v>132</v>
      </c>
      <c r="B207" s="28">
        <v>5</v>
      </c>
      <c r="C207" s="28" t="s">
        <v>26</v>
      </c>
      <c r="D207" s="28">
        <v>1</v>
      </c>
      <c r="G207" s="15" t="s">
        <v>129</v>
      </c>
      <c r="H207" s="15">
        <v>19</v>
      </c>
      <c r="I207" s="15" t="s">
        <v>65</v>
      </c>
      <c r="J207" s="15">
        <v>1</v>
      </c>
    </row>
    <row r="208" spans="1:10" x14ac:dyDescent="0.25">
      <c r="A208" s="28" t="s">
        <v>132</v>
      </c>
      <c r="B208" s="28">
        <v>6</v>
      </c>
      <c r="C208" s="28" t="s">
        <v>31</v>
      </c>
      <c r="D208" s="28">
        <v>1</v>
      </c>
      <c r="G208" s="15" t="s">
        <v>129</v>
      </c>
      <c r="H208" s="15">
        <v>20</v>
      </c>
      <c r="I208" s="15" t="s">
        <v>32</v>
      </c>
      <c r="J208" s="15">
        <v>1</v>
      </c>
    </row>
    <row r="209" spans="1:10" x14ac:dyDescent="0.25">
      <c r="A209" s="28" t="s">
        <v>133</v>
      </c>
      <c r="B209" s="28">
        <v>-6</v>
      </c>
      <c r="C209" s="28" t="s">
        <v>83</v>
      </c>
      <c r="D209" s="28">
        <v>1</v>
      </c>
      <c r="G209" s="15" t="s">
        <v>129</v>
      </c>
      <c r="H209" s="15">
        <v>21</v>
      </c>
      <c r="I209" s="15" t="s">
        <v>84</v>
      </c>
      <c r="J209" s="15">
        <v>1</v>
      </c>
    </row>
    <row r="210" spans="1:10" x14ac:dyDescent="0.25">
      <c r="A210" s="28" t="s">
        <v>133</v>
      </c>
      <c r="B210" s="28">
        <v>-5</v>
      </c>
      <c r="C210" s="28" t="s">
        <v>31</v>
      </c>
      <c r="D210" s="28">
        <v>1</v>
      </c>
      <c r="G210" s="15" t="s">
        <v>129</v>
      </c>
      <c r="H210" s="15">
        <v>22</v>
      </c>
      <c r="I210" s="15" t="s">
        <v>84</v>
      </c>
      <c r="J210" s="15">
        <v>1</v>
      </c>
    </row>
    <row r="211" spans="1:10" x14ac:dyDescent="0.25">
      <c r="A211" s="28" t="s">
        <v>133</v>
      </c>
      <c r="B211" s="28">
        <v>-4</v>
      </c>
      <c r="C211" s="28" t="s">
        <v>31</v>
      </c>
      <c r="D211" s="28">
        <v>1</v>
      </c>
      <c r="G211" s="15" t="s">
        <v>129</v>
      </c>
      <c r="H211" s="15">
        <v>23</v>
      </c>
      <c r="I211" s="15" t="s">
        <v>63</v>
      </c>
      <c r="J211" s="15">
        <v>1</v>
      </c>
    </row>
    <row r="212" spans="1:10" x14ac:dyDescent="0.25">
      <c r="A212" s="28" t="s">
        <v>133</v>
      </c>
      <c r="B212" s="28">
        <v>-3</v>
      </c>
      <c r="C212" s="28" t="s">
        <v>31</v>
      </c>
      <c r="D212" s="28">
        <v>1</v>
      </c>
      <c r="G212" s="15" t="s">
        <v>129</v>
      </c>
      <c r="H212" s="15">
        <v>24</v>
      </c>
      <c r="I212" s="15" t="s">
        <v>63</v>
      </c>
      <c r="J212" s="15">
        <v>1</v>
      </c>
    </row>
    <row r="213" spans="1:10" x14ac:dyDescent="0.25">
      <c r="A213" s="28" t="s">
        <v>133</v>
      </c>
      <c r="B213" s="28">
        <v>-2</v>
      </c>
      <c r="C213" s="28" t="s">
        <v>43</v>
      </c>
      <c r="D213" s="28">
        <v>1</v>
      </c>
      <c r="G213" s="15" t="s">
        <v>129</v>
      </c>
      <c r="H213" s="15">
        <v>25</v>
      </c>
      <c r="I213" s="15" t="s">
        <v>63</v>
      </c>
      <c r="J213" s="15">
        <v>1</v>
      </c>
    </row>
    <row r="214" spans="1:10" x14ac:dyDescent="0.25">
      <c r="A214" s="28" t="s">
        <v>133</v>
      </c>
      <c r="B214" s="28">
        <v>-1</v>
      </c>
      <c r="C214" s="28" t="s">
        <v>31</v>
      </c>
      <c r="D214" s="28">
        <v>1</v>
      </c>
      <c r="G214" s="15" t="s">
        <v>129</v>
      </c>
      <c r="H214" s="15">
        <v>26</v>
      </c>
      <c r="I214" s="15" t="s">
        <v>63</v>
      </c>
      <c r="J214" s="15">
        <v>1</v>
      </c>
    </row>
    <row r="215" spans="1:10" x14ac:dyDescent="0.25">
      <c r="A215" s="28" t="s">
        <v>133</v>
      </c>
      <c r="B215" s="28">
        <v>0</v>
      </c>
      <c r="C215" s="28" t="s">
        <v>83</v>
      </c>
      <c r="D215" s="28">
        <v>1</v>
      </c>
      <c r="G215" s="15" t="s">
        <v>129</v>
      </c>
      <c r="H215" s="15">
        <v>27</v>
      </c>
      <c r="I215" s="15" t="s">
        <v>63</v>
      </c>
      <c r="J215" s="15">
        <v>1</v>
      </c>
    </row>
    <row r="216" spans="1:10" x14ac:dyDescent="0.25">
      <c r="A216" s="28" t="s">
        <v>133</v>
      </c>
      <c r="B216" s="28">
        <v>1</v>
      </c>
      <c r="C216" s="28" t="s">
        <v>83</v>
      </c>
      <c r="D216" s="28">
        <v>1</v>
      </c>
      <c r="G216" s="15" t="s">
        <v>129</v>
      </c>
      <c r="H216" s="15">
        <v>28</v>
      </c>
      <c r="I216" s="15" t="s">
        <v>84</v>
      </c>
      <c r="J216" s="15">
        <v>1</v>
      </c>
    </row>
    <row r="217" spans="1:10" x14ac:dyDescent="0.25">
      <c r="A217" s="28" t="s">
        <v>133</v>
      </c>
      <c r="B217" s="28">
        <v>2</v>
      </c>
      <c r="C217" s="28" t="s">
        <v>31</v>
      </c>
      <c r="D217" s="28">
        <v>1</v>
      </c>
      <c r="G217" s="15" t="s">
        <v>129</v>
      </c>
      <c r="H217" s="15">
        <v>29</v>
      </c>
      <c r="I217" s="15" t="s">
        <v>84</v>
      </c>
      <c r="J217" s="15">
        <v>1</v>
      </c>
    </row>
    <row r="218" spans="1:10" x14ac:dyDescent="0.25">
      <c r="A218" s="28" t="s">
        <v>133</v>
      </c>
      <c r="B218" s="28">
        <v>3</v>
      </c>
      <c r="C218" s="28" t="s">
        <v>31</v>
      </c>
      <c r="D218" s="28">
        <v>1</v>
      </c>
      <c r="G218" s="15" t="s">
        <v>129</v>
      </c>
      <c r="H218" s="15">
        <v>30</v>
      </c>
      <c r="I218" s="15" t="s">
        <v>364</v>
      </c>
      <c r="J218" s="15">
        <v>1</v>
      </c>
    </row>
    <row r="219" spans="1:10" x14ac:dyDescent="0.25">
      <c r="A219" s="28" t="s">
        <v>133</v>
      </c>
      <c r="B219" s="28">
        <v>4</v>
      </c>
      <c r="C219" s="28" t="s">
        <v>31</v>
      </c>
      <c r="D219" s="28">
        <v>1</v>
      </c>
      <c r="G219" s="15" t="s">
        <v>130</v>
      </c>
      <c r="H219" s="15">
        <v>7</v>
      </c>
      <c r="I219" s="15" t="s">
        <v>83</v>
      </c>
      <c r="J219" s="15">
        <v>1</v>
      </c>
    </row>
    <row r="220" spans="1:10" x14ac:dyDescent="0.25">
      <c r="A220" s="28" t="s">
        <v>133</v>
      </c>
      <c r="B220" s="28">
        <v>5</v>
      </c>
      <c r="C220" s="28" t="s">
        <v>31</v>
      </c>
      <c r="D220" s="28">
        <v>1</v>
      </c>
      <c r="G220" s="15" t="s">
        <v>130</v>
      </c>
      <c r="H220" s="15">
        <v>8</v>
      </c>
      <c r="I220" s="15" t="s">
        <v>83</v>
      </c>
      <c r="J220" s="15">
        <v>1</v>
      </c>
    </row>
    <row r="221" spans="1:10" x14ac:dyDescent="0.25">
      <c r="A221" s="28" t="s">
        <v>133</v>
      </c>
      <c r="B221" s="28">
        <v>6</v>
      </c>
      <c r="C221" s="28" t="s">
        <v>17</v>
      </c>
      <c r="D221" s="28">
        <v>1</v>
      </c>
      <c r="G221" s="15" t="s">
        <v>130</v>
      </c>
      <c r="H221" s="15">
        <v>9</v>
      </c>
      <c r="I221" s="15" t="s">
        <v>31</v>
      </c>
      <c r="J221" s="15">
        <v>1</v>
      </c>
    </row>
    <row r="222" spans="1:10" x14ac:dyDescent="0.25">
      <c r="A222" s="28" t="s">
        <v>133</v>
      </c>
      <c r="B222" s="28">
        <v>28</v>
      </c>
      <c r="C222" s="28" t="s">
        <v>84</v>
      </c>
      <c r="D222" s="28">
        <v>1</v>
      </c>
      <c r="G222" s="15" t="s">
        <v>130</v>
      </c>
      <c r="H222" s="15">
        <v>10</v>
      </c>
      <c r="I222" s="15" t="s">
        <v>5</v>
      </c>
      <c r="J222" s="15">
        <v>1</v>
      </c>
    </row>
    <row r="223" spans="1:10" x14ac:dyDescent="0.25">
      <c r="A223" s="28" t="s">
        <v>133</v>
      </c>
      <c r="B223" s="28">
        <v>29</v>
      </c>
      <c r="C223" s="28" t="s">
        <v>84</v>
      </c>
      <c r="D223" s="28">
        <v>1</v>
      </c>
      <c r="G223" s="15" t="s">
        <v>130</v>
      </c>
      <c r="H223" s="15">
        <v>11</v>
      </c>
      <c r="I223" s="15" t="s">
        <v>17</v>
      </c>
      <c r="J223" s="15">
        <v>1</v>
      </c>
    </row>
    <row r="224" spans="1:10" x14ac:dyDescent="0.25">
      <c r="A224" s="28" t="s">
        <v>133</v>
      </c>
      <c r="B224" s="28">
        <v>30</v>
      </c>
      <c r="C224" s="28" t="s">
        <v>63</v>
      </c>
      <c r="D224" s="28">
        <v>1</v>
      </c>
      <c r="G224" s="15" t="s">
        <v>130</v>
      </c>
      <c r="H224" s="15">
        <v>12</v>
      </c>
      <c r="I224" s="15" t="s">
        <v>65</v>
      </c>
      <c r="J224" s="15">
        <v>1</v>
      </c>
    </row>
    <row r="225" spans="1:10" x14ac:dyDescent="0.25">
      <c r="A225" s="28" t="s">
        <v>134</v>
      </c>
      <c r="B225" s="28">
        <v>-6</v>
      </c>
      <c r="C225" s="28" t="s">
        <v>83</v>
      </c>
      <c r="D225" s="28">
        <v>1</v>
      </c>
      <c r="G225" s="15" t="s">
        <v>130</v>
      </c>
      <c r="H225" s="15">
        <v>13</v>
      </c>
      <c r="I225" s="15" t="s">
        <v>31</v>
      </c>
      <c r="J225" s="15">
        <v>1</v>
      </c>
    </row>
    <row r="226" spans="1:10" x14ac:dyDescent="0.25">
      <c r="A226" s="28" t="s">
        <v>134</v>
      </c>
      <c r="B226" s="28">
        <v>-5</v>
      </c>
      <c r="C226" s="28" t="s">
        <v>26</v>
      </c>
      <c r="D226" s="28">
        <v>1</v>
      </c>
      <c r="G226" s="15" t="s">
        <v>130</v>
      </c>
      <c r="H226" s="15">
        <v>14</v>
      </c>
      <c r="I226" s="15" t="s">
        <v>83</v>
      </c>
      <c r="J226" s="15">
        <v>1</v>
      </c>
    </row>
    <row r="227" spans="1:10" x14ac:dyDescent="0.25">
      <c r="A227" s="28" t="s">
        <v>134</v>
      </c>
      <c r="B227" s="28">
        <v>-4</v>
      </c>
      <c r="C227" s="28" t="s">
        <v>26</v>
      </c>
      <c r="D227" s="28">
        <v>1</v>
      </c>
      <c r="G227" s="15" t="s">
        <v>130</v>
      </c>
      <c r="H227" s="15">
        <v>15</v>
      </c>
      <c r="I227" s="15" t="s">
        <v>83</v>
      </c>
      <c r="J227" s="15">
        <v>1</v>
      </c>
    </row>
    <row r="228" spans="1:10" x14ac:dyDescent="0.25">
      <c r="A228" s="28" t="s">
        <v>134</v>
      </c>
      <c r="B228" s="28">
        <v>-3</v>
      </c>
      <c r="C228" s="28" t="s">
        <v>26</v>
      </c>
      <c r="D228" s="28">
        <v>1</v>
      </c>
      <c r="G228" s="15" t="s">
        <v>130</v>
      </c>
      <c r="H228" s="15">
        <v>16</v>
      </c>
      <c r="I228" s="15" t="s">
        <v>31</v>
      </c>
      <c r="J228" s="15">
        <v>1</v>
      </c>
    </row>
    <row r="229" spans="1:10" x14ac:dyDescent="0.25">
      <c r="A229" s="28" t="s">
        <v>134</v>
      </c>
      <c r="B229" s="28">
        <v>-2</v>
      </c>
      <c r="C229" s="28" t="s">
        <v>5</v>
      </c>
      <c r="D229" s="28">
        <v>1</v>
      </c>
      <c r="G229" s="15" t="s">
        <v>130</v>
      </c>
      <c r="H229" s="15">
        <v>17</v>
      </c>
      <c r="I229" s="15" t="s">
        <v>5</v>
      </c>
      <c r="J229" s="15">
        <v>1</v>
      </c>
    </row>
    <row r="230" spans="1:10" x14ac:dyDescent="0.25">
      <c r="A230" s="28" t="s">
        <v>134</v>
      </c>
      <c r="B230" s="28">
        <v>-1</v>
      </c>
      <c r="C230" s="28" t="s">
        <v>26</v>
      </c>
      <c r="D230" s="28">
        <v>1</v>
      </c>
      <c r="G230" s="15" t="s">
        <v>130</v>
      </c>
      <c r="H230" s="15">
        <v>18</v>
      </c>
      <c r="I230" s="15" t="s">
        <v>83</v>
      </c>
      <c r="J230" s="15">
        <v>1</v>
      </c>
    </row>
    <row r="231" spans="1:10" x14ac:dyDescent="0.25">
      <c r="A231" s="28" t="s">
        <v>134</v>
      </c>
      <c r="B231" s="28">
        <v>0</v>
      </c>
      <c r="C231" s="28" t="s">
        <v>83</v>
      </c>
      <c r="D231" s="28">
        <v>1</v>
      </c>
      <c r="G231" s="15" t="s">
        <v>130</v>
      </c>
      <c r="H231" s="15">
        <v>19</v>
      </c>
      <c r="I231" s="15" t="s">
        <v>63</v>
      </c>
      <c r="J231" s="15">
        <v>1</v>
      </c>
    </row>
    <row r="232" spans="1:10" x14ac:dyDescent="0.25">
      <c r="A232" s="28" t="s">
        <v>134</v>
      </c>
      <c r="B232" s="28">
        <v>1</v>
      </c>
      <c r="C232" s="28" t="s">
        <v>83</v>
      </c>
      <c r="D232" s="28">
        <v>1</v>
      </c>
      <c r="G232" s="15" t="s">
        <v>130</v>
      </c>
      <c r="H232" s="15">
        <v>20</v>
      </c>
      <c r="I232" s="15" t="s">
        <v>63</v>
      </c>
      <c r="J232" s="15">
        <v>1</v>
      </c>
    </row>
    <row r="233" spans="1:10" x14ac:dyDescent="0.25">
      <c r="A233" s="28" t="s">
        <v>134</v>
      </c>
      <c r="B233" s="28">
        <v>2</v>
      </c>
      <c r="C233" s="28" t="s">
        <v>26</v>
      </c>
      <c r="D233" s="28">
        <v>1</v>
      </c>
      <c r="G233" s="15" t="s">
        <v>130</v>
      </c>
      <c r="H233" s="15">
        <v>21</v>
      </c>
      <c r="I233" s="15" t="s">
        <v>35</v>
      </c>
      <c r="J233" s="15">
        <v>1</v>
      </c>
    </row>
    <row r="234" spans="1:10" x14ac:dyDescent="0.25">
      <c r="A234" s="28" t="s">
        <v>134</v>
      </c>
      <c r="B234" s="28">
        <v>3</v>
      </c>
      <c r="C234" s="28" t="s">
        <v>26</v>
      </c>
      <c r="D234" s="28">
        <v>1</v>
      </c>
      <c r="G234" s="15" t="s">
        <v>130</v>
      </c>
      <c r="H234" s="15">
        <v>22</v>
      </c>
      <c r="I234" s="15" t="s">
        <v>38</v>
      </c>
      <c r="J234" s="15">
        <v>1</v>
      </c>
    </row>
    <row r="235" spans="1:10" x14ac:dyDescent="0.25">
      <c r="A235" s="28" t="s">
        <v>134</v>
      </c>
      <c r="B235" s="28">
        <v>4</v>
      </c>
      <c r="C235" s="28" t="s">
        <v>26</v>
      </c>
      <c r="D235" s="28">
        <v>1</v>
      </c>
      <c r="G235" s="15" t="s">
        <v>130</v>
      </c>
      <c r="H235" s="15">
        <v>23</v>
      </c>
      <c r="I235" s="15" t="s">
        <v>31</v>
      </c>
      <c r="J235" s="15">
        <v>1</v>
      </c>
    </row>
    <row r="236" spans="1:10" x14ac:dyDescent="0.25">
      <c r="A236" s="28" t="s">
        <v>134</v>
      </c>
      <c r="B236" s="28">
        <v>5</v>
      </c>
      <c r="C236" s="28" t="s">
        <v>5</v>
      </c>
      <c r="D236" s="28">
        <v>1</v>
      </c>
      <c r="G236" s="15" t="s">
        <v>130</v>
      </c>
      <c r="H236" s="15">
        <v>24</v>
      </c>
      <c r="I236" s="15" t="s">
        <v>5</v>
      </c>
      <c r="J236" s="15">
        <v>1</v>
      </c>
    </row>
    <row r="237" spans="1:10" x14ac:dyDescent="0.25">
      <c r="A237" s="28" t="s">
        <v>134</v>
      </c>
      <c r="B237" s="28">
        <v>6</v>
      </c>
      <c r="C237" s="28" t="s">
        <v>26</v>
      </c>
      <c r="D237" s="28">
        <v>1</v>
      </c>
      <c r="G237" s="15" t="s">
        <v>130</v>
      </c>
      <c r="H237" s="15">
        <v>25</v>
      </c>
      <c r="I237" s="15" t="s">
        <v>17</v>
      </c>
      <c r="J237" s="15">
        <v>1</v>
      </c>
    </row>
    <row r="238" spans="1:10" x14ac:dyDescent="0.25">
      <c r="A238" s="28" t="s">
        <v>134</v>
      </c>
      <c r="B238" s="28">
        <v>12</v>
      </c>
      <c r="C238" s="28" t="s">
        <v>5</v>
      </c>
      <c r="D238" s="28">
        <v>1</v>
      </c>
      <c r="G238" s="15" t="s">
        <v>130</v>
      </c>
      <c r="H238" s="15">
        <v>26</v>
      </c>
      <c r="I238" s="15" t="s">
        <v>65</v>
      </c>
      <c r="J238" s="15">
        <v>1</v>
      </c>
    </row>
    <row r="239" spans="1:10" x14ac:dyDescent="0.25">
      <c r="A239" s="28" t="s">
        <v>134</v>
      </c>
      <c r="B239" s="28">
        <v>19</v>
      </c>
      <c r="C239" s="28" t="s">
        <v>5</v>
      </c>
      <c r="D239" s="28">
        <v>1</v>
      </c>
      <c r="G239" s="15" t="s">
        <v>130</v>
      </c>
      <c r="H239" s="15">
        <v>27</v>
      </c>
      <c r="I239" s="15" t="s">
        <v>69</v>
      </c>
      <c r="J239" s="15">
        <v>1</v>
      </c>
    </row>
    <row r="240" spans="1:10" x14ac:dyDescent="0.25">
      <c r="A240" s="28" t="s">
        <v>134</v>
      </c>
      <c r="B240" s="28">
        <v>26</v>
      </c>
      <c r="C240" s="28" t="s">
        <v>5</v>
      </c>
      <c r="D240" s="28">
        <v>1</v>
      </c>
      <c r="G240" s="15" t="s">
        <v>130</v>
      </c>
      <c r="H240" s="15">
        <v>28</v>
      </c>
      <c r="I240" s="15" t="s">
        <v>69</v>
      </c>
      <c r="J240" s="15">
        <v>1</v>
      </c>
    </row>
    <row r="241" spans="1:10" x14ac:dyDescent="0.25">
      <c r="A241" s="28" t="s">
        <v>135</v>
      </c>
      <c r="B241" s="28">
        <v>-6</v>
      </c>
      <c r="C241" s="28" t="s">
        <v>84</v>
      </c>
      <c r="D241" s="28">
        <v>1</v>
      </c>
      <c r="G241" s="15" t="s">
        <v>130</v>
      </c>
      <c r="H241" s="15">
        <v>29</v>
      </c>
      <c r="I241" s="15" t="s">
        <v>69</v>
      </c>
      <c r="J241" s="15">
        <v>1</v>
      </c>
    </row>
    <row r="242" spans="1:10" x14ac:dyDescent="0.25">
      <c r="A242" s="28" t="s">
        <v>135</v>
      </c>
      <c r="B242" s="28">
        <v>-5</v>
      </c>
      <c r="C242" s="28" t="s">
        <v>63</v>
      </c>
      <c r="D242" s="28">
        <v>1</v>
      </c>
      <c r="G242" s="15" t="s">
        <v>130</v>
      </c>
      <c r="H242" s="15">
        <v>30</v>
      </c>
      <c r="I242" s="15" t="s">
        <v>31</v>
      </c>
      <c r="J242" s="15">
        <v>1</v>
      </c>
    </row>
    <row r="243" spans="1:10" x14ac:dyDescent="0.25">
      <c r="A243" s="28" t="s">
        <v>135</v>
      </c>
      <c r="B243" s="28">
        <v>-4</v>
      </c>
      <c r="C243" s="28" t="s">
        <v>63</v>
      </c>
      <c r="D243" s="28">
        <v>1</v>
      </c>
      <c r="G243" s="15" t="s">
        <v>341</v>
      </c>
      <c r="H243" s="15">
        <v>7</v>
      </c>
      <c r="I243" s="15" t="s">
        <v>83</v>
      </c>
      <c r="J243" s="15">
        <v>1</v>
      </c>
    </row>
    <row r="244" spans="1:10" x14ac:dyDescent="0.25">
      <c r="A244" s="28" t="s">
        <v>135</v>
      </c>
      <c r="B244" s="28">
        <v>-3</v>
      </c>
      <c r="C244" s="28" t="s">
        <v>63</v>
      </c>
      <c r="D244" s="28">
        <v>1</v>
      </c>
      <c r="G244" s="15" t="s">
        <v>341</v>
      </c>
      <c r="H244" s="15">
        <v>8</v>
      </c>
      <c r="I244" s="15" t="s">
        <v>83</v>
      </c>
      <c r="J244" s="15">
        <v>1</v>
      </c>
    </row>
    <row r="245" spans="1:10" x14ac:dyDescent="0.25">
      <c r="A245" s="28" t="s">
        <v>135</v>
      </c>
      <c r="B245" s="28">
        <v>-2</v>
      </c>
      <c r="C245" s="28" t="s">
        <v>63</v>
      </c>
      <c r="D245" s="28">
        <v>1</v>
      </c>
      <c r="G245" s="15" t="s">
        <v>341</v>
      </c>
      <c r="H245" s="15">
        <v>9</v>
      </c>
      <c r="I245" s="15" t="s">
        <v>32</v>
      </c>
      <c r="J245" s="15">
        <v>1</v>
      </c>
    </row>
    <row r="246" spans="1:10" x14ac:dyDescent="0.25">
      <c r="A246" s="28" t="s">
        <v>135</v>
      </c>
      <c r="B246" s="28">
        <v>-1</v>
      </c>
      <c r="C246" s="28" t="s">
        <v>63</v>
      </c>
      <c r="D246" s="28">
        <v>1</v>
      </c>
      <c r="G246" s="15" t="s">
        <v>341</v>
      </c>
      <c r="H246" s="15">
        <v>10</v>
      </c>
      <c r="I246" s="15" t="s">
        <v>32</v>
      </c>
      <c r="J246" s="15">
        <v>1</v>
      </c>
    </row>
    <row r="247" spans="1:10" x14ac:dyDescent="0.25">
      <c r="A247" s="28" t="s">
        <v>135</v>
      </c>
      <c r="B247" s="28">
        <v>0</v>
      </c>
      <c r="C247" s="28" t="s">
        <v>84</v>
      </c>
      <c r="D247" s="28">
        <v>1</v>
      </c>
      <c r="G247" s="15" t="s">
        <v>341</v>
      </c>
      <c r="H247" s="15">
        <v>11</v>
      </c>
      <c r="I247" s="15" t="s">
        <v>31</v>
      </c>
      <c r="J247" s="15">
        <v>1</v>
      </c>
    </row>
    <row r="248" spans="1:10" x14ac:dyDescent="0.25">
      <c r="A248" s="28" t="s">
        <v>135</v>
      </c>
      <c r="B248" s="28">
        <v>1</v>
      </c>
      <c r="C248" s="28" t="s">
        <v>83</v>
      </c>
      <c r="D248" s="28">
        <v>1</v>
      </c>
      <c r="G248" s="15" t="s">
        <v>341</v>
      </c>
      <c r="H248" s="15">
        <v>12</v>
      </c>
      <c r="I248" s="15" t="s">
        <v>31</v>
      </c>
      <c r="J248" s="15">
        <v>1</v>
      </c>
    </row>
    <row r="249" spans="1:10" x14ac:dyDescent="0.25">
      <c r="A249" s="28" t="s">
        <v>135</v>
      </c>
      <c r="B249" s="28">
        <v>2</v>
      </c>
      <c r="C249" s="28" t="s">
        <v>31</v>
      </c>
      <c r="D249" s="28">
        <v>1</v>
      </c>
      <c r="G249" s="15" t="s">
        <v>341</v>
      </c>
      <c r="H249" s="15">
        <v>13</v>
      </c>
      <c r="I249" s="15" t="s">
        <v>31</v>
      </c>
      <c r="J249" s="15">
        <v>1</v>
      </c>
    </row>
    <row r="250" spans="1:10" x14ac:dyDescent="0.25">
      <c r="A250" s="28" t="s">
        <v>135</v>
      </c>
      <c r="B250" s="28">
        <v>3</v>
      </c>
      <c r="C250" s="28" t="s">
        <v>31</v>
      </c>
      <c r="D250" s="28">
        <v>1</v>
      </c>
      <c r="G250" s="15" t="s">
        <v>341</v>
      </c>
      <c r="H250" s="15">
        <v>14</v>
      </c>
      <c r="I250" s="15" t="s">
        <v>83</v>
      </c>
      <c r="J250" s="15">
        <v>1</v>
      </c>
    </row>
    <row r="251" spans="1:10" x14ac:dyDescent="0.25">
      <c r="A251" s="28" t="s">
        <v>135</v>
      </c>
      <c r="B251" s="28">
        <v>4</v>
      </c>
      <c r="C251" s="28" t="s">
        <v>31</v>
      </c>
      <c r="D251" s="28">
        <v>1</v>
      </c>
      <c r="G251" s="15" t="s">
        <v>341</v>
      </c>
      <c r="H251" s="15">
        <v>15</v>
      </c>
      <c r="I251" s="15" t="s">
        <v>83</v>
      </c>
      <c r="J251" s="15">
        <v>1</v>
      </c>
    </row>
    <row r="252" spans="1:10" x14ac:dyDescent="0.25">
      <c r="A252" s="28" t="s">
        <v>135</v>
      </c>
      <c r="B252" s="28">
        <v>5</v>
      </c>
      <c r="C252" s="28" t="s">
        <v>31</v>
      </c>
      <c r="D252" s="28">
        <v>1</v>
      </c>
      <c r="G252" s="15" t="s">
        <v>341</v>
      </c>
      <c r="H252" s="15">
        <v>16</v>
      </c>
      <c r="I252" s="15" t="s">
        <v>31</v>
      </c>
      <c r="J252" s="15">
        <v>1</v>
      </c>
    </row>
    <row r="253" spans="1:10" x14ac:dyDescent="0.25">
      <c r="A253" s="28" t="s">
        <v>135</v>
      </c>
      <c r="B253" s="28">
        <v>6</v>
      </c>
      <c r="C253" s="28" t="s">
        <v>53</v>
      </c>
      <c r="D253" s="28">
        <v>1</v>
      </c>
      <c r="G253" s="15" t="s">
        <v>341</v>
      </c>
      <c r="H253" s="15">
        <v>17</v>
      </c>
      <c r="I253" s="15" t="s">
        <v>31</v>
      </c>
      <c r="J253" s="15">
        <v>1</v>
      </c>
    </row>
    <row r="254" spans="1:10" x14ac:dyDescent="0.25">
      <c r="A254" s="28" t="s">
        <v>136</v>
      </c>
      <c r="B254" s="28">
        <v>-6</v>
      </c>
      <c r="C254" s="28" t="s">
        <v>83</v>
      </c>
      <c r="D254" s="28">
        <v>1</v>
      </c>
      <c r="G254" s="15" t="s">
        <v>341</v>
      </c>
      <c r="H254" s="15">
        <v>18</v>
      </c>
      <c r="I254" s="15" t="s">
        <v>31</v>
      </c>
      <c r="J254" s="15">
        <v>1</v>
      </c>
    </row>
    <row r="255" spans="1:10" x14ac:dyDescent="0.25">
      <c r="A255" s="28" t="s">
        <v>136</v>
      </c>
      <c r="B255" s="28">
        <v>-5</v>
      </c>
      <c r="C255" s="28" t="s">
        <v>31</v>
      </c>
      <c r="D255" s="28">
        <v>1</v>
      </c>
      <c r="G255" s="15" t="s">
        <v>341</v>
      </c>
      <c r="H255" s="15">
        <v>19</v>
      </c>
      <c r="I255" s="15" t="s">
        <v>6</v>
      </c>
      <c r="J255" s="15">
        <v>1</v>
      </c>
    </row>
    <row r="256" spans="1:10" x14ac:dyDescent="0.25">
      <c r="A256" s="28" t="s">
        <v>136</v>
      </c>
      <c r="B256" s="28">
        <v>-4</v>
      </c>
      <c r="C256" s="28" t="s">
        <v>26</v>
      </c>
      <c r="D256" s="28">
        <v>1</v>
      </c>
      <c r="G256" s="15" t="s">
        <v>341</v>
      </c>
      <c r="H256" s="15">
        <v>20</v>
      </c>
      <c r="I256" s="15" t="s">
        <v>6</v>
      </c>
      <c r="J256" s="15">
        <v>1</v>
      </c>
    </row>
    <row r="257" spans="1:10" x14ac:dyDescent="0.25">
      <c r="A257" s="28" t="s">
        <v>136</v>
      </c>
      <c r="B257" s="28">
        <v>-3</v>
      </c>
      <c r="C257" s="28" t="s">
        <v>26</v>
      </c>
      <c r="D257" s="28">
        <v>1</v>
      </c>
      <c r="G257" s="15" t="s">
        <v>341</v>
      </c>
      <c r="H257" s="15">
        <v>21</v>
      </c>
      <c r="I257" s="15" t="s">
        <v>83</v>
      </c>
      <c r="J257" s="15">
        <v>1</v>
      </c>
    </row>
    <row r="258" spans="1:10" x14ac:dyDescent="0.25">
      <c r="A258" s="28" t="s">
        <v>136</v>
      </c>
      <c r="B258" s="28">
        <v>-2</v>
      </c>
      <c r="C258" s="28" t="s">
        <v>26</v>
      </c>
      <c r="D258" s="28">
        <v>1</v>
      </c>
      <c r="G258" s="15" t="s">
        <v>341</v>
      </c>
      <c r="H258" s="15">
        <v>22</v>
      </c>
      <c r="I258" s="15" t="s">
        <v>83</v>
      </c>
      <c r="J258" s="15">
        <v>1</v>
      </c>
    </row>
    <row r="259" spans="1:10" x14ac:dyDescent="0.25">
      <c r="A259" s="28" t="s">
        <v>136</v>
      </c>
      <c r="B259" s="28">
        <v>-1</v>
      </c>
      <c r="C259" s="28" t="s">
        <v>32</v>
      </c>
      <c r="D259" s="28">
        <v>1</v>
      </c>
      <c r="G259" s="15" t="s">
        <v>341</v>
      </c>
      <c r="H259" s="15">
        <v>23</v>
      </c>
      <c r="I259" s="15" t="s">
        <v>31</v>
      </c>
      <c r="J259" s="15">
        <v>1</v>
      </c>
    </row>
    <row r="260" spans="1:10" x14ac:dyDescent="0.25">
      <c r="A260" s="28" t="s">
        <v>136</v>
      </c>
      <c r="B260" s="28">
        <v>0</v>
      </c>
      <c r="C260" s="28" t="s">
        <v>83</v>
      </c>
      <c r="D260" s="28">
        <v>1</v>
      </c>
      <c r="G260" s="15" t="s">
        <v>341</v>
      </c>
      <c r="H260" s="15">
        <v>24</v>
      </c>
      <c r="I260" s="15" t="s">
        <v>6</v>
      </c>
      <c r="J260" s="15">
        <v>1</v>
      </c>
    </row>
    <row r="261" spans="1:10" x14ac:dyDescent="0.25">
      <c r="A261" s="28" t="s">
        <v>136</v>
      </c>
      <c r="B261" s="28">
        <v>1</v>
      </c>
      <c r="C261" s="28" t="s">
        <v>83</v>
      </c>
      <c r="D261" s="28">
        <v>1</v>
      </c>
      <c r="G261" s="15" t="s">
        <v>341</v>
      </c>
      <c r="H261" s="15">
        <v>25</v>
      </c>
      <c r="I261" s="15" t="s">
        <v>31</v>
      </c>
      <c r="J261" s="15">
        <v>1</v>
      </c>
    </row>
    <row r="262" spans="1:10" x14ac:dyDescent="0.25">
      <c r="A262" s="28" t="s">
        <v>136</v>
      </c>
      <c r="B262" s="28">
        <v>2</v>
      </c>
      <c r="C262" s="28" t="s">
        <v>53</v>
      </c>
      <c r="D262" s="28">
        <v>1</v>
      </c>
      <c r="G262" s="15" t="s">
        <v>341</v>
      </c>
      <c r="H262" s="15">
        <v>26</v>
      </c>
      <c r="I262" s="15" t="s">
        <v>31</v>
      </c>
      <c r="J262" s="15">
        <v>1</v>
      </c>
    </row>
    <row r="263" spans="1:10" x14ac:dyDescent="0.25">
      <c r="A263" s="28" t="s">
        <v>136</v>
      </c>
      <c r="B263" s="28">
        <v>3</v>
      </c>
      <c r="C263" s="28" t="s">
        <v>65</v>
      </c>
      <c r="D263" s="28">
        <v>1</v>
      </c>
      <c r="G263" s="15" t="s">
        <v>341</v>
      </c>
      <c r="H263" s="15">
        <v>27</v>
      </c>
      <c r="I263" s="15" t="s">
        <v>31</v>
      </c>
      <c r="J263" s="15">
        <v>1</v>
      </c>
    </row>
    <row r="264" spans="1:10" x14ac:dyDescent="0.25">
      <c r="A264" s="28" t="s">
        <v>136</v>
      </c>
      <c r="B264" s="28">
        <v>4</v>
      </c>
      <c r="C264" s="28" t="s">
        <v>83</v>
      </c>
      <c r="D264" s="28">
        <v>1</v>
      </c>
      <c r="G264" s="15" t="s">
        <v>341</v>
      </c>
      <c r="H264" s="15">
        <v>28</v>
      </c>
      <c r="I264" s="15" t="s">
        <v>83</v>
      </c>
      <c r="J264" s="15">
        <v>1</v>
      </c>
    </row>
    <row r="265" spans="1:10" x14ac:dyDescent="0.25">
      <c r="A265" s="28" t="s">
        <v>136</v>
      </c>
      <c r="B265" s="28">
        <v>5</v>
      </c>
      <c r="C265" s="28" t="s">
        <v>31</v>
      </c>
      <c r="D265" s="28">
        <v>1</v>
      </c>
      <c r="G265" s="15" t="s">
        <v>341</v>
      </c>
      <c r="H265" s="15">
        <v>29</v>
      </c>
      <c r="I265" s="15" t="s">
        <v>83</v>
      </c>
      <c r="J265" s="15">
        <v>1</v>
      </c>
    </row>
    <row r="266" spans="1:10" x14ac:dyDescent="0.25">
      <c r="A266" s="28" t="s">
        <v>136</v>
      </c>
      <c r="B266" s="28">
        <v>6</v>
      </c>
      <c r="C266" s="28" t="s">
        <v>31</v>
      </c>
      <c r="D266" s="28">
        <v>1</v>
      </c>
      <c r="G266" s="15" t="s">
        <v>341</v>
      </c>
      <c r="H266" s="15">
        <v>30</v>
      </c>
      <c r="I266" s="15" t="s">
        <v>31</v>
      </c>
      <c r="J266" s="15">
        <v>1</v>
      </c>
    </row>
    <row r="267" spans="1:10" x14ac:dyDescent="0.25">
      <c r="A267" s="28" t="s">
        <v>342</v>
      </c>
      <c r="B267" s="28">
        <v>-6</v>
      </c>
      <c r="C267" s="28" t="s">
        <v>83</v>
      </c>
      <c r="D267" s="28">
        <v>1</v>
      </c>
      <c r="G267" s="15" t="s">
        <v>131</v>
      </c>
      <c r="H267" s="15">
        <v>7</v>
      </c>
      <c r="I267" s="15" t="s">
        <v>83</v>
      </c>
      <c r="J267" s="15">
        <v>1</v>
      </c>
    </row>
    <row r="268" spans="1:10" x14ac:dyDescent="0.25">
      <c r="A268" s="28" t="s">
        <v>342</v>
      </c>
      <c r="B268" s="28">
        <v>-5</v>
      </c>
      <c r="C268" s="28" t="s">
        <v>83</v>
      </c>
      <c r="D268" s="28">
        <v>1</v>
      </c>
      <c r="G268" s="15" t="s">
        <v>131</v>
      </c>
      <c r="H268" s="15">
        <v>8</v>
      </c>
      <c r="I268" s="15" t="s">
        <v>83</v>
      </c>
      <c r="J268" s="15">
        <v>1</v>
      </c>
    </row>
    <row r="269" spans="1:10" x14ac:dyDescent="0.25">
      <c r="A269" s="28" t="s">
        <v>342</v>
      </c>
      <c r="B269" s="28">
        <v>-4</v>
      </c>
      <c r="C269" s="28" t="s">
        <v>83</v>
      </c>
      <c r="D269" s="28">
        <v>1</v>
      </c>
      <c r="G269" s="15" t="s">
        <v>131</v>
      </c>
      <c r="H269" s="15">
        <v>9</v>
      </c>
      <c r="I269" s="15" t="s">
        <v>31</v>
      </c>
      <c r="J269" s="15">
        <v>1</v>
      </c>
    </row>
    <row r="270" spans="1:10" x14ac:dyDescent="0.25">
      <c r="A270" s="144" t="s">
        <v>342</v>
      </c>
      <c r="B270" s="144">
        <v>-3</v>
      </c>
      <c r="C270" s="144" t="s">
        <v>83</v>
      </c>
      <c r="D270" s="144">
        <v>1</v>
      </c>
      <c r="G270" s="15" t="s">
        <v>131</v>
      </c>
      <c r="H270" s="15">
        <v>10</v>
      </c>
      <c r="I270" s="15" t="s">
        <v>31</v>
      </c>
      <c r="J270" s="15">
        <v>1</v>
      </c>
    </row>
    <row r="271" spans="1:10" x14ac:dyDescent="0.25">
      <c r="A271" s="144" t="s">
        <v>342</v>
      </c>
      <c r="B271" s="144">
        <v>-2</v>
      </c>
      <c r="C271" s="144" t="s">
        <v>83</v>
      </c>
      <c r="D271" s="144">
        <v>1</v>
      </c>
      <c r="G271" s="15" t="s">
        <v>131</v>
      </c>
      <c r="H271" s="15">
        <v>11</v>
      </c>
      <c r="I271" s="15" t="s">
        <v>31</v>
      </c>
      <c r="J271" s="15">
        <v>1</v>
      </c>
    </row>
    <row r="272" spans="1:10" x14ac:dyDescent="0.25">
      <c r="A272" s="144" t="s">
        <v>342</v>
      </c>
      <c r="B272" s="144">
        <v>-1</v>
      </c>
      <c r="C272" s="144" t="s">
        <v>83</v>
      </c>
      <c r="D272" s="144">
        <v>1</v>
      </c>
      <c r="G272" s="15" t="s">
        <v>131</v>
      </c>
      <c r="H272" s="15">
        <v>12</v>
      </c>
      <c r="I272" s="15" t="s">
        <v>31</v>
      </c>
      <c r="J272" s="15">
        <v>1</v>
      </c>
    </row>
    <row r="273" spans="1:10" x14ac:dyDescent="0.25">
      <c r="A273" s="144" t="s">
        <v>342</v>
      </c>
      <c r="B273" s="144">
        <v>0</v>
      </c>
      <c r="C273" s="144" t="s">
        <v>83</v>
      </c>
      <c r="D273" s="144">
        <v>1</v>
      </c>
      <c r="G273" s="15" t="s">
        <v>131</v>
      </c>
      <c r="H273" s="15">
        <v>13</v>
      </c>
      <c r="I273" s="15" t="s">
        <v>53</v>
      </c>
      <c r="J273" s="15">
        <v>1</v>
      </c>
    </row>
    <row r="274" spans="1:10" x14ac:dyDescent="0.25">
      <c r="A274" s="144" t="s">
        <v>342</v>
      </c>
      <c r="B274" s="144">
        <v>1</v>
      </c>
      <c r="C274" s="144" t="s">
        <v>83</v>
      </c>
      <c r="D274" s="144">
        <v>1</v>
      </c>
      <c r="G274" s="15" t="s">
        <v>131</v>
      </c>
      <c r="H274" s="15">
        <v>14</v>
      </c>
      <c r="I274" s="15" t="s">
        <v>83</v>
      </c>
      <c r="J274" s="15">
        <v>1</v>
      </c>
    </row>
    <row r="275" spans="1:10" x14ac:dyDescent="0.25">
      <c r="A275" s="144" t="s">
        <v>342</v>
      </c>
      <c r="B275" s="144">
        <v>2</v>
      </c>
      <c r="C275" s="144" t="s">
        <v>31</v>
      </c>
      <c r="D275" s="144">
        <v>1</v>
      </c>
      <c r="G275" s="15" t="s">
        <v>131</v>
      </c>
      <c r="H275" s="15">
        <v>15</v>
      </c>
      <c r="I275" s="15" t="s">
        <v>38</v>
      </c>
      <c r="J275" s="15">
        <v>1</v>
      </c>
    </row>
    <row r="276" spans="1:10" x14ac:dyDescent="0.25">
      <c r="A276" s="144" t="s">
        <v>342</v>
      </c>
      <c r="B276" s="144">
        <v>3</v>
      </c>
      <c r="C276" s="144" t="s">
        <v>31</v>
      </c>
      <c r="D276" s="144">
        <v>1</v>
      </c>
      <c r="G276" s="15" t="s">
        <v>131</v>
      </c>
      <c r="H276" s="15">
        <v>16</v>
      </c>
      <c r="I276" s="15" t="s">
        <v>31</v>
      </c>
      <c r="J276" s="15">
        <v>1</v>
      </c>
    </row>
    <row r="277" spans="1:10" x14ac:dyDescent="0.25">
      <c r="A277" s="144" t="s">
        <v>342</v>
      </c>
      <c r="B277" s="144">
        <v>4</v>
      </c>
      <c r="C277" s="144" t="s">
        <v>31</v>
      </c>
      <c r="D277" s="144">
        <v>1</v>
      </c>
      <c r="G277" s="15" t="s">
        <v>131</v>
      </c>
      <c r="H277" s="15">
        <v>17</v>
      </c>
      <c r="I277" s="15" t="s">
        <v>31</v>
      </c>
      <c r="J277" s="15">
        <v>1</v>
      </c>
    </row>
    <row r="278" spans="1:10" x14ac:dyDescent="0.25">
      <c r="A278" s="144" t="s">
        <v>342</v>
      </c>
      <c r="B278" s="144">
        <v>5</v>
      </c>
      <c r="C278" s="144" t="s">
        <v>31</v>
      </c>
      <c r="D278" s="144">
        <v>1</v>
      </c>
      <c r="G278" s="15" t="s">
        <v>131</v>
      </c>
      <c r="H278" s="15">
        <v>18</v>
      </c>
      <c r="I278" s="15" t="s">
        <v>31</v>
      </c>
      <c r="J278" s="15">
        <v>1</v>
      </c>
    </row>
    <row r="279" spans="1:10" x14ac:dyDescent="0.25">
      <c r="A279" s="144" t="s">
        <v>342</v>
      </c>
      <c r="B279" s="144">
        <v>6</v>
      </c>
      <c r="C279" s="144" t="s">
        <v>31</v>
      </c>
      <c r="D279" s="144">
        <v>1</v>
      </c>
      <c r="G279" s="15" t="s">
        <v>131</v>
      </c>
      <c r="H279" s="15">
        <v>19</v>
      </c>
      <c r="I279" s="15" t="s">
        <v>17</v>
      </c>
      <c r="J279" s="15">
        <v>1</v>
      </c>
    </row>
    <row r="280" spans="1:10" x14ac:dyDescent="0.25">
      <c r="A280" s="144" t="s">
        <v>337</v>
      </c>
      <c r="B280" s="144">
        <v>-6</v>
      </c>
      <c r="C280" s="144" t="s">
        <v>83</v>
      </c>
      <c r="D280" s="144">
        <v>1</v>
      </c>
      <c r="G280" s="15" t="s">
        <v>131</v>
      </c>
      <c r="H280" s="15">
        <v>20</v>
      </c>
      <c r="I280" s="15" t="s">
        <v>65</v>
      </c>
      <c r="J280" s="15">
        <v>1</v>
      </c>
    </row>
    <row r="281" spans="1:10" x14ac:dyDescent="0.25">
      <c r="A281" s="144" t="s">
        <v>337</v>
      </c>
      <c r="B281" s="144">
        <v>-5</v>
      </c>
      <c r="C281" s="144" t="s">
        <v>31</v>
      </c>
      <c r="D281" s="144">
        <v>1</v>
      </c>
      <c r="G281" s="15" t="s">
        <v>131</v>
      </c>
      <c r="H281" s="15">
        <v>21</v>
      </c>
      <c r="I281" s="15" t="s">
        <v>83</v>
      </c>
      <c r="J281" s="15">
        <v>1</v>
      </c>
    </row>
    <row r="282" spans="1:10" x14ac:dyDescent="0.25">
      <c r="A282" s="144" t="s">
        <v>337</v>
      </c>
      <c r="B282" s="144">
        <v>-4</v>
      </c>
      <c r="C282" s="144" t="s">
        <v>31</v>
      </c>
      <c r="D282" s="144">
        <v>1</v>
      </c>
      <c r="G282" s="15" t="s">
        <v>131</v>
      </c>
      <c r="H282" s="15">
        <v>22</v>
      </c>
      <c r="I282" s="15" t="s">
        <v>83</v>
      </c>
      <c r="J282" s="15">
        <v>1</v>
      </c>
    </row>
    <row r="283" spans="1:10" x14ac:dyDescent="0.25">
      <c r="A283" s="144" t="s">
        <v>337</v>
      </c>
      <c r="B283" s="178">
        <v>-3</v>
      </c>
      <c r="C283" s="144" t="s">
        <v>31</v>
      </c>
      <c r="D283" s="144">
        <v>1</v>
      </c>
      <c r="G283" s="15" t="s">
        <v>131</v>
      </c>
      <c r="H283" s="15">
        <v>23</v>
      </c>
      <c r="I283" s="15" t="s">
        <v>365</v>
      </c>
      <c r="J283" s="15">
        <v>1</v>
      </c>
    </row>
    <row r="284" spans="1:10" x14ac:dyDescent="0.25">
      <c r="A284" s="144" t="s">
        <v>337</v>
      </c>
      <c r="B284" s="178">
        <v>-2</v>
      </c>
      <c r="C284" s="144" t="s">
        <v>32</v>
      </c>
      <c r="D284" s="144">
        <v>1</v>
      </c>
      <c r="G284" s="15" t="s">
        <v>131</v>
      </c>
      <c r="H284" s="15">
        <v>24</v>
      </c>
      <c r="I284" s="15" t="s">
        <v>31</v>
      </c>
      <c r="J284" s="15">
        <v>1</v>
      </c>
    </row>
    <row r="285" spans="1:10" x14ac:dyDescent="0.25">
      <c r="A285" s="144" t="s">
        <v>337</v>
      </c>
      <c r="B285" s="178">
        <v>-1</v>
      </c>
      <c r="C285" s="144" t="s">
        <v>31</v>
      </c>
      <c r="D285" s="144">
        <v>1</v>
      </c>
      <c r="G285" s="15" t="s">
        <v>131</v>
      </c>
      <c r="H285" s="15">
        <v>25</v>
      </c>
      <c r="I285" s="15" t="s">
        <v>31</v>
      </c>
      <c r="J285" s="15">
        <v>1</v>
      </c>
    </row>
    <row r="286" spans="1:10" x14ac:dyDescent="0.25">
      <c r="A286" s="144" t="s">
        <v>337</v>
      </c>
      <c r="B286" s="178">
        <v>0</v>
      </c>
      <c r="C286" s="144" t="s">
        <v>83</v>
      </c>
      <c r="D286" s="144">
        <v>1</v>
      </c>
      <c r="G286" s="15" t="s">
        <v>131</v>
      </c>
      <c r="H286" s="15">
        <v>26</v>
      </c>
      <c r="I286" s="15" t="s">
        <v>31</v>
      </c>
      <c r="J286" s="15">
        <v>1</v>
      </c>
    </row>
    <row r="287" spans="1:10" x14ac:dyDescent="0.25">
      <c r="A287" s="144" t="s">
        <v>337</v>
      </c>
      <c r="B287" s="178">
        <v>1</v>
      </c>
      <c r="C287" s="144" t="s">
        <v>83</v>
      </c>
      <c r="D287" s="144">
        <v>1</v>
      </c>
      <c r="G287" s="15" t="s">
        <v>131</v>
      </c>
      <c r="H287" s="15">
        <v>27</v>
      </c>
      <c r="I287" s="15" t="s">
        <v>17</v>
      </c>
      <c r="J287" s="15">
        <v>1</v>
      </c>
    </row>
    <row r="288" spans="1:10" x14ac:dyDescent="0.25">
      <c r="A288" s="144" t="s">
        <v>337</v>
      </c>
      <c r="B288" s="178">
        <v>2</v>
      </c>
      <c r="C288" s="144" t="s">
        <v>31</v>
      </c>
      <c r="D288" s="144">
        <v>1</v>
      </c>
      <c r="G288" s="15" t="s">
        <v>131</v>
      </c>
      <c r="H288" s="15">
        <v>28</v>
      </c>
      <c r="I288" s="15" t="s">
        <v>83</v>
      </c>
      <c r="J288" s="15">
        <v>1</v>
      </c>
    </row>
    <row r="289" spans="1:10" x14ac:dyDescent="0.25">
      <c r="A289" s="144" t="s">
        <v>337</v>
      </c>
      <c r="B289" s="178">
        <v>3</v>
      </c>
      <c r="C289" s="144" t="s">
        <v>31</v>
      </c>
      <c r="D289" s="144">
        <v>1</v>
      </c>
      <c r="G289" s="15" t="s">
        <v>131</v>
      </c>
      <c r="H289" s="15">
        <v>29</v>
      </c>
      <c r="I289" s="15" t="s">
        <v>38</v>
      </c>
      <c r="J289" s="15">
        <v>1</v>
      </c>
    </row>
    <row r="290" spans="1:10" x14ac:dyDescent="0.25">
      <c r="A290" s="144" t="s">
        <v>337</v>
      </c>
      <c r="B290" s="178">
        <v>4</v>
      </c>
      <c r="C290" s="144" t="s">
        <v>6</v>
      </c>
      <c r="D290" s="144">
        <v>1</v>
      </c>
      <c r="G290" s="15" t="s">
        <v>131</v>
      </c>
      <c r="H290" s="15">
        <v>30</v>
      </c>
      <c r="I290" s="15" t="s">
        <v>6</v>
      </c>
      <c r="J290" s="15">
        <v>1</v>
      </c>
    </row>
    <row r="291" spans="1:10" x14ac:dyDescent="0.25">
      <c r="A291" s="144" t="s">
        <v>337</v>
      </c>
      <c r="B291" s="178">
        <v>5</v>
      </c>
      <c r="C291" s="144" t="s">
        <v>31</v>
      </c>
      <c r="D291" s="144">
        <v>1</v>
      </c>
      <c r="G291" s="15" t="s">
        <v>132</v>
      </c>
      <c r="H291" s="15">
        <v>7</v>
      </c>
      <c r="I291" s="15" t="s">
        <v>83</v>
      </c>
      <c r="J291" s="15">
        <v>1</v>
      </c>
    </row>
    <row r="292" spans="1:10" x14ac:dyDescent="0.25">
      <c r="A292" s="144" t="s">
        <v>337</v>
      </c>
      <c r="B292" s="178">
        <v>6</v>
      </c>
      <c r="C292" s="144" t="s">
        <v>31</v>
      </c>
      <c r="D292" s="144">
        <v>1</v>
      </c>
      <c r="G292" s="15" t="s">
        <v>132</v>
      </c>
      <c r="H292" s="15">
        <v>8</v>
      </c>
      <c r="I292" s="15" t="s">
        <v>83</v>
      </c>
      <c r="J292" s="15">
        <v>1</v>
      </c>
    </row>
    <row r="293" spans="1:10" x14ac:dyDescent="0.25">
      <c r="A293" s="144" t="s">
        <v>337</v>
      </c>
      <c r="B293" s="178">
        <v>13</v>
      </c>
      <c r="C293" s="144" t="s">
        <v>69</v>
      </c>
      <c r="D293" s="144">
        <v>1</v>
      </c>
      <c r="G293" s="15" t="s">
        <v>132</v>
      </c>
      <c r="H293" s="15">
        <v>9</v>
      </c>
      <c r="I293" s="15" t="s">
        <v>31</v>
      </c>
      <c r="J293" s="15">
        <v>1</v>
      </c>
    </row>
    <row r="294" spans="1:10" x14ac:dyDescent="0.25">
      <c r="A294" s="144" t="s">
        <v>337</v>
      </c>
      <c r="B294" s="178">
        <v>14</v>
      </c>
      <c r="C294" s="144" t="s">
        <v>69</v>
      </c>
      <c r="D294" s="144">
        <v>1</v>
      </c>
      <c r="G294" s="15" t="s">
        <v>132</v>
      </c>
      <c r="H294" s="15">
        <v>10</v>
      </c>
      <c r="I294" s="15" t="s">
        <v>43</v>
      </c>
      <c r="J294" s="15">
        <v>1</v>
      </c>
    </row>
    <row r="295" spans="1:10" x14ac:dyDescent="0.25">
      <c r="A295" s="144" t="s">
        <v>337</v>
      </c>
      <c r="B295" s="178">
        <v>21</v>
      </c>
      <c r="C295" s="144" t="s">
        <v>84</v>
      </c>
      <c r="D295" s="144">
        <v>1</v>
      </c>
      <c r="G295" s="15" t="s">
        <v>132</v>
      </c>
      <c r="H295" s="15">
        <v>11</v>
      </c>
      <c r="I295" s="15" t="s">
        <v>26</v>
      </c>
      <c r="J295" s="15">
        <v>1</v>
      </c>
    </row>
    <row r="296" spans="1:10" x14ac:dyDescent="0.25">
      <c r="A296" s="144" t="s">
        <v>337</v>
      </c>
      <c r="B296" s="178">
        <v>22</v>
      </c>
      <c r="C296" s="144" t="s">
        <v>84</v>
      </c>
      <c r="D296" s="144">
        <v>1</v>
      </c>
      <c r="G296" s="15" t="s">
        <v>132</v>
      </c>
      <c r="H296" s="15">
        <v>12</v>
      </c>
      <c r="I296" s="15" t="s">
        <v>26</v>
      </c>
      <c r="J296" s="15">
        <v>1</v>
      </c>
    </row>
    <row r="297" spans="1:10" x14ac:dyDescent="0.25">
      <c r="A297" s="179" t="s">
        <v>337</v>
      </c>
      <c r="B297" s="180">
        <v>23</v>
      </c>
      <c r="C297" s="179" t="s">
        <v>63</v>
      </c>
      <c r="D297" s="179">
        <v>1</v>
      </c>
      <c r="G297" s="15" t="s">
        <v>132</v>
      </c>
      <c r="H297" s="15">
        <v>13</v>
      </c>
      <c r="I297" s="15" t="s">
        <v>32</v>
      </c>
      <c r="J297" s="15">
        <v>1</v>
      </c>
    </row>
    <row r="298" spans="1:10" x14ac:dyDescent="0.25">
      <c r="A298" s="179" t="s">
        <v>337</v>
      </c>
      <c r="B298" s="180">
        <v>24</v>
      </c>
      <c r="C298" s="179" t="s">
        <v>63</v>
      </c>
      <c r="D298" s="179">
        <v>1</v>
      </c>
      <c r="G298" s="15" t="s">
        <v>132</v>
      </c>
      <c r="H298" s="15">
        <v>14</v>
      </c>
      <c r="I298" s="15" t="s">
        <v>83</v>
      </c>
      <c r="J298" s="15">
        <v>1</v>
      </c>
    </row>
    <row r="299" spans="1:10" x14ac:dyDescent="0.25">
      <c r="A299" s="179" t="s">
        <v>337</v>
      </c>
      <c r="B299" s="180">
        <v>25</v>
      </c>
      <c r="C299" s="179" t="s">
        <v>63</v>
      </c>
      <c r="D299" s="179">
        <v>1</v>
      </c>
      <c r="G299" s="15" t="s">
        <v>132</v>
      </c>
      <c r="H299" s="15">
        <v>15</v>
      </c>
      <c r="I299" s="15" t="s">
        <v>372</v>
      </c>
      <c r="J299" s="15">
        <v>1</v>
      </c>
    </row>
    <row r="300" spans="1:10" x14ac:dyDescent="0.25">
      <c r="A300" s="179" t="s">
        <v>337</v>
      </c>
      <c r="B300" s="180">
        <v>26</v>
      </c>
      <c r="C300" s="179" t="s">
        <v>63</v>
      </c>
      <c r="D300" s="179">
        <v>1</v>
      </c>
      <c r="G300" s="15" t="s">
        <v>132</v>
      </c>
      <c r="H300" s="15">
        <v>16</v>
      </c>
      <c r="I300" s="15" t="s">
        <v>65</v>
      </c>
      <c r="J300" s="15">
        <v>1</v>
      </c>
    </row>
    <row r="301" spans="1:10" x14ac:dyDescent="0.25">
      <c r="A301" s="28" t="s">
        <v>337</v>
      </c>
      <c r="B301" s="28">
        <v>27</v>
      </c>
      <c r="C301" s="28" t="s">
        <v>63</v>
      </c>
      <c r="D301" s="28">
        <v>1</v>
      </c>
      <c r="G301" s="15" t="s">
        <v>132</v>
      </c>
      <c r="H301" s="15">
        <v>17</v>
      </c>
      <c r="I301" s="15" t="s">
        <v>26</v>
      </c>
      <c r="J301" s="15">
        <v>1</v>
      </c>
    </row>
    <row r="302" spans="1:10" x14ac:dyDescent="0.25">
      <c r="A302" s="28" t="s">
        <v>337</v>
      </c>
      <c r="B302" s="28">
        <v>28</v>
      </c>
      <c r="C302" s="28" t="s">
        <v>84</v>
      </c>
      <c r="D302" s="28">
        <v>1</v>
      </c>
      <c r="G302" s="15" t="s">
        <v>132</v>
      </c>
      <c r="H302" s="15">
        <v>18</v>
      </c>
      <c r="I302" s="15" t="s">
        <v>31</v>
      </c>
      <c r="J302" s="15">
        <v>1</v>
      </c>
    </row>
    <row r="303" spans="1:10" x14ac:dyDescent="0.25">
      <c r="A303" s="28" t="s">
        <v>337</v>
      </c>
      <c r="B303" s="28">
        <v>29</v>
      </c>
      <c r="C303" s="28" t="s">
        <v>84</v>
      </c>
      <c r="D303" s="28">
        <v>1</v>
      </c>
      <c r="G303" s="15" t="s">
        <v>132</v>
      </c>
      <c r="H303" s="15">
        <v>19</v>
      </c>
      <c r="I303" s="15" t="s">
        <v>53</v>
      </c>
      <c r="J303" s="15">
        <v>1</v>
      </c>
    </row>
    <row r="304" spans="1:10" x14ac:dyDescent="0.25">
      <c r="A304" s="28" t="s">
        <v>137</v>
      </c>
      <c r="B304" s="28">
        <v>-6</v>
      </c>
      <c r="C304" s="28" t="s">
        <v>83</v>
      </c>
      <c r="D304" s="28">
        <v>1</v>
      </c>
      <c r="G304" s="15" t="s">
        <v>132</v>
      </c>
      <c r="H304" s="15">
        <v>20</v>
      </c>
      <c r="I304" s="15" t="s">
        <v>65</v>
      </c>
      <c r="J304" s="15">
        <v>1</v>
      </c>
    </row>
    <row r="305" spans="1:10" x14ac:dyDescent="0.25">
      <c r="A305" s="28" t="s">
        <v>137</v>
      </c>
      <c r="B305" s="28">
        <v>-5</v>
      </c>
      <c r="C305" s="28" t="s">
        <v>60</v>
      </c>
      <c r="D305" s="28">
        <v>1</v>
      </c>
      <c r="G305" s="15" t="s">
        <v>132</v>
      </c>
      <c r="H305" s="15">
        <v>21</v>
      </c>
      <c r="I305" s="15" t="s">
        <v>83</v>
      </c>
      <c r="J305" s="15">
        <v>1</v>
      </c>
    </row>
    <row r="306" spans="1:10" x14ac:dyDescent="0.25">
      <c r="A306" s="28" t="s">
        <v>137</v>
      </c>
      <c r="B306" s="28">
        <v>-4</v>
      </c>
      <c r="C306" s="28" t="s">
        <v>41</v>
      </c>
      <c r="D306" s="28">
        <v>1</v>
      </c>
      <c r="G306" s="15" t="s">
        <v>132</v>
      </c>
      <c r="H306" s="15">
        <v>22</v>
      </c>
      <c r="I306" s="15" t="s">
        <v>83</v>
      </c>
      <c r="J306" s="15">
        <v>1</v>
      </c>
    </row>
    <row r="307" spans="1:10" x14ac:dyDescent="0.25">
      <c r="A307" s="28" t="s">
        <v>137</v>
      </c>
      <c r="B307" s="28">
        <v>-3</v>
      </c>
      <c r="C307" s="28" t="s">
        <v>65</v>
      </c>
      <c r="D307" s="28">
        <v>1</v>
      </c>
      <c r="G307" s="15" t="s">
        <v>132</v>
      </c>
      <c r="H307" s="15">
        <v>23</v>
      </c>
      <c r="I307" s="15" t="s">
        <v>31</v>
      </c>
      <c r="J307" s="15">
        <v>1</v>
      </c>
    </row>
    <row r="308" spans="1:10" x14ac:dyDescent="0.25">
      <c r="A308" s="28" t="s">
        <v>137</v>
      </c>
      <c r="B308" s="28">
        <v>-2</v>
      </c>
      <c r="C308" s="28" t="s">
        <v>6</v>
      </c>
      <c r="D308" s="28">
        <v>1</v>
      </c>
      <c r="G308" s="15" t="s">
        <v>132</v>
      </c>
      <c r="H308" s="15">
        <v>24</v>
      </c>
      <c r="I308" s="15" t="s">
        <v>365</v>
      </c>
      <c r="J308" s="15">
        <v>1</v>
      </c>
    </row>
    <row r="309" spans="1:10" x14ac:dyDescent="0.25">
      <c r="A309" s="28" t="s">
        <v>137</v>
      </c>
      <c r="B309" s="28">
        <v>-1</v>
      </c>
      <c r="C309" s="28" t="s">
        <v>83</v>
      </c>
      <c r="D309" s="28">
        <v>1</v>
      </c>
      <c r="G309" s="15" t="s">
        <v>132</v>
      </c>
      <c r="H309" s="15">
        <v>25</v>
      </c>
      <c r="I309" s="15" t="s">
        <v>31</v>
      </c>
      <c r="J309" s="15">
        <v>1</v>
      </c>
    </row>
    <row r="310" spans="1:10" x14ac:dyDescent="0.25">
      <c r="A310" s="28" t="s">
        <v>137</v>
      </c>
      <c r="B310" s="28">
        <v>0</v>
      </c>
      <c r="C310" s="28" t="s">
        <v>83</v>
      </c>
      <c r="D310" s="28">
        <v>1</v>
      </c>
      <c r="G310" s="15" t="s">
        <v>132</v>
      </c>
      <c r="H310" s="15">
        <v>26</v>
      </c>
      <c r="I310" s="15" t="s">
        <v>26</v>
      </c>
      <c r="J310" s="15">
        <v>1</v>
      </c>
    </row>
    <row r="311" spans="1:10" x14ac:dyDescent="0.25">
      <c r="A311" s="28" t="s">
        <v>137</v>
      </c>
      <c r="B311" s="28">
        <v>1</v>
      </c>
      <c r="C311" s="28" t="s">
        <v>53</v>
      </c>
      <c r="D311" s="28">
        <v>1</v>
      </c>
      <c r="G311" s="15" t="s">
        <v>132</v>
      </c>
      <c r="H311" s="15">
        <v>27</v>
      </c>
      <c r="I311" s="15" t="s">
        <v>31</v>
      </c>
      <c r="J311" s="15">
        <v>1</v>
      </c>
    </row>
    <row r="312" spans="1:10" x14ac:dyDescent="0.25">
      <c r="A312" s="28" t="s">
        <v>137</v>
      </c>
      <c r="B312" s="28">
        <v>2</v>
      </c>
      <c r="C312" s="28" t="s">
        <v>65</v>
      </c>
      <c r="D312" s="28">
        <v>1</v>
      </c>
      <c r="G312" s="15" t="s">
        <v>132</v>
      </c>
      <c r="H312" s="15">
        <v>28</v>
      </c>
      <c r="I312" s="15" t="s">
        <v>53</v>
      </c>
      <c r="J312" s="15">
        <v>1</v>
      </c>
    </row>
    <row r="313" spans="1:10" x14ac:dyDescent="0.25">
      <c r="A313" s="28" t="s">
        <v>137</v>
      </c>
      <c r="B313" s="28">
        <v>3</v>
      </c>
      <c r="C313" s="28" t="s">
        <v>83</v>
      </c>
      <c r="D313" s="28">
        <v>1</v>
      </c>
      <c r="G313" s="15" t="s">
        <v>132</v>
      </c>
      <c r="H313" s="15">
        <v>29</v>
      </c>
      <c r="I313" s="15" t="s">
        <v>83</v>
      </c>
      <c r="J313" s="15">
        <v>1</v>
      </c>
    </row>
    <row r="314" spans="1:10" x14ac:dyDescent="0.25">
      <c r="A314" s="28" t="s">
        <v>137</v>
      </c>
      <c r="B314" s="28">
        <v>4</v>
      </c>
      <c r="C314" s="28" t="s">
        <v>31</v>
      </c>
      <c r="D314" s="28">
        <v>1</v>
      </c>
      <c r="G314" s="15" t="s">
        <v>132</v>
      </c>
      <c r="H314" s="15">
        <v>30</v>
      </c>
      <c r="I314" s="15" t="s">
        <v>83</v>
      </c>
      <c r="J314" s="15">
        <v>1</v>
      </c>
    </row>
    <row r="315" spans="1:10" x14ac:dyDescent="0.25">
      <c r="A315" s="28" t="s">
        <v>137</v>
      </c>
      <c r="B315" s="28">
        <v>5</v>
      </c>
      <c r="C315" s="28" t="s">
        <v>365</v>
      </c>
      <c r="D315" s="28">
        <v>1</v>
      </c>
      <c r="G315" s="15" t="s">
        <v>133</v>
      </c>
      <c r="H315" s="15">
        <v>7</v>
      </c>
      <c r="I315" s="15" t="s">
        <v>83</v>
      </c>
      <c r="J315" s="15">
        <v>1</v>
      </c>
    </row>
    <row r="316" spans="1:10" x14ac:dyDescent="0.25">
      <c r="A316" s="28" t="s">
        <v>137</v>
      </c>
      <c r="B316" s="28">
        <v>6</v>
      </c>
      <c r="C316" s="28" t="s">
        <v>63</v>
      </c>
      <c r="D316" s="28">
        <v>1</v>
      </c>
      <c r="G316" s="15" t="s">
        <v>133</v>
      </c>
      <c r="H316" s="15">
        <v>8</v>
      </c>
      <c r="I316" s="15" t="s">
        <v>83</v>
      </c>
      <c r="J316" s="15">
        <v>1</v>
      </c>
    </row>
    <row r="317" spans="1:10" x14ac:dyDescent="0.25">
      <c r="A317" s="28" t="s">
        <v>137</v>
      </c>
      <c r="B317" s="28">
        <v>7</v>
      </c>
      <c r="C317" s="28" t="s">
        <v>84</v>
      </c>
      <c r="D317" s="28">
        <v>1</v>
      </c>
      <c r="G317" s="15" t="s">
        <v>133</v>
      </c>
      <c r="H317" s="15">
        <v>9</v>
      </c>
      <c r="I317" s="15" t="s">
        <v>31</v>
      </c>
      <c r="J317" s="15">
        <v>1</v>
      </c>
    </row>
    <row r="318" spans="1:10" x14ac:dyDescent="0.25">
      <c r="A318" s="28" t="s">
        <v>137</v>
      </c>
      <c r="B318" s="28">
        <v>8</v>
      </c>
      <c r="C318" s="28" t="s">
        <v>84</v>
      </c>
      <c r="D318" s="28">
        <v>1</v>
      </c>
      <c r="G318" s="15" t="s">
        <v>133</v>
      </c>
      <c r="H318" s="15">
        <v>10</v>
      </c>
      <c r="I318" s="15" t="s">
        <v>17</v>
      </c>
      <c r="J318" s="15">
        <v>1</v>
      </c>
    </row>
    <row r="319" spans="1:10" x14ac:dyDescent="0.25">
      <c r="A319" s="28" t="s">
        <v>137</v>
      </c>
      <c r="B319" s="28">
        <v>9</v>
      </c>
      <c r="C319" s="28" t="s">
        <v>63</v>
      </c>
      <c r="D319" s="28">
        <v>1</v>
      </c>
      <c r="G319" s="15" t="s">
        <v>133</v>
      </c>
      <c r="H319" s="15">
        <v>11</v>
      </c>
      <c r="I319" s="15" t="s">
        <v>65</v>
      </c>
      <c r="J319" s="15">
        <v>1</v>
      </c>
    </row>
    <row r="320" spans="1:10" x14ac:dyDescent="0.25">
      <c r="A320" s="28" t="s">
        <v>137</v>
      </c>
      <c r="B320" s="28">
        <v>10</v>
      </c>
      <c r="C320" s="28" t="s">
        <v>63</v>
      </c>
      <c r="D320" s="28">
        <v>1</v>
      </c>
      <c r="G320" s="15" t="s">
        <v>133</v>
      </c>
      <c r="H320" s="15">
        <v>12</v>
      </c>
      <c r="I320" s="15" t="s">
        <v>6</v>
      </c>
      <c r="J320" s="15">
        <v>1</v>
      </c>
    </row>
    <row r="321" spans="1:10" x14ac:dyDescent="0.25">
      <c r="A321" s="28" t="s">
        <v>137</v>
      </c>
      <c r="B321" s="28">
        <v>11</v>
      </c>
      <c r="C321" s="28" t="s">
        <v>63</v>
      </c>
      <c r="D321" s="28">
        <v>1</v>
      </c>
      <c r="G321" s="15" t="s">
        <v>133</v>
      </c>
      <c r="H321" s="15">
        <v>13</v>
      </c>
      <c r="I321" s="15" t="s">
        <v>31</v>
      </c>
      <c r="J321" s="15">
        <v>1</v>
      </c>
    </row>
    <row r="322" spans="1:10" x14ac:dyDescent="0.25">
      <c r="A322" s="28" t="s">
        <v>137</v>
      </c>
      <c r="B322" s="28">
        <v>12</v>
      </c>
      <c r="C322" s="28" t="s">
        <v>63</v>
      </c>
      <c r="D322" s="28">
        <v>1</v>
      </c>
      <c r="G322" s="15" t="s">
        <v>133</v>
      </c>
      <c r="H322" s="15">
        <v>14</v>
      </c>
      <c r="I322" s="15" t="s">
        <v>83</v>
      </c>
      <c r="J322" s="15">
        <v>1</v>
      </c>
    </row>
    <row r="323" spans="1:10" x14ac:dyDescent="0.25">
      <c r="A323" s="28" t="s">
        <v>137</v>
      </c>
      <c r="B323" s="28">
        <v>13</v>
      </c>
      <c r="C323" s="28" t="s">
        <v>63</v>
      </c>
      <c r="D323" s="28">
        <v>1</v>
      </c>
      <c r="G323" s="15" t="s">
        <v>133</v>
      </c>
      <c r="H323" s="15">
        <v>15</v>
      </c>
      <c r="I323" s="15" t="s">
        <v>83</v>
      </c>
      <c r="J323" s="15">
        <v>1</v>
      </c>
    </row>
    <row r="324" spans="1:10" x14ac:dyDescent="0.25">
      <c r="A324" s="28" t="s">
        <v>137</v>
      </c>
      <c r="B324" s="28">
        <v>14</v>
      </c>
      <c r="C324" s="28" t="s">
        <v>84</v>
      </c>
      <c r="D324" s="28">
        <v>1</v>
      </c>
      <c r="G324" s="15" t="s">
        <v>133</v>
      </c>
      <c r="H324" s="15">
        <v>16</v>
      </c>
      <c r="I324" s="15" t="s">
        <v>43</v>
      </c>
      <c r="J324" s="15">
        <v>1</v>
      </c>
    </row>
    <row r="325" spans="1:10" x14ac:dyDescent="0.25">
      <c r="A325" s="28" t="s">
        <v>137</v>
      </c>
      <c r="B325" s="28">
        <v>15</v>
      </c>
      <c r="C325" s="28" t="s">
        <v>84</v>
      </c>
      <c r="D325" s="28">
        <v>1</v>
      </c>
      <c r="G325" s="15" t="s">
        <v>133</v>
      </c>
      <c r="H325" s="15">
        <v>17</v>
      </c>
      <c r="I325" s="15" t="s">
        <v>31</v>
      </c>
      <c r="J325" s="15">
        <v>1</v>
      </c>
    </row>
    <row r="326" spans="1:10" x14ac:dyDescent="0.25">
      <c r="A326" s="28" t="s">
        <v>137</v>
      </c>
      <c r="B326" s="28">
        <v>16</v>
      </c>
      <c r="C326" s="28" t="s">
        <v>63</v>
      </c>
      <c r="D326" s="28">
        <v>1</v>
      </c>
      <c r="G326" s="15" t="s">
        <v>133</v>
      </c>
      <c r="H326" s="15">
        <v>18</v>
      </c>
      <c r="I326" s="15" t="s">
        <v>43</v>
      </c>
      <c r="J326" s="15">
        <v>1</v>
      </c>
    </row>
    <row r="327" spans="1:10" x14ac:dyDescent="0.25">
      <c r="A327" s="28" t="s">
        <v>137</v>
      </c>
      <c r="B327" s="28">
        <v>17</v>
      </c>
      <c r="C327" s="28" t="s">
        <v>63</v>
      </c>
      <c r="D327" s="28">
        <v>1</v>
      </c>
      <c r="G327" s="15" t="s">
        <v>133</v>
      </c>
      <c r="H327" s="15">
        <v>19</v>
      </c>
      <c r="I327" s="15" t="s">
        <v>31</v>
      </c>
      <c r="J327" s="15">
        <v>1</v>
      </c>
    </row>
    <row r="328" spans="1:10" x14ac:dyDescent="0.25">
      <c r="A328" s="28" t="s">
        <v>137</v>
      </c>
      <c r="B328" s="28">
        <v>18</v>
      </c>
      <c r="C328" s="28" t="s">
        <v>63</v>
      </c>
      <c r="D328" s="28">
        <v>1</v>
      </c>
      <c r="G328" s="15" t="s">
        <v>133</v>
      </c>
      <c r="H328" s="15">
        <v>20</v>
      </c>
      <c r="I328" s="15" t="s">
        <v>80</v>
      </c>
      <c r="J328" s="15">
        <v>1</v>
      </c>
    </row>
    <row r="329" spans="1:10" x14ac:dyDescent="0.25">
      <c r="A329" s="28" t="s">
        <v>137</v>
      </c>
      <c r="B329" s="28">
        <v>19</v>
      </c>
      <c r="C329" s="28" t="s">
        <v>63</v>
      </c>
      <c r="D329" s="28">
        <v>1</v>
      </c>
      <c r="G329" s="15" t="s">
        <v>133</v>
      </c>
      <c r="H329" s="15">
        <v>21</v>
      </c>
      <c r="I329" s="15" t="s">
        <v>83</v>
      </c>
      <c r="J329" s="15">
        <v>1</v>
      </c>
    </row>
    <row r="330" spans="1:10" x14ac:dyDescent="0.25">
      <c r="A330" s="28" t="s">
        <v>137</v>
      </c>
      <c r="B330" s="28">
        <v>20</v>
      </c>
      <c r="C330" s="28" t="s">
        <v>63</v>
      </c>
      <c r="D330" s="28">
        <v>1</v>
      </c>
      <c r="G330" s="15" t="s">
        <v>133</v>
      </c>
      <c r="H330" s="15">
        <v>22</v>
      </c>
      <c r="I330" s="15" t="s">
        <v>372</v>
      </c>
      <c r="J330" s="15">
        <v>1</v>
      </c>
    </row>
    <row r="331" spans="1:10" x14ac:dyDescent="0.25">
      <c r="A331" s="28" t="s">
        <v>137</v>
      </c>
      <c r="B331" s="28">
        <v>21</v>
      </c>
      <c r="C331" s="28" t="s">
        <v>84</v>
      </c>
      <c r="D331" s="28">
        <v>1</v>
      </c>
      <c r="G331" s="15" t="s">
        <v>133</v>
      </c>
      <c r="H331" s="15">
        <v>23</v>
      </c>
      <c r="I331" s="15" t="s">
        <v>65</v>
      </c>
      <c r="J331" s="15">
        <v>1</v>
      </c>
    </row>
    <row r="332" spans="1:10" x14ac:dyDescent="0.25">
      <c r="A332" s="28" t="s">
        <v>137</v>
      </c>
      <c r="B332" s="28">
        <v>22</v>
      </c>
      <c r="C332" s="28" t="s">
        <v>84</v>
      </c>
      <c r="D332" s="28">
        <v>1</v>
      </c>
      <c r="G332" s="15" t="s">
        <v>133</v>
      </c>
      <c r="H332" s="15">
        <v>24</v>
      </c>
      <c r="I332" s="15" t="s">
        <v>43</v>
      </c>
      <c r="J332" s="15">
        <v>1</v>
      </c>
    </row>
    <row r="333" spans="1:10" x14ac:dyDescent="0.25">
      <c r="A333" s="28" t="s">
        <v>137</v>
      </c>
      <c r="B333" s="28">
        <v>24</v>
      </c>
      <c r="C333" s="28" t="s">
        <v>69</v>
      </c>
      <c r="D333" s="28">
        <v>1</v>
      </c>
      <c r="G333" s="15" t="s">
        <v>133</v>
      </c>
      <c r="H333" s="15">
        <v>25</v>
      </c>
      <c r="I333" s="15" t="s">
        <v>31</v>
      </c>
      <c r="J333" s="15">
        <v>1</v>
      </c>
    </row>
    <row r="334" spans="1:10" x14ac:dyDescent="0.25">
      <c r="A334" s="28" t="s">
        <v>137</v>
      </c>
      <c r="B334" s="28">
        <v>25</v>
      </c>
      <c r="C334" s="28" t="s">
        <v>69</v>
      </c>
      <c r="D334" s="28">
        <v>1</v>
      </c>
      <c r="G334" s="15" t="s">
        <v>133</v>
      </c>
      <c r="H334" s="15">
        <v>26</v>
      </c>
      <c r="I334" s="15" t="s">
        <v>32</v>
      </c>
      <c r="J334" s="15">
        <v>1</v>
      </c>
    </row>
    <row r="335" spans="1:10" x14ac:dyDescent="0.25">
      <c r="A335" s="28" t="s">
        <v>137</v>
      </c>
      <c r="B335" s="28">
        <v>28</v>
      </c>
      <c r="C335" s="28" t="s">
        <v>19</v>
      </c>
      <c r="D335" s="28">
        <v>1</v>
      </c>
      <c r="G335" s="15" t="s">
        <v>133</v>
      </c>
      <c r="H335" s="15">
        <v>27</v>
      </c>
      <c r="I335" s="15" t="s">
        <v>31</v>
      </c>
      <c r="J335" s="15">
        <v>1</v>
      </c>
    </row>
    <row r="336" spans="1:10" x14ac:dyDescent="0.25">
      <c r="A336" s="28" t="s">
        <v>146</v>
      </c>
      <c r="B336" s="28">
        <v>-6</v>
      </c>
      <c r="C336" s="28" t="s">
        <v>84</v>
      </c>
      <c r="D336" s="28">
        <v>1</v>
      </c>
      <c r="G336" s="15" t="s">
        <v>133</v>
      </c>
      <c r="H336" s="15">
        <v>28</v>
      </c>
      <c r="I336" s="15" t="s">
        <v>84</v>
      </c>
      <c r="J336" s="15">
        <v>1</v>
      </c>
    </row>
    <row r="337" spans="1:10" x14ac:dyDescent="0.25">
      <c r="A337" s="28" t="s">
        <v>146</v>
      </c>
      <c r="B337" s="28">
        <v>-5</v>
      </c>
      <c r="C337" s="28" t="s">
        <v>31</v>
      </c>
      <c r="D337" s="28">
        <v>1</v>
      </c>
      <c r="G337" s="15" t="s">
        <v>133</v>
      </c>
      <c r="H337" s="15">
        <v>29</v>
      </c>
      <c r="I337" s="15" t="s">
        <v>84</v>
      </c>
      <c r="J337" s="15">
        <v>1</v>
      </c>
    </row>
    <row r="338" spans="1:10" x14ac:dyDescent="0.25">
      <c r="A338" s="28" t="s">
        <v>146</v>
      </c>
      <c r="B338" s="28">
        <v>-4</v>
      </c>
      <c r="C338" s="28" t="s">
        <v>32</v>
      </c>
      <c r="D338" s="28">
        <v>1</v>
      </c>
      <c r="G338" s="15" t="s">
        <v>133</v>
      </c>
      <c r="H338" s="15">
        <v>30</v>
      </c>
      <c r="I338" s="15" t="s">
        <v>63</v>
      </c>
      <c r="J338" s="15">
        <v>1</v>
      </c>
    </row>
    <row r="339" spans="1:10" x14ac:dyDescent="0.25">
      <c r="A339" s="28" t="s">
        <v>146</v>
      </c>
      <c r="B339" s="28">
        <v>-3</v>
      </c>
      <c r="C339" s="28" t="s">
        <v>5</v>
      </c>
      <c r="D339" s="28">
        <v>1</v>
      </c>
      <c r="G339" s="15" t="s">
        <v>134</v>
      </c>
      <c r="H339" s="15">
        <v>7</v>
      </c>
      <c r="I339" s="15" t="s">
        <v>83</v>
      </c>
      <c r="J339" s="15">
        <v>1</v>
      </c>
    </row>
    <row r="340" spans="1:10" x14ac:dyDescent="0.25">
      <c r="A340" s="28" t="s">
        <v>146</v>
      </c>
      <c r="B340" s="28">
        <v>-2</v>
      </c>
      <c r="C340" s="28" t="s">
        <v>31</v>
      </c>
      <c r="D340" s="28">
        <v>1</v>
      </c>
      <c r="G340" s="15" t="s">
        <v>134</v>
      </c>
      <c r="H340" s="15">
        <v>8</v>
      </c>
      <c r="I340" s="15" t="s">
        <v>83</v>
      </c>
      <c r="J340" s="15">
        <v>1</v>
      </c>
    </row>
    <row r="341" spans="1:10" x14ac:dyDescent="0.25">
      <c r="A341" s="28" t="s">
        <v>146</v>
      </c>
      <c r="B341" s="28">
        <v>-1</v>
      </c>
      <c r="C341" s="28" t="s">
        <v>53</v>
      </c>
      <c r="D341" s="28">
        <v>1</v>
      </c>
      <c r="G341" s="15" t="s">
        <v>134</v>
      </c>
      <c r="H341" s="15">
        <v>9</v>
      </c>
      <c r="I341" s="15" t="s">
        <v>26</v>
      </c>
      <c r="J341" s="15">
        <v>1</v>
      </c>
    </row>
    <row r="342" spans="1:10" x14ac:dyDescent="0.25">
      <c r="A342" s="28" t="s">
        <v>146</v>
      </c>
      <c r="B342" s="28">
        <v>0</v>
      </c>
      <c r="C342" s="28" t="s">
        <v>83</v>
      </c>
      <c r="D342" s="28">
        <v>1</v>
      </c>
      <c r="G342" s="15" t="s">
        <v>134</v>
      </c>
      <c r="H342" s="15">
        <v>10</v>
      </c>
      <c r="I342" s="15" t="s">
        <v>26</v>
      </c>
      <c r="J342" s="15">
        <v>1</v>
      </c>
    </row>
    <row r="343" spans="1:10" x14ac:dyDescent="0.25">
      <c r="A343" s="28" t="s">
        <v>146</v>
      </c>
      <c r="B343" s="28">
        <v>1</v>
      </c>
      <c r="C343" s="28" t="s">
        <v>35</v>
      </c>
      <c r="D343" s="28">
        <v>1</v>
      </c>
      <c r="G343" s="15" t="s">
        <v>134</v>
      </c>
      <c r="H343" s="15">
        <v>11</v>
      </c>
      <c r="I343" s="15" t="s">
        <v>26</v>
      </c>
      <c r="J343" s="15">
        <v>1</v>
      </c>
    </row>
    <row r="344" spans="1:10" x14ac:dyDescent="0.25">
      <c r="A344" s="28" t="s">
        <v>146</v>
      </c>
      <c r="B344" s="28">
        <v>2</v>
      </c>
      <c r="C344" s="28" t="s">
        <v>5</v>
      </c>
      <c r="D344" s="28">
        <v>1</v>
      </c>
      <c r="G344" s="15" t="s">
        <v>134</v>
      </c>
      <c r="H344" s="15">
        <v>12</v>
      </c>
      <c r="I344" s="15" t="s">
        <v>5</v>
      </c>
      <c r="J344" s="15">
        <v>1</v>
      </c>
    </row>
    <row r="345" spans="1:10" x14ac:dyDescent="0.25">
      <c r="A345" s="28" t="s">
        <v>146</v>
      </c>
      <c r="B345" s="28">
        <v>3</v>
      </c>
      <c r="C345" s="28" t="s">
        <v>5</v>
      </c>
      <c r="D345" s="28">
        <v>1</v>
      </c>
      <c r="G345" s="15" t="s">
        <v>134</v>
      </c>
      <c r="H345" s="15">
        <v>13</v>
      </c>
      <c r="I345" s="15" t="s">
        <v>26</v>
      </c>
      <c r="J345" s="15">
        <v>1</v>
      </c>
    </row>
    <row r="346" spans="1:10" x14ac:dyDescent="0.25">
      <c r="A346" s="28" t="s">
        <v>146</v>
      </c>
      <c r="B346" s="28">
        <v>4</v>
      </c>
      <c r="C346" s="28" t="s">
        <v>5</v>
      </c>
      <c r="D346" s="28">
        <v>1</v>
      </c>
      <c r="G346" s="15" t="s">
        <v>134</v>
      </c>
      <c r="H346" s="15">
        <v>14</v>
      </c>
      <c r="I346" s="15" t="s">
        <v>83</v>
      </c>
      <c r="J346" s="15">
        <v>1</v>
      </c>
    </row>
    <row r="347" spans="1:10" x14ac:dyDescent="0.25">
      <c r="A347" s="28" t="s">
        <v>146</v>
      </c>
      <c r="B347" s="28">
        <v>5</v>
      </c>
      <c r="C347" s="28" t="s">
        <v>5</v>
      </c>
      <c r="D347" s="28">
        <v>1</v>
      </c>
      <c r="G347" s="15" t="s">
        <v>134</v>
      </c>
      <c r="H347" s="15">
        <v>15</v>
      </c>
      <c r="I347" s="15" t="s">
        <v>83</v>
      </c>
      <c r="J347" s="15">
        <v>1</v>
      </c>
    </row>
    <row r="348" spans="1:10" x14ac:dyDescent="0.25">
      <c r="A348" s="28" t="s">
        <v>146</v>
      </c>
      <c r="B348" s="28">
        <v>6</v>
      </c>
      <c r="C348" s="28" t="s">
        <v>31</v>
      </c>
      <c r="D348" s="28">
        <v>1</v>
      </c>
      <c r="G348" s="15" t="s">
        <v>134</v>
      </c>
      <c r="H348" s="15">
        <v>16</v>
      </c>
      <c r="I348" s="15" t="s">
        <v>26</v>
      </c>
      <c r="J348" s="15">
        <v>1</v>
      </c>
    </row>
    <row r="349" spans="1:10" x14ac:dyDescent="0.25">
      <c r="A349" s="28" t="s">
        <v>138</v>
      </c>
      <c r="B349" s="28">
        <v>-6</v>
      </c>
      <c r="C349" s="28" t="s">
        <v>83</v>
      </c>
      <c r="D349" s="28">
        <v>1</v>
      </c>
      <c r="G349" s="15" t="s">
        <v>134</v>
      </c>
      <c r="H349" s="15">
        <v>17</v>
      </c>
      <c r="I349" s="15" t="s">
        <v>26</v>
      </c>
      <c r="J349" s="15">
        <v>1</v>
      </c>
    </row>
    <row r="350" spans="1:10" x14ac:dyDescent="0.25">
      <c r="A350" s="28" t="s">
        <v>138</v>
      </c>
      <c r="B350" s="28">
        <v>-5</v>
      </c>
      <c r="C350" s="28" t="s">
        <v>43</v>
      </c>
      <c r="D350" s="28">
        <v>1</v>
      </c>
      <c r="G350" s="15" t="s">
        <v>134</v>
      </c>
      <c r="H350" s="15">
        <v>18</v>
      </c>
      <c r="I350" s="15" t="s">
        <v>26</v>
      </c>
      <c r="J350" s="15">
        <v>1</v>
      </c>
    </row>
    <row r="351" spans="1:10" x14ac:dyDescent="0.25">
      <c r="A351" s="28" t="s">
        <v>138</v>
      </c>
      <c r="B351" s="28">
        <v>-4</v>
      </c>
      <c r="C351" s="28" t="s">
        <v>31</v>
      </c>
      <c r="D351" s="28">
        <v>1</v>
      </c>
      <c r="G351" s="15" t="s">
        <v>134</v>
      </c>
      <c r="H351" s="15">
        <v>19</v>
      </c>
      <c r="I351" s="15" t="s">
        <v>5</v>
      </c>
      <c r="J351" s="15">
        <v>1</v>
      </c>
    </row>
    <row r="352" spans="1:10" x14ac:dyDescent="0.25">
      <c r="A352" s="28" t="s">
        <v>138</v>
      </c>
      <c r="B352" s="28">
        <v>-3</v>
      </c>
      <c r="C352" s="28" t="s">
        <v>168</v>
      </c>
      <c r="D352" s="28">
        <v>1</v>
      </c>
      <c r="G352" s="15" t="s">
        <v>134</v>
      </c>
      <c r="H352" s="15">
        <v>20</v>
      </c>
      <c r="I352" s="15" t="s">
        <v>26</v>
      </c>
      <c r="J352" s="15">
        <v>1</v>
      </c>
    </row>
    <row r="353" spans="1:10" x14ac:dyDescent="0.25">
      <c r="A353" s="28" t="s">
        <v>138</v>
      </c>
      <c r="B353" s="28">
        <v>-2</v>
      </c>
      <c r="C353" s="28" t="s">
        <v>26</v>
      </c>
      <c r="D353" s="28">
        <v>1</v>
      </c>
      <c r="G353" s="15" t="s">
        <v>134</v>
      </c>
      <c r="H353" s="15">
        <v>21</v>
      </c>
      <c r="I353" s="15" t="s">
        <v>83</v>
      </c>
      <c r="J353" s="15">
        <v>1</v>
      </c>
    </row>
    <row r="354" spans="1:10" x14ac:dyDescent="0.25">
      <c r="A354" s="28" t="s">
        <v>138</v>
      </c>
      <c r="B354" s="28">
        <v>-1</v>
      </c>
      <c r="C354" s="28" t="s">
        <v>26</v>
      </c>
      <c r="D354" s="28">
        <v>1</v>
      </c>
      <c r="G354" s="15" t="s">
        <v>134</v>
      </c>
      <c r="H354" s="15">
        <v>22</v>
      </c>
      <c r="I354" s="15" t="s">
        <v>83</v>
      </c>
      <c r="J354" s="15">
        <v>1</v>
      </c>
    </row>
    <row r="355" spans="1:10" x14ac:dyDescent="0.25">
      <c r="A355" s="28" t="s">
        <v>138</v>
      </c>
      <c r="B355" s="28">
        <v>0</v>
      </c>
      <c r="C355" s="28" t="s">
        <v>26</v>
      </c>
      <c r="D355" s="28">
        <v>1</v>
      </c>
      <c r="G355" s="15" t="s">
        <v>134</v>
      </c>
      <c r="H355" s="15">
        <v>23</v>
      </c>
      <c r="I355" s="15" t="s">
        <v>26</v>
      </c>
      <c r="J355" s="15">
        <v>1</v>
      </c>
    </row>
    <row r="356" spans="1:10" x14ac:dyDescent="0.25">
      <c r="A356" s="28" t="s">
        <v>138</v>
      </c>
      <c r="B356" s="28">
        <v>1</v>
      </c>
      <c r="C356" s="28" t="s">
        <v>26</v>
      </c>
      <c r="D356" s="28">
        <v>1</v>
      </c>
      <c r="G356" s="15" t="s">
        <v>134</v>
      </c>
      <c r="H356" s="15">
        <v>24</v>
      </c>
      <c r="I356" s="15" t="s">
        <v>26</v>
      </c>
      <c r="J356" s="15">
        <v>1</v>
      </c>
    </row>
    <row r="357" spans="1:10" x14ac:dyDescent="0.25">
      <c r="A357" s="28" t="s">
        <v>138</v>
      </c>
      <c r="B357" s="28">
        <v>2</v>
      </c>
      <c r="C357" s="28" t="s">
        <v>26</v>
      </c>
      <c r="D357" s="28">
        <v>1</v>
      </c>
      <c r="G357" s="15" t="s">
        <v>134</v>
      </c>
      <c r="H357" s="15">
        <v>25</v>
      </c>
      <c r="I357" s="15" t="s">
        <v>26</v>
      </c>
      <c r="J357" s="15">
        <v>1</v>
      </c>
    </row>
    <row r="358" spans="1:10" x14ac:dyDescent="0.25">
      <c r="A358" s="28" t="s">
        <v>138</v>
      </c>
      <c r="B358" s="28">
        <v>3</v>
      </c>
      <c r="C358" s="28" t="s">
        <v>53</v>
      </c>
      <c r="D358" s="28">
        <v>1</v>
      </c>
      <c r="G358" s="15" t="s">
        <v>134</v>
      </c>
      <c r="H358" s="15">
        <v>26</v>
      </c>
      <c r="I358" s="15" t="s">
        <v>5</v>
      </c>
      <c r="J358" s="15">
        <v>1</v>
      </c>
    </row>
    <row r="359" spans="1:10" x14ac:dyDescent="0.25">
      <c r="A359" s="28" t="s">
        <v>138</v>
      </c>
      <c r="B359" s="28">
        <v>4</v>
      </c>
      <c r="C359" s="28" t="s">
        <v>65</v>
      </c>
      <c r="D359" s="28">
        <v>1</v>
      </c>
      <c r="G359" s="15" t="s">
        <v>134</v>
      </c>
      <c r="H359" s="15">
        <v>27</v>
      </c>
      <c r="I359" s="15" t="s">
        <v>26</v>
      </c>
      <c r="J359" s="15">
        <v>1</v>
      </c>
    </row>
    <row r="360" spans="1:10" x14ac:dyDescent="0.25">
      <c r="A360" s="28" t="s">
        <v>138</v>
      </c>
      <c r="B360" s="28">
        <v>5</v>
      </c>
      <c r="C360" s="28" t="s">
        <v>83</v>
      </c>
      <c r="D360" s="28">
        <v>1</v>
      </c>
      <c r="G360" s="15" t="s">
        <v>134</v>
      </c>
      <c r="H360" s="15">
        <v>28</v>
      </c>
      <c r="I360" s="15" t="s">
        <v>83</v>
      </c>
      <c r="J360" s="15">
        <v>1</v>
      </c>
    </row>
    <row r="361" spans="1:10" x14ac:dyDescent="0.25">
      <c r="A361" s="28" t="s">
        <v>138</v>
      </c>
      <c r="B361" s="28">
        <v>6</v>
      </c>
      <c r="C361" s="28" t="s">
        <v>83</v>
      </c>
      <c r="D361" s="28">
        <v>1</v>
      </c>
      <c r="G361" s="15" t="s">
        <v>134</v>
      </c>
      <c r="H361" s="15">
        <v>29</v>
      </c>
      <c r="I361" s="15" t="s">
        <v>83</v>
      </c>
      <c r="J361" s="15">
        <v>1</v>
      </c>
    </row>
    <row r="362" spans="1:10" x14ac:dyDescent="0.25">
      <c r="A362" s="28" t="s">
        <v>138</v>
      </c>
      <c r="B362" s="28">
        <v>7</v>
      </c>
      <c r="C362" s="28" t="s">
        <v>84</v>
      </c>
      <c r="D362" s="28">
        <v>1</v>
      </c>
      <c r="G362" s="15" t="s">
        <v>134</v>
      </c>
      <c r="H362" s="15">
        <v>30</v>
      </c>
      <c r="I362" s="15" t="s">
        <v>26</v>
      </c>
      <c r="J362" s="15">
        <v>1</v>
      </c>
    </row>
    <row r="363" spans="1:10" x14ac:dyDescent="0.25">
      <c r="A363" s="28" t="s">
        <v>138</v>
      </c>
      <c r="B363" s="28">
        <v>8</v>
      </c>
      <c r="C363" s="28" t="s">
        <v>84</v>
      </c>
      <c r="D363" s="28">
        <v>1</v>
      </c>
      <c r="G363" s="15" t="s">
        <v>135</v>
      </c>
      <c r="H363" s="15">
        <v>7</v>
      </c>
      <c r="I363" s="15" t="s">
        <v>83</v>
      </c>
      <c r="J363" s="15">
        <v>1</v>
      </c>
    </row>
    <row r="364" spans="1:10" x14ac:dyDescent="0.25">
      <c r="A364" s="28" t="s">
        <v>138</v>
      </c>
      <c r="B364" s="28">
        <v>9</v>
      </c>
      <c r="C364" s="28" t="s">
        <v>63</v>
      </c>
      <c r="D364" s="28">
        <v>1</v>
      </c>
      <c r="G364" s="15" t="s">
        <v>135</v>
      </c>
      <c r="H364" s="15">
        <v>8</v>
      </c>
      <c r="I364" s="15" t="s">
        <v>38</v>
      </c>
      <c r="J364" s="15">
        <v>1</v>
      </c>
    </row>
    <row r="365" spans="1:10" x14ac:dyDescent="0.25">
      <c r="A365" s="28" t="s">
        <v>138</v>
      </c>
      <c r="B365" s="28">
        <v>10</v>
      </c>
      <c r="C365" s="28" t="s">
        <v>63</v>
      </c>
      <c r="D365" s="28">
        <v>1</v>
      </c>
      <c r="G365" s="15" t="s">
        <v>135</v>
      </c>
      <c r="H365" s="15">
        <v>9</v>
      </c>
      <c r="I365" s="15" t="s">
        <v>6</v>
      </c>
      <c r="J365" s="15">
        <v>1</v>
      </c>
    </row>
    <row r="366" spans="1:10" x14ac:dyDescent="0.25">
      <c r="A366" s="28" t="s">
        <v>138</v>
      </c>
      <c r="B366" s="28">
        <v>11</v>
      </c>
      <c r="C366" s="28" t="s">
        <v>63</v>
      </c>
      <c r="D366" s="28">
        <v>1</v>
      </c>
      <c r="G366" s="15" t="s">
        <v>135</v>
      </c>
      <c r="H366" s="15">
        <v>10</v>
      </c>
      <c r="I366" s="15" t="s">
        <v>31</v>
      </c>
      <c r="J366" s="15">
        <v>1</v>
      </c>
    </row>
    <row r="367" spans="1:10" x14ac:dyDescent="0.25">
      <c r="A367" s="28" t="s">
        <v>138</v>
      </c>
      <c r="B367" s="28">
        <v>12</v>
      </c>
      <c r="C367" s="28" t="s">
        <v>63</v>
      </c>
      <c r="D367" s="28">
        <v>1</v>
      </c>
      <c r="G367" s="15" t="s">
        <v>135</v>
      </c>
      <c r="H367" s="15">
        <v>11</v>
      </c>
      <c r="I367" s="15" t="s">
        <v>31</v>
      </c>
      <c r="J367" s="15">
        <v>1</v>
      </c>
    </row>
    <row r="368" spans="1:10" x14ac:dyDescent="0.25">
      <c r="A368" s="28" t="s">
        <v>138</v>
      </c>
      <c r="B368" s="28">
        <v>13</v>
      </c>
      <c r="C368" s="28" t="s">
        <v>63</v>
      </c>
      <c r="D368" s="28">
        <v>1</v>
      </c>
      <c r="G368" s="15" t="s">
        <v>135</v>
      </c>
      <c r="H368" s="15">
        <v>12</v>
      </c>
      <c r="I368" s="15" t="s">
        <v>53</v>
      </c>
      <c r="J368" s="15">
        <v>1</v>
      </c>
    </row>
    <row r="369" spans="1:10" x14ac:dyDescent="0.25">
      <c r="A369" s="28" t="s">
        <v>138</v>
      </c>
      <c r="B369" s="28">
        <v>14</v>
      </c>
      <c r="C369" s="28" t="s">
        <v>84</v>
      </c>
      <c r="D369" s="28">
        <v>1</v>
      </c>
      <c r="G369" s="15" t="s">
        <v>135</v>
      </c>
      <c r="H369" s="15">
        <v>13</v>
      </c>
      <c r="I369" s="15" t="s">
        <v>65</v>
      </c>
      <c r="J369" s="15">
        <v>1</v>
      </c>
    </row>
    <row r="370" spans="1:10" x14ac:dyDescent="0.25">
      <c r="A370" s="28" t="s">
        <v>138</v>
      </c>
      <c r="B370" s="28">
        <v>15</v>
      </c>
      <c r="C370" s="28" t="s">
        <v>84</v>
      </c>
      <c r="D370" s="28">
        <v>1</v>
      </c>
      <c r="G370" s="15" t="s">
        <v>135</v>
      </c>
      <c r="H370" s="15">
        <v>14</v>
      </c>
      <c r="I370" s="15" t="s">
        <v>83</v>
      </c>
      <c r="J370" s="15">
        <v>1</v>
      </c>
    </row>
    <row r="371" spans="1:10" x14ac:dyDescent="0.25">
      <c r="A371" s="28" t="s">
        <v>138</v>
      </c>
      <c r="B371" s="28">
        <v>16</v>
      </c>
      <c r="C371" s="28" t="s">
        <v>63</v>
      </c>
      <c r="D371" s="28">
        <v>1</v>
      </c>
      <c r="G371" s="15" t="s">
        <v>135</v>
      </c>
      <c r="H371" s="15">
        <v>15</v>
      </c>
      <c r="I371" s="15" t="s">
        <v>83</v>
      </c>
      <c r="J371" s="15">
        <v>1</v>
      </c>
    </row>
    <row r="372" spans="1:10" x14ac:dyDescent="0.25">
      <c r="A372" s="28" t="s">
        <v>138</v>
      </c>
      <c r="B372" s="28">
        <v>17</v>
      </c>
      <c r="C372" s="28" t="s">
        <v>63</v>
      </c>
      <c r="D372" s="28">
        <v>1</v>
      </c>
      <c r="G372" s="15" t="s">
        <v>135</v>
      </c>
      <c r="H372" s="15">
        <v>16</v>
      </c>
      <c r="I372" s="15" t="s">
        <v>53</v>
      </c>
      <c r="J372" s="15">
        <v>1</v>
      </c>
    </row>
    <row r="373" spans="1:10" x14ac:dyDescent="0.25">
      <c r="A373" s="28" t="s">
        <v>138</v>
      </c>
      <c r="B373" s="28">
        <v>18</v>
      </c>
      <c r="C373" s="28" t="s">
        <v>63</v>
      </c>
      <c r="D373" s="28">
        <v>1</v>
      </c>
      <c r="G373" s="15" t="s">
        <v>135</v>
      </c>
      <c r="H373" s="15">
        <v>17</v>
      </c>
      <c r="I373" s="15" t="s">
        <v>65</v>
      </c>
      <c r="J373" s="15">
        <v>1</v>
      </c>
    </row>
    <row r="374" spans="1:10" x14ac:dyDescent="0.25">
      <c r="A374" s="28" t="s">
        <v>138</v>
      </c>
      <c r="B374" s="28">
        <v>19</v>
      </c>
      <c r="C374" s="28" t="s">
        <v>63</v>
      </c>
      <c r="D374" s="28">
        <v>1</v>
      </c>
      <c r="G374" s="15" t="s">
        <v>135</v>
      </c>
      <c r="H374" s="15">
        <v>18</v>
      </c>
      <c r="I374" s="15" t="s">
        <v>31</v>
      </c>
      <c r="J374" s="15">
        <v>1</v>
      </c>
    </row>
    <row r="375" spans="1:10" x14ac:dyDescent="0.25">
      <c r="A375" s="28" t="s">
        <v>138</v>
      </c>
      <c r="B375" s="28">
        <v>20</v>
      </c>
      <c r="C375" s="28" t="s">
        <v>63</v>
      </c>
      <c r="D375" s="28">
        <v>1</v>
      </c>
      <c r="G375" s="15" t="s">
        <v>135</v>
      </c>
      <c r="H375" s="15">
        <v>19</v>
      </c>
      <c r="I375" s="15" t="s">
        <v>31</v>
      </c>
      <c r="J375" s="15">
        <v>1</v>
      </c>
    </row>
    <row r="376" spans="1:10" x14ac:dyDescent="0.25">
      <c r="A376" s="28" t="s">
        <v>138</v>
      </c>
      <c r="B376" s="28">
        <v>21</v>
      </c>
      <c r="C376" s="28" t="s">
        <v>84</v>
      </c>
      <c r="D376" s="28">
        <v>1</v>
      </c>
      <c r="G376" s="15" t="s">
        <v>135</v>
      </c>
      <c r="H376" s="15">
        <v>20</v>
      </c>
      <c r="I376" s="15" t="s">
        <v>31</v>
      </c>
      <c r="J376" s="15">
        <v>1</v>
      </c>
    </row>
    <row r="377" spans="1:10" x14ac:dyDescent="0.25">
      <c r="A377" s="28" t="s">
        <v>138</v>
      </c>
      <c r="B377" s="28">
        <v>22</v>
      </c>
      <c r="C377" s="28" t="s">
        <v>84</v>
      </c>
      <c r="D377" s="28">
        <v>1</v>
      </c>
      <c r="G377" s="15" t="s">
        <v>135</v>
      </c>
      <c r="H377" s="15">
        <v>21</v>
      </c>
      <c r="I377" s="15" t="s">
        <v>83</v>
      </c>
      <c r="J377" s="15">
        <v>1</v>
      </c>
    </row>
    <row r="378" spans="1:10" x14ac:dyDescent="0.25">
      <c r="A378" s="28" t="s">
        <v>138</v>
      </c>
      <c r="B378" s="28">
        <v>23</v>
      </c>
      <c r="C378" s="28" t="s">
        <v>63</v>
      </c>
      <c r="D378" s="28">
        <v>1</v>
      </c>
      <c r="G378" s="15" t="s">
        <v>135</v>
      </c>
      <c r="H378" s="15">
        <v>22</v>
      </c>
      <c r="I378" s="15" t="s">
        <v>53</v>
      </c>
      <c r="J378" s="15">
        <v>1</v>
      </c>
    </row>
    <row r="379" spans="1:10" x14ac:dyDescent="0.25">
      <c r="A379" s="28" t="s">
        <v>138</v>
      </c>
      <c r="B379" s="28">
        <v>24</v>
      </c>
      <c r="C379" s="28" t="s">
        <v>63</v>
      </c>
      <c r="D379" s="28">
        <v>1</v>
      </c>
      <c r="G379" s="15" t="s">
        <v>135</v>
      </c>
      <c r="H379" s="15">
        <v>23</v>
      </c>
      <c r="I379" s="15" t="s">
        <v>65</v>
      </c>
      <c r="J379" s="15">
        <v>1</v>
      </c>
    </row>
    <row r="380" spans="1:10" x14ac:dyDescent="0.25">
      <c r="A380" s="28" t="s">
        <v>138</v>
      </c>
      <c r="B380" s="28">
        <v>25</v>
      </c>
      <c r="C380" s="28" t="s">
        <v>63</v>
      </c>
      <c r="D380" s="28">
        <v>1</v>
      </c>
      <c r="G380" s="15" t="s">
        <v>135</v>
      </c>
      <c r="H380" s="15">
        <v>24</v>
      </c>
      <c r="I380" s="15" t="s">
        <v>83</v>
      </c>
      <c r="J380" s="15">
        <v>1</v>
      </c>
    </row>
    <row r="381" spans="1:10" x14ac:dyDescent="0.25">
      <c r="A381" s="28" t="s">
        <v>138</v>
      </c>
      <c r="B381" s="28">
        <v>26</v>
      </c>
      <c r="C381" s="28" t="s">
        <v>63</v>
      </c>
      <c r="D381" s="28">
        <v>1</v>
      </c>
      <c r="G381" s="15" t="s">
        <v>135</v>
      </c>
      <c r="H381" s="15">
        <v>25</v>
      </c>
      <c r="I381" s="15" t="s">
        <v>31</v>
      </c>
      <c r="J381" s="15">
        <v>1</v>
      </c>
    </row>
    <row r="382" spans="1:10" x14ac:dyDescent="0.25">
      <c r="A382" s="28" t="s">
        <v>138</v>
      </c>
      <c r="B382" s="28">
        <v>27</v>
      </c>
      <c r="C382" s="28" t="s">
        <v>63</v>
      </c>
      <c r="D382" s="28">
        <v>1</v>
      </c>
      <c r="G382" s="15" t="s">
        <v>135</v>
      </c>
      <c r="H382" s="15">
        <v>26</v>
      </c>
      <c r="I382" s="15" t="s">
        <v>53</v>
      </c>
      <c r="J382" s="15">
        <v>1</v>
      </c>
    </row>
    <row r="383" spans="1:10" x14ac:dyDescent="0.25">
      <c r="A383" s="28" t="s">
        <v>138</v>
      </c>
      <c r="B383" s="28">
        <v>28</v>
      </c>
      <c r="C383" s="28" t="s">
        <v>84</v>
      </c>
      <c r="D383" s="28">
        <v>1</v>
      </c>
      <c r="G383" s="15" t="s">
        <v>135</v>
      </c>
      <c r="H383" s="15">
        <v>27</v>
      </c>
      <c r="I383" s="15" t="s">
        <v>65</v>
      </c>
      <c r="J383" s="15">
        <v>1</v>
      </c>
    </row>
    <row r="384" spans="1:10" x14ac:dyDescent="0.25">
      <c r="A384" s="28" t="s">
        <v>139</v>
      </c>
      <c r="B384" s="28">
        <v>-6</v>
      </c>
      <c r="C384" s="28" t="s">
        <v>83</v>
      </c>
      <c r="D384" s="28">
        <v>1</v>
      </c>
      <c r="G384" s="15" t="s">
        <v>135</v>
      </c>
      <c r="H384" s="15">
        <v>28</v>
      </c>
      <c r="I384" s="15" t="s">
        <v>83</v>
      </c>
      <c r="J384" s="15">
        <v>1</v>
      </c>
    </row>
    <row r="385" spans="1:10" x14ac:dyDescent="0.25">
      <c r="A385" s="28" t="s">
        <v>139</v>
      </c>
      <c r="B385" s="28">
        <v>-5</v>
      </c>
      <c r="C385" s="28" t="s">
        <v>63</v>
      </c>
      <c r="D385" s="28">
        <v>1</v>
      </c>
      <c r="G385" s="15" t="s">
        <v>135</v>
      </c>
      <c r="H385" s="15">
        <v>29</v>
      </c>
      <c r="I385" s="15" t="s">
        <v>83</v>
      </c>
      <c r="J385" s="15">
        <v>1</v>
      </c>
    </row>
    <row r="386" spans="1:10" x14ac:dyDescent="0.25">
      <c r="A386" s="28" t="s">
        <v>139</v>
      </c>
      <c r="B386" s="28">
        <v>-4</v>
      </c>
      <c r="C386" s="28" t="s">
        <v>63</v>
      </c>
      <c r="D386" s="28">
        <v>1</v>
      </c>
      <c r="G386" s="15" t="s">
        <v>135</v>
      </c>
      <c r="H386" s="15">
        <v>30</v>
      </c>
      <c r="I386" s="15" t="s">
        <v>31</v>
      </c>
      <c r="J386" s="15">
        <v>1</v>
      </c>
    </row>
    <row r="387" spans="1:10" x14ac:dyDescent="0.25">
      <c r="A387" s="28" t="s">
        <v>139</v>
      </c>
      <c r="B387" s="28">
        <v>-3</v>
      </c>
      <c r="C387" s="28" t="s">
        <v>63</v>
      </c>
      <c r="D387" s="28">
        <v>1</v>
      </c>
      <c r="G387" s="15" t="s">
        <v>136</v>
      </c>
      <c r="H387" s="15">
        <v>7</v>
      </c>
      <c r="I387" s="15" t="s">
        <v>35</v>
      </c>
      <c r="J387" s="15">
        <v>1</v>
      </c>
    </row>
    <row r="388" spans="1:10" x14ac:dyDescent="0.25">
      <c r="A388" s="28" t="s">
        <v>139</v>
      </c>
      <c r="B388" s="28">
        <v>-2</v>
      </c>
      <c r="C388" s="28" t="s">
        <v>63</v>
      </c>
      <c r="D388" s="28">
        <v>1</v>
      </c>
      <c r="G388" s="15" t="s">
        <v>136</v>
      </c>
      <c r="H388" s="15">
        <v>8</v>
      </c>
      <c r="I388" s="15" t="s">
        <v>372</v>
      </c>
      <c r="J388" s="15">
        <v>1</v>
      </c>
    </row>
    <row r="389" spans="1:10" x14ac:dyDescent="0.25">
      <c r="A389" s="28" t="s">
        <v>139</v>
      </c>
      <c r="B389" s="28">
        <v>-1</v>
      </c>
      <c r="C389" s="28" t="s">
        <v>63</v>
      </c>
      <c r="D389" s="28">
        <v>1</v>
      </c>
      <c r="G389" s="15" t="s">
        <v>136</v>
      </c>
      <c r="H389" s="15">
        <v>9</v>
      </c>
      <c r="I389" s="15" t="s">
        <v>65</v>
      </c>
      <c r="J389" s="15">
        <v>1</v>
      </c>
    </row>
    <row r="390" spans="1:10" x14ac:dyDescent="0.25">
      <c r="A390" s="28" t="s">
        <v>139</v>
      </c>
      <c r="B390" s="28">
        <v>0</v>
      </c>
      <c r="C390" s="28" t="s">
        <v>83</v>
      </c>
      <c r="D390" s="28">
        <v>1</v>
      </c>
      <c r="G390" s="15" t="s">
        <v>136</v>
      </c>
      <c r="H390" s="15">
        <v>10</v>
      </c>
      <c r="I390" s="15" t="s">
        <v>26</v>
      </c>
      <c r="J390" s="15">
        <v>1</v>
      </c>
    </row>
    <row r="391" spans="1:10" x14ac:dyDescent="0.25">
      <c r="A391" s="28" t="s">
        <v>139</v>
      </c>
      <c r="B391" s="28">
        <v>1</v>
      </c>
      <c r="C391" s="28" t="s">
        <v>83</v>
      </c>
      <c r="D391" s="28">
        <v>1</v>
      </c>
      <c r="G391" s="15" t="s">
        <v>136</v>
      </c>
      <c r="H391" s="15">
        <v>11</v>
      </c>
      <c r="I391" s="15" t="s">
        <v>6</v>
      </c>
      <c r="J391" s="15">
        <v>1</v>
      </c>
    </row>
    <row r="392" spans="1:10" x14ac:dyDescent="0.25">
      <c r="A392" s="28" t="s">
        <v>139</v>
      </c>
      <c r="B392" s="28">
        <v>2</v>
      </c>
      <c r="C392" s="28" t="s">
        <v>17</v>
      </c>
      <c r="D392" s="28">
        <v>1</v>
      </c>
      <c r="G392" s="15" t="s">
        <v>136</v>
      </c>
      <c r="H392" s="15">
        <v>12</v>
      </c>
      <c r="I392" s="15" t="s">
        <v>31</v>
      </c>
      <c r="J392" s="15">
        <v>1</v>
      </c>
    </row>
    <row r="393" spans="1:10" x14ac:dyDescent="0.25">
      <c r="A393" s="28" t="s">
        <v>139</v>
      </c>
      <c r="B393" s="28">
        <v>3</v>
      </c>
      <c r="C393" s="28" t="s">
        <v>65</v>
      </c>
      <c r="D393" s="28">
        <v>1</v>
      </c>
      <c r="G393" s="15" t="s">
        <v>136</v>
      </c>
      <c r="H393" s="15">
        <v>13</v>
      </c>
      <c r="I393" s="15" t="s">
        <v>6</v>
      </c>
      <c r="J393" s="15">
        <v>1</v>
      </c>
    </row>
    <row r="394" spans="1:10" x14ac:dyDescent="0.25">
      <c r="A394" s="28" t="s">
        <v>139</v>
      </c>
      <c r="B394" s="28">
        <v>4</v>
      </c>
      <c r="C394" s="28" t="s">
        <v>168</v>
      </c>
      <c r="D394" s="28">
        <v>1</v>
      </c>
      <c r="G394" s="15" t="s">
        <v>136</v>
      </c>
      <c r="H394" s="15">
        <v>14</v>
      </c>
      <c r="I394" s="15" t="s">
        <v>83</v>
      </c>
      <c r="J394" s="15">
        <v>1</v>
      </c>
    </row>
    <row r="395" spans="1:10" x14ac:dyDescent="0.25">
      <c r="A395" s="28" t="s">
        <v>139</v>
      </c>
      <c r="B395" s="28">
        <v>5</v>
      </c>
      <c r="C395" s="28" t="s">
        <v>26</v>
      </c>
      <c r="D395" s="28">
        <v>1</v>
      </c>
      <c r="G395" s="15" t="s">
        <v>136</v>
      </c>
      <c r="H395" s="15">
        <v>15</v>
      </c>
      <c r="I395" s="15" t="s">
        <v>83</v>
      </c>
      <c r="J395" s="15">
        <v>1</v>
      </c>
    </row>
    <row r="396" spans="1:10" x14ac:dyDescent="0.25">
      <c r="A396" s="28" t="s">
        <v>139</v>
      </c>
      <c r="B396" s="28">
        <v>6</v>
      </c>
      <c r="C396" s="28" t="s">
        <v>26</v>
      </c>
      <c r="D396" s="28">
        <v>1</v>
      </c>
      <c r="G396" s="15" t="s">
        <v>136</v>
      </c>
      <c r="H396" s="15">
        <v>16</v>
      </c>
      <c r="I396" s="15" t="s">
        <v>31</v>
      </c>
      <c r="J396" s="15">
        <v>1</v>
      </c>
    </row>
    <row r="397" spans="1:10" x14ac:dyDescent="0.25">
      <c r="A397" s="28" t="s">
        <v>139</v>
      </c>
      <c r="B397" s="28">
        <v>16</v>
      </c>
      <c r="C397" s="28" t="s">
        <v>63</v>
      </c>
      <c r="D397" s="28">
        <v>1</v>
      </c>
      <c r="G397" s="15" t="s">
        <v>136</v>
      </c>
      <c r="H397" s="15">
        <v>17</v>
      </c>
      <c r="I397" s="15" t="s">
        <v>32</v>
      </c>
      <c r="J397" s="15">
        <v>1</v>
      </c>
    </row>
    <row r="398" spans="1:10" x14ac:dyDescent="0.25">
      <c r="A398" s="28" t="s">
        <v>139</v>
      </c>
      <c r="B398" s="28">
        <v>17</v>
      </c>
      <c r="C398" s="28" t="s">
        <v>63</v>
      </c>
      <c r="D398" s="28">
        <v>1</v>
      </c>
      <c r="G398" s="15" t="s">
        <v>136</v>
      </c>
      <c r="H398" s="15">
        <v>18</v>
      </c>
      <c r="I398" s="15" t="s">
        <v>26</v>
      </c>
      <c r="J398" s="15">
        <v>1</v>
      </c>
    </row>
    <row r="399" spans="1:10" x14ac:dyDescent="0.25">
      <c r="A399" s="28" t="s">
        <v>139</v>
      </c>
      <c r="B399" s="28">
        <v>18</v>
      </c>
      <c r="C399" s="28" t="s">
        <v>63</v>
      </c>
      <c r="D399" s="28">
        <v>1</v>
      </c>
      <c r="G399" s="15" t="s">
        <v>136</v>
      </c>
      <c r="H399" s="15">
        <v>19</v>
      </c>
      <c r="I399" s="15" t="s">
        <v>26</v>
      </c>
      <c r="J399" s="15">
        <v>1</v>
      </c>
    </row>
    <row r="400" spans="1:10" x14ac:dyDescent="0.25">
      <c r="A400" s="28" t="s">
        <v>140</v>
      </c>
      <c r="B400" s="28">
        <v>-6</v>
      </c>
      <c r="C400" s="28" t="s">
        <v>84</v>
      </c>
      <c r="D400" s="28">
        <v>1</v>
      </c>
      <c r="G400" s="15" t="s">
        <v>136</v>
      </c>
      <c r="H400" s="15">
        <v>20</v>
      </c>
      <c r="I400" s="15" t="s">
        <v>53</v>
      </c>
      <c r="J400" s="15">
        <v>1</v>
      </c>
    </row>
    <row r="401" spans="1:10" x14ac:dyDescent="0.25">
      <c r="A401" s="28" t="s">
        <v>140</v>
      </c>
      <c r="B401" s="28">
        <v>-5</v>
      </c>
      <c r="C401" s="28" t="s">
        <v>53</v>
      </c>
      <c r="D401" s="28">
        <v>1</v>
      </c>
      <c r="G401" s="15" t="s">
        <v>136</v>
      </c>
      <c r="H401" s="15">
        <v>21</v>
      </c>
      <c r="I401" s="15" t="s">
        <v>83</v>
      </c>
      <c r="J401" s="15">
        <v>1</v>
      </c>
    </row>
    <row r="402" spans="1:10" x14ac:dyDescent="0.25">
      <c r="A402" s="28" t="s">
        <v>140</v>
      </c>
      <c r="B402" s="28">
        <v>-4</v>
      </c>
      <c r="C402" s="28" t="s">
        <v>65</v>
      </c>
      <c r="D402" s="28">
        <v>1</v>
      </c>
      <c r="G402" s="15" t="s">
        <v>136</v>
      </c>
      <c r="H402" s="15">
        <v>22</v>
      </c>
      <c r="I402" s="15" t="s">
        <v>83</v>
      </c>
      <c r="J402" s="15">
        <v>1</v>
      </c>
    </row>
    <row r="403" spans="1:10" x14ac:dyDescent="0.25">
      <c r="A403" s="28" t="s">
        <v>140</v>
      </c>
      <c r="B403" s="28">
        <v>-3</v>
      </c>
      <c r="C403" s="28" t="s">
        <v>32</v>
      </c>
      <c r="D403" s="28">
        <v>1</v>
      </c>
      <c r="G403" s="15" t="s">
        <v>136</v>
      </c>
      <c r="H403" s="15">
        <v>23</v>
      </c>
      <c r="I403" s="15" t="s">
        <v>32</v>
      </c>
      <c r="J403" s="15">
        <v>1</v>
      </c>
    </row>
    <row r="404" spans="1:10" x14ac:dyDescent="0.25">
      <c r="A404" s="28" t="s">
        <v>140</v>
      </c>
      <c r="B404" s="28">
        <v>-2</v>
      </c>
      <c r="C404" s="28" t="s">
        <v>53</v>
      </c>
      <c r="D404" s="28">
        <v>1</v>
      </c>
      <c r="G404" s="15" t="s">
        <v>136</v>
      </c>
      <c r="H404" s="15">
        <v>24</v>
      </c>
      <c r="I404" s="15" t="s">
        <v>26</v>
      </c>
      <c r="J404" s="15">
        <v>1</v>
      </c>
    </row>
    <row r="405" spans="1:10" x14ac:dyDescent="0.25">
      <c r="A405" s="28" t="s">
        <v>140</v>
      </c>
      <c r="B405" s="28">
        <v>-1</v>
      </c>
      <c r="C405" s="28" t="s">
        <v>65</v>
      </c>
      <c r="D405" s="28">
        <v>1</v>
      </c>
      <c r="G405" s="15" t="s">
        <v>136</v>
      </c>
      <c r="H405" s="15">
        <v>25</v>
      </c>
      <c r="I405" s="15" t="s">
        <v>26</v>
      </c>
      <c r="J405" s="15">
        <v>1</v>
      </c>
    </row>
    <row r="406" spans="1:10" x14ac:dyDescent="0.25">
      <c r="A406" s="28" t="s">
        <v>140</v>
      </c>
      <c r="B406" s="28">
        <v>0</v>
      </c>
      <c r="C406" s="28" t="s">
        <v>83</v>
      </c>
      <c r="D406" s="28">
        <v>1</v>
      </c>
      <c r="G406" s="15" t="s">
        <v>136</v>
      </c>
      <c r="H406" s="15">
        <v>26</v>
      </c>
      <c r="I406" s="15" t="s">
        <v>17</v>
      </c>
      <c r="J406" s="15">
        <v>1</v>
      </c>
    </row>
    <row r="407" spans="1:10" x14ac:dyDescent="0.25">
      <c r="A407" s="28" t="s">
        <v>140</v>
      </c>
      <c r="B407" s="28">
        <v>1</v>
      </c>
      <c r="C407" s="28" t="s">
        <v>83</v>
      </c>
      <c r="D407" s="28">
        <v>1</v>
      </c>
      <c r="G407" s="15" t="s">
        <v>136</v>
      </c>
      <c r="H407" s="15">
        <v>27</v>
      </c>
      <c r="I407" s="15" t="s">
        <v>65</v>
      </c>
      <c r="J407" s="15">
        <v>1</v>
      </c>
    </row>
    <row r="408" spans="1:10" x14ac:dyDescent="0.25">
      <c r="A408" s="28" t="s">
        <v>140</v>
      </c>
      <c r="B408" s="28">
        <v>2</v>
      </c>
      <c r="C408" s="28" t="s">
        <v>31</v>
      </c>
      <c r="D408" s="28">
        <v>1</v>
      </c>
      <c r="G408" s="15" t="s">
        <v>136</v>
      </c>
      <c r="H408" s="15">
        <v>28</v>
      </c>
      <c r="I408" s="15" t="s">
        <v>83</v>
      </c>
      <c r="J408" s="15">
        <v>1</v>
      </c>
    </row>
    <row r="409" spans="1:10" x14ac:dyDescent="0.25">
      <c r="A409" s="28" t="s">
        <v>140</v>
      </c>
      <c r="B409" s="28">
        <v>3</v>
      </c>
      <c r="C409" s="28" t="s">
        <v>26</v>
      </c>
      <c r="D409" s="28">
        <v>1</v>
      </c>
      <c r="G409" s="15" t="s">
        <v>136</v>
      </c>
      <c r="H409" s="15">
        <v>29</v>
      </c>
      <c r="I409" s="15" t="s">
        <v>83</v>
      </c>
      <c r="J409" s="15">
        <v>1</v>
      </c>
    </row>
    <row r="410" spans="1:10" x14ac:dyDescent="0.25">
      <c r="A410" s="28" t="s">
        <v>140</v>
      </c>
      <c r="B410" s="28">
        <v>4</v>
      </c>
      <c r="C410" s="28" t="s">
        <v>31</v>
      </c>
      <c r="D410" s="28">
        <v>1</v>
      </c>
      <c r="G410" s="15" t="s">
        <v>136</v>
      </c>
      <c r="H410" s="15">
        <v>30</v>
      </c>
      <c r="I410" s="15" t="s">
        <v>53</v>
      </c>
      <c r="J410" s="15">
        <v>1</v>
      </c>
    </row>
    <row r="411" spans="1:10" x14ac:dyDescent="0.25">
      <c r="A411" s="28" t="s">
        <v>140</v>
      </c>
      <c r="B411" s="28">
        <v>5</v>
      </c>
      <c r="C411" s="28" t="s">
        <v>53</v>
      </c>
      <c r="D411" s="28">
        <v>1</v>
      </c>
      <c r="G411" s="15" t="s">
        <v>342</v>
      </c>
      <c r="H411" s="15">
        <v>7</v>
      </c>
      <c r="I411" s="15" t="s">
        <v>83</v>
      </c>
      <c r="J411" s="15">
        <v>1</v>
      </c>
    </row>
    <row r="412" spans="1:10" x14ac:dyDescent="0.25">
      <c r="A412" s="28" t="s">
        <v>140</v>
      </c>
      <c r="B412" s="28">
        <v>6</v>
      </c>
      <c r="C412" s="28" t="s">
        <v>65</v>
      </c>
      <c r="D412" s="28">
        <v>1</v>
      </c>
      <c r="G412" s="15" t="s">
        <v>342</v>
      </c>
      <c r="H412" s="15">
        <v>8</v>
      </c>
      <c r="I412" s="15" t="s">
        <v>83</v>
      </c>
      <c r="J412" s="15">
        <v>1</v>
      </c>
    </row>
    <row r="413" spans="1:10" x14ac:dyDescent="0.25">
      <c r="A413" s="28" t="s">
        <v>141</v>
      </c>
      <c r="B413" s="28">
        <v>-6</v>
      </c>
      <c r="C413" s="28" t="s">
        <v>83</v>
      </c>
      <c r="D413" s="28">
        <v>1</v>
      </c>
      <c r="G413" s="15" t="s">
        <v>342</v>
      </c>
      <c r="H413" s="15">
        <v>9</v>
      </c>
      <c r="I413" s="15" t="s">
        <v>31</v>
      </c>
      <c r="J413" s="15">
        <v>1</v>
      </c>
    </row>
    <row r="414" spans="1:10" x14ac:dyDescent="0.25">
      <c r="A414" s="28" t="s">
        <v>141</v>
      </c>
      <c r="B414" s="28">
        <v>-5</v>
      </c>
      <c r="C414" s="28" t="s">
        <v>31</v>
      </c>
      <c r="D414" s="28">
        <v>1</v>
      </c>
      <c r="G414" s="15" t="s">
        <v>342</v>
      </c>
      <c r="H414" s="15">
        <v>10</v>
      </c>
      <c r="I414" s="15" t="s">
        <v>31</v>
      </c>
      <c r="J414" s="15">
        <v>1</v>
      </c>
    </row>
    <row r="415" spans="1:10" x14ac:dyDescent="0.25">
      <c r="A415" s="28" t="s">
        <v>141</v>
      </c>
      <c r="B415" s="28">
        <v>-4</v>
      </c>
      <c r="C415" s="28" t="s">
        <v>17</v>
      </c>
      <c r="D415" s="28">
        <v>1</v>
      </c>
      <c r="G415" s="15" t="s">
        <v>342</v>
      </c>
      <c r="H415" s="15">
        <v>11</v>
      </c>
      <c r="I415" s="15" t="s">
        <v>31</v>
      </c>
      <c r="J415" s="15">
        <v>1</v>
      </c>
    </row>
    <row r="416" spans="1:10" x14ac:dyDescent="0.25">
      <c r="A416" s="28" t="s">
        <v>141</v>
      </c>
      <c r="B416" s="28">
        <v>-3</v>
      </c>
      <c r="C416" s="28" t="s">
        <v>65</v>
      </c>
      <c r="D416" s="28">
        <v>1</v>
      </c>
      <c r="G416" s="15" t="s">
        <v>342</v>
      </c>
      <c r="H416" s="15">
        <v>12</v>
      </c>
      <c r="I416" s="15" t="s">
        <v>31</v>
      </c>
      <c r="J416" s="15">
        <v>1</v>
      </c>
    </row>
    <row r="417" spans="1:10" x14ac:dyDescent="0.25">
      <c r="A417" s="28" t="s">
        <v>141</v>
      </c>
      <c r="B417" s="28">
        <v>-2</v>
      </c>
      <c r="C417" s="28" t="s">
        <v>83</v>
      </c>
      <c r="D417" s="28">
        <v>1</v>
      </c>
      <c r="G417" s="15" t="s">
        <v>342</v>
      </c>
      <c r="H417" s="15">
        <v>13</v>
      </c>
      <c r="I417" s="15" t="s">
        <v>31</v>
      </c>
      <c r="J417" s="15">
        <v>1</v>
      </c>
    </row>
    <row r="418" spans="1:10" x14ac:dyDescent="0.25">
      <c r="A418" s="28" t="s">
        <v>141</v>
      </c>
      <c r="B418" s="28">
        <v>-1</v>
      </c>
      <c r="C418" s="28" t="s">
        <v>6</v>
      </c>
      <c r="D418" s="28">
        <v>1</v>
      </c>
      <c r="G418" s="15" t="s">
        <v>342</v>
      </c>
      <c r="H418" s="15">
        <v>14</v>
      </c>
      <c r="I418" s="15" t="s">
        <v>83</v>
      </c>
      <c r="J418" s="15">
        <v>1</v>
      </c>
    </row>
    <row r="419" spans="1:10" x14ac:dyDescent="0.25">
      <c r="A419" s="28" t="s">
        <v>141</v>
      </c>
      <c r="B419" s="28">
        <v>0</v>
      </c>
      <c r="C419" s="28" t="s">
        <v>41</v>
      </c>
      <c r="D419" s="28">
        <v>1</v>
      </c>
      <c r="G419" s="15" t="s">
        <v>342</v>
      </c>
      <c r="H419" s="15">
        <v>15</v>
      </c>
      <c r="I419" s="15" t="s">
        <v>83</v>
      </c>
      <c r="J419" s="15">
        <v>1</v>
      </c>
    </row>
    <row r="420" spans="1:10" x14ac:dyDescent="0.25">
      <c r="A420" s="28" t="s">
        <v>141</v>
      </c>
      <c r="B420" s="28">
        <v>1</v>
      </c>
      <c r="C420" s="28" t="s">
        <v>83</v>
      </c>
      <c r="D420" s="28">
        <v>1</v>
      </c>
      <c r="G420" s="15" t="s">
        <v>342</v>
      </c>
      <c r="H420" s="15">
        <v>16</v>
      </c>
      <c r="I420" s="15" t="s">
        <v>31</v>
      </c>
      <c r="J420" s="15">
        <v>1</v>
      </c>
    </row>
    <row r="421" spans="1:10" x14ac:dyDescent="0.25">
      <c r="A421" s="28" t="s">
        <v>141</v>
      </c>
      <c r="B421" s="28">
        <v>2</v>
      </c>
      <c r="C421" s="28" t="s">
        <v>43</v>
      </c>
      <c r="D421" s="28">
        <v>1</v>
      </c>
      <c r="G421" s="15" t="s">
        <v>342</v>
      </c>
      <c r="H421" s="15">
        <v>17</v>
      </c>
      <c r="I421" s="15" t="s">
        <v>31</v>
      </c>
      <c r="J421" s="15">
        <v>1</v>
      </c>
    </row>
    <row r="422" spans="1:10" x14ac:dyDescent="0.25">
      <c r="A422" s="28" t="s">
        <v>141</v>
      </c>
      <c r="B422" s="28">
        <v>3</v>
      </c>
      <c r="C422" s="28" t="s">
        <v>31</v>
      </c>
      <c r="D422" s="28">
        <v>1</v>
      </c>
      <c r="G422" s="15" t="s">
        <v>342</v>
      </c>
      <c r="H422" s="15">
        <v>18</v>
      </c>
      <c r="I422" s="15" t="s">
        <v>31</v>
      </c>
      <c r="J422" s="15">
        <v>1</v>
      </c>
    </row>
    <row r="423" spans="1:10" x14ac:dyDescent="0.25">
      <c r="A423" s="28" t="s">
        <v>141</v>
      </c>
      <c r="B423" s="28">
        <v>4</v>
      </c>
      <c r="C423" s="28" t="s">
        <v>31</v>
      </c>
      <c r="D423" s="28">
        <v>1</v>
      </c>
      <c r="G423" s="15" t="s">
        <v>342</v>
      </c>
      <c r="H423" s="15">
        <v>19</v>
      </c>
      <c r="I423" s="15" t="s">
        <v>31</v>
      </c>
      <c r="J423" s="15">
        <v>1</v>
      </c>
    </row>
    <row r="424" spans="1:10" x14ac:dyDescent="0.25">
      <c r="A424" s="28" t="s">
        <v>141</v>
      </c>
      <c r="B424" s="28">
        <v>5</v>
      </c>
      <c r="C424" s="28" t="s">
        <v>364</v>
      </c>
      <c r="D424" s="28">
        <v>1</v>
      </c>
      <c r="G424" s="15" t="s">
        <v>342</v>
      </c>
      <c r="H424" s="15">
        <v>20</v>
      </c>
      <c r="I424" s="15" t="s">
        <v>31</v>
      </c>
      <c r="J424" s="15">
        <v>1</v>
      </c>
    </row>
    <row r="425" spans="1:10" x14ac:dyDescent="0.25">
      <c r="A425" s="28" t="s">
        <v>141</v>
      </c>
      <c r="B425" s="28">
        <v>6</v>
      </c>
      <c r="C425" s="28" t="s">
        <v>65</v>
      </c>
      <c r="D425" s="28">
        <v>1</v>
      </c>
      <c r="G425" s="15" t="s">
        <v>342</v>
      </c>
      <c r="H425" s="15">
        <v>21</v>
      </c>
      <c r="I425" s="15" t="s">
        <v>83</v>
      </c>
      <c r="J425" s="15">
        <v>1</v>
      </c>
    </row>
    <row r="426" spans="1:10" x14ac:dyDescent="0.25">
      <c r="A426" s="28" t="s">
        <v>141</v>
      </c>
      <c r="B426" s="28">
        <v>13</v>
      </c>
      <c r="C426" s="28" t="s">
        <v>69</v>
      </c>
      <c r="D426" s="28">
        <v>1</v>
      </c>
      <c r="G426" s="15" t="s">
        <v>342</v>
      </c>
      <c r="H426" s="15">
        <v>22</v>
      </c>
      <c r="I426" s="15" t="s">
        <v>83</v>
      </c>
      <c r="J426" s="15">
        <v>1</v>
      </c>
    </row>
    <row r="427" spans="1:10" x14ac:dyDescent="0.25">
      <c r="A427" s="28" t="s">
        <v>141</v>
      </c>
      <c r="B427" s="28">
        <v>14</v>
      </c>
      <c r="C427" s="28" t="s">
        <v>69</v>
      </c>
      <c r="D427" s="28">
        <v>1</v>
      </c>
      <c r="G427" s="15" t="s">
        <v>342</v>
      </c>
      <c r="H427" s="15">
        <v>23</v>
      </c>
      <c r="I427" s="15" t="s">
        <v>31</v>
      </c>
      <c r="J427" s="15">
        <v>1</v>
      </c>
    </row>
    <row r="428" spans="1:10" x14ac:dyDescent="0.25">
      <c r="A428" s="28" t="s">
        <v>335</v>
      </c>
      <c r="B428" s="28">
        <v>-6</v>
      </c>
      <c r="C428" s="28" t="s">
        <v>83</v>
      </c>
      <c r="D428" s="28">
        <v>1</v>
      </c>
      <c r="G428" s="15" t="s">
        <v>342</v>
      </c>
      <c r="H428" s="15">
        <v>24</v>
      </c>
      <c r="I428" s="15" t="s">
        <v>31</v>
      </c>
      <c r="J428" s="15">
        <v>1</v>
      </c>
    </row>
    <row r="429" spans="1:10" x14ac:dyDescent="0.25">
      <c r="A429" s="28" t="s">
        <v>335</v>
      </c>
      <c r="B429" s="28">
        <v>-5</v>
      </c>
      <c r="C429" s="28" t="s">
        <v>31</v>
      </c>
      <c r="D429" s="28">
        <v>1</v>
      </c>
      <c r="G429" s="15" t="s">
        <v>342</v>
      </c>
      <c r="H429" s="15">
        <v>25</v>
      </c>
      <c r="I429" s="15" t="s">
        <v>31</v>
      </c>
      <c r="J429" s="15">
        <v>1</v>
      </c>
    </row>
    <row r="430" spans="1:10" x14ac:dyDescent="0.25">
      <c r="A430" s="28" t="s">
        <v>335</v>
      </c>
      <c r="B430" s="28">
        <v>-4</v>
      </c>
      <c r="C430" s="28" t="s">
        <v>31</v>
      </c>
      <c r="D430" s="28">
        <v>1</v>
      </c>
      <c r="G430" s="15" t="s">
        <v>342</v>
      </c>
      <c r="H430" s="15">
        <v>26</v>
      </c>
      <c r="I430" s="15" t="s">
        <v>31</v>
      </c>
      <c r="J430" s="15">
        <v>1</v>
      </c>
    </row>
    <row r="431" spans="1:10" x14ac:dyDescent="0.25">
      <c r="A431" s="28" t="s">
        <v>335</v>
      </c>
      <c r="B431" s="28">
        <v>-3</v>
      </c>
      <c r="C431" s="28" t="s">
        <v>31</v>
      </c>
      <c r="D431" s="28">
        <v>1</v>
      </c>
      <c r="G431" s="15" t="s">
        <v>342</v>
      </c>
      <c r="H431" s="15">
        <v>27</v>
      </c>
      <c r="I431" s="15" t="s">
        <v>31</v>
      </c>
      <c r="J431" s="15">
        <v>1</v>
      </c>
    </row>
    <row r="432" spans="1:10" x14ac:dyDescent="0.25">
      <c r="A432" s="28" t="s">
        <v>335</v>
      </c>
      <c r="B432" s="28">
        <v>-2</v>
      </c>
      <c r="C432" s="28" t="s">
        <v>6</v>
      </c>
      <c r="D432" s="28">
        <v>1</v>
      </c>
      <c r="G432" s="15" t="s">
        <v>342</v>
      </c>
      <c r="H432" s="15">
        <v>28</v>
      </c>
      <c r="I432" s="15" t="s">
        <v>83</v>
      </c>
      <c r="J432" s="15">
        <v>1</v>
      </c>
    </row>
    <row r="433" spans="1:10" x14ac:dyDescent="0.25">
      <c r="A433" s="28" t="s">
        <v>335</v>
      </c>
      <c r="B433" s="28">
        <v>-1</v>
      </c>
      <c r="C433" s="28" t="s">
        <v>31</v>
      </c>
      <c r="D433" s="28">
        <v>1</v>
      </c>
      <c r="G433" s="15" t="s">
        <v>342</v>
      </c>
      <c r="H433" s="15">
        <v>29</v>
      </c>
      <c r="I433" s="15" t="s">
        <v>83</v>
      </c>
      <c r="J433" s="15">
        <v>1</v>
      </c>
    </row>
    <row r="434" spans="1:10" x14ac:dyDescent="0.25">
      <c r="A434" s="28" t="s">
        <v>335</v>
      </c>
      <c r="B434" s="28">
        <v>0</v>
      </c>
      <c r="C434" s="28" t="s">
        <v>83</v>
      </c>
      <c r="D434" s="28">
        <v>1</v>
      </c>
      <c r="G434" s="15" t="s">
        <v>342</v>
      </c>
      <c r="H434" s="15">
        <v>30</v>
      </c>
      <c r="I434" s="15" t="s">
        <v>31</v>
      </c>
      <c r="J434" s="15">
        <v>1</v>
      </c>
    </row>
    <row r="435" spans="1:10" x14ac:dyDescent="0.25">
      <c r="A435" s="28" t="s">
        <v>335</v>
      </c>
      <c r="B435" s="28">
        <v>1</v>
      </c>
      <c r="C435" s="28" t="s">
        <v>19</v>
      </c>
      <c r="D435" s="28">
        <v>1</v>
      </c>
      <c r="G435" s="15" t="s">
        <v>337</v>
      </c>
      <c r="H435" s="15">
        <v>7</v>
      </c>
      <c r="I435" s="15" t="s">
        <v>83</v>
      </c>
      <c r="J435" s="15">
        <v>1</v>
      </c>
    </row>
    <row r="436" spans="1:10" x14ac:dyDescent="0.25">
      <c r="A436" s="28" t="s">
        <v>335</v>
      </c>
      <c r="B436" s="28">
        <v>2</v>
      </c>
      <c r="C436" s="28" t="s">
        <v>65</v>
      </c>
      <c r="D436" s="28">
        <v>1</v>
      </c>
      <c r="G436" s="15" t="s">
        <v>337</v>
      </c>
      <c r="H436" s="15">
        <v>8</v>
      </c>
      <c r="I436" s="15" t="s">
        <v>83</v>
      </c>
      <c r="J436" s="15">
        <v>1</v>
      </c>
    </row>
    <row r="437" spans="1:10" x14ac:dyDescent="0.25">
      <c r="A437" s="28" t="s">
        <v>335</v>
      </c>
      <c r="B437" s="28">
        <v>3</v>
      </c>
      <c r="C437" s="28" t="s">
        <v>43</v>
      </c>
      <c r="D437" s="28">
        <v>1</v>
      </c>
      <c r="G437" s="15" t="s">
        <v>337</v>
      </c>
      <c r="H437" s="15">
        <v>9</v>
      </c>
      <c r="I437" s="15" t="s">
        <v>31</v>
      </c>
      <c r="J437" s="15">
        <v>1</v>
      </c>
    </row>
    <row r="438" spans="1:10" x14ac:dyDescent="0.25">
      <c r="A438" s="28" t="s">
        <v>335</v>
      </c>
      <c r="B438" s="28">
        <v>4</v>
      </c>
      <c r="C438" s="28" t="s">
        <v>31</v>
      </c>
      <c r="D438" s="28">
        <v>1</v>
      </c>
      <c r="G438" s="15" t="s">
        <v>337</v>
      </c>
      <c r="H438" s="15">
        <v>10</v>
      </c>
      <c r="I438" s="15" t="s">
        <v>31</v>
      </c>
      <c r="J438" s="15">
        <v>1</v>
      </c>
    </row>
    <row r="439" spans="1:10" x14ac:dyDescent="0.25">
      <c r="A439" s="28" t="s">
        <v>335</v>
      </c>
      <c r="B439" s="28">
        <v>5</v>
      </c>
      <c r="C439" s="28" t="s">
        <v>31</v>
      </c>
      <c r="D439" s="28">
        <v>1</v>
      </c>
      <c r="G439" s="15" t="s">
        <v>337</v>
      </c>
      <c r="H439" s="15">
        <v>11</v>
      </c>
      <c r="I439" s="15" t="s">
        <v>31</v>
      </c>
      <c r="J439" s="15">
        <v>1</v>
      </c>
    </row>
    <row r="440" spans="1:10" x14ac:dyDescent="0.25">
      <c r="A440" s="28" t="s">
        <v>335</v>
      </c>
      <c r="B440" s="28">
        <v>6</v>
      </c>
      <c r="C440" s="28" t="s">
        <v>31</v>
      </c>
      <c r="D440" s="28">
        <v>1</v>
      </c>
      <c r="G440" s="15" t="s">
        <v>337</v>
      </c>
      <c r="H440" s="15">
        <v>12</v>
      </c>
      <c r="I440" s="15" t="s">
        <v>31</v>
      </c>
      <c r="J440" s="15">
        <v>1</v>
      </c>
    </row>
    <row r="441" spans="1:10" x14ac:dyDescent="0.25">
      <c r="A441" s="28" t="s">
        <v>335</v>
      </c>
      <c r="B441" s="28">
        <v>28</v>
      </c>
      <c r="C441" s="28" t="s">
        <v>19</v>
      </c>
      <c r="D441" s="28">
        <v>1</v>
      </c>
      <c r="G441" s="15" t="s">
        <v>337</v>
      </c>
      <c r="H441" s="15">
        <v>13</v>
      </c>
      <c r="I441" s="15" t="s">
        <v>69</v>
      </c>
      <c r="J441" s="15">
        <v>1</v>
      </c>
    </row>
    <row r="442" spans="1:10" x14ac:dyDescent="0.25">
      <c r="A442" s="28" t="s">
        <v>142</v>
      </c>
      <c r="B442" s="28">
        <v>-6</v>
      </c>
      <c r="C442" s="28" t="s">
        <v>53</v>
      </c>
      <c r="D442" s="28">
        <v>1</v>
      </c>
      <c r="G442" s="15" t="s">
        <v>337</v>
      </c>
      <c r="H442" s="15">
        <v>14</v>
      </c>
      <c r="I442" s="15" t="s">
        <v>69</v>
      </c>
      <c r="J442" s="15">
        <v>1</v>
      </c>
    </row>
    <row r="443" spans="1:10" x14ac:dyDescent="0.25">
      <c r="A443" s="28" t="s">
        <v>142</v>
      </c>
      <c r="B443" s="28">
        <v>-5</v>
      </c>
      <c r="C443" s="28" t="s">
        <v>65</v>
      </c>
      <c r="D443" s="28">
        <v>1</v>
      </c>
      <c r="G443" s="15" t="s">
        <v>337</v>
      </c>
      <c r="H443" s="15">
        <v>15</v>
      </c>
      <c r="I443" s="15" t="s">
        <v>83</v>
      </c>
      <c r="J443" s="15">
        <v>1</v>
      </c>
    </row>
    <row r="444" spans="1:10" x14ac:dyDescent="0.25">
      <c r="A444" s="28" t="s">
        <v>142</v>
      </c>
      <c r="B444" s="28">
        <v>-4</v>
      </c>
      <c r="C444" s="28" t="s">
        <v>83</v>
      </c>
      <c r="D444" s="28">
        <v>1</v>
      </c>
      <c r="G444" s="15" t="s">
        <v>337</v>
      </c>
      <c r="H444" s="15">
        <v>16</v>
      </c>
      <c r="I444" s="15" t="s">
        <v>32</v>
      </c>
      <c r="J444" s="15">
        <v>1</v>
      </c>
    </row>
    <row r="445" spans="1:10" x14ac:dyDescent="0.25">
      <c r="A445" s="28" t="s">
        <v>142</v>
      </c>
      <c r="B445" s="28">
        <v>-3</v>
      </c>
      <c r="C445" s="28" t="s">
        <v>43</v>
      </c>
      <c r="D445" s="28">
        <v>1</v>
      </c>
      <c r="G445" s="15" t="s">
        <v>337</v>
      </c>
      <c r="H445" s="15">
        <v>17</v>
      </c>
      <c r="I445" s="15" t="s">
        <v>31</v>
      </c>
      <c r="J445" s="15">
        <v>1</v>
      </c>
    </row>
    <row r="446" spans="1:10" x14ac:dyDescent="0.25">
      <c r="A446" s="28" t="s">
        <v>142</v>
      </c>
      <c r="B446" s="28">
        <v>-2</v>
      </c>
      <c r="C446" s="28" t="s">
        <v>31</v>
      </c>
      <c r="D446" s="28">
        <v>1</v>
      </c>
      <c r="G446" s="15" t="s">
        <v>337</v>
      </c>
      <c r="H446" s="15">
        <v>18</v>
      </c>
      <c r="I446" s="15" t="s">
        <v>31</v>
      </c>
      <c r="J446" s="15">
        <v>1</v>
      </c>
    </row>
    <row r="447" spans="1:10" x14ac:dyDescent="0.25">
      <c r="A447" s="28" t="s">
        <v>142</v>
      </c>
      <c r="B447" s="28">
        <v>-1</v>
      </c>
      <c r="C447" s="28" t="s">
        <v>5</v>
      </c>
      <c r="D447" s="28">
        <v>1</v>
      </c>
      <c r="G447" s="15" t="s">
        <v>337</v>
      </c>
      <c r="H447" s="15">
        <v>19</v>
      </c>
      <c r="I447" s="15" t="s">
        <v>31</v>
      </c>
      <c r="J447" s="15">
        <v>1</v>
      </c>
    </row>
    <row r="448" spans="1:10" x14ac:dyDescent="0.25">
      <c r="A448" s="28" t="s">
        <v>142</v>
      </c>
      <c r="B448" s="28">
        <v>0</v>
      </c>
      <c r="C448" s="28" t="s">
        <v>83</v>
      </c>
      <c r="D448" s="28">
        <v>1</v>
      </c>
      <c r="G448" s="15" t="s">
        <v>337</v>
      </c>
      <c r="H448" s="15">
        <v>20</v>
      </c>
      <c r="I448" s="15" t="s">
        <v>31</v>
      </c>
      <c r="J448" s="15">
        <v>1</v>
      </c>
    </row>
    <row r="449" spans="1:10" x14ac:dyDescent="0.25">
      <c r="A449" s="28" t="s">
        <v>142</v>
      </c>
      <c r="B449" s="28">
        <v>1</v>
      </c>
      <c r="C449" s="28" t="s">
        <v>83</v>
      </c>
      <c r="D449" s="28">
        <v>1</v>
      </c>
      <c r="G449" s="15" t="s">
        <v>337</v>
      </c>
      <c r="H449" s="15">
        <v>21</v>
      </c>
      <c r="I449" s="15" t="s">
        <v>84</v>
      </c>
      <c r="J449" s="15">
        <v>1</v>
      </c>
    </row>
    <row r="450" spans="1:10" x14ac:dyDescent="0.25">
      <c r="A450" s="28" t="s">
        <v>142</v>
      </c>
      <c r="B450" s="28">
        <v>2</v>
      </c>
      <c r="C450" s="28" t="s">
        <v>5</v>
      </c>
      <c r="D450" s="28">
        <v>1</v>
      </c>
      <c r="G450" s="15" t="s">
        <v>337</v>
      </c>
      <c r="H450" s="15">
        <v>22</v>
      </c>
      <c r="I450" s="15" t="s">
        <v>84</v>
      </c>
      <c r="J450" s="15">
        <v>1</v>
      </c>
    </row>
    <row r="451" spans="1:10" x14ac:dyDescent="0.25">
      <c r="A451" s="28" t="s">
        <v>142</v>
      </c>
      <c r="B451" s="28">
        <v>3</v>
      </c>
      <c r="C451" s="28" t="s">
        <v>5</v>
      </c>
      <c r="D451" s="28">
        <v>1</v>
      </c>
      <c r="G451" s="15" t="s">
        <v>337</v>
      </c>
      <c r="H451" s="15">
        <v>23</v>
      </c>
      <c r="I451" s="15" t="s">
        <v>63</v>
      </c>
      <c r="J451" s="15">
        <v>1</v>
      </c>
    </row>
    <row r="452" spans="1:10" x14ac:dyDescent="0.25">
      <c r="A452" s="28" t="s">
        <v>142</v>
      </c>
      <c r="B452" s="28">
        <v>4</v>
      </c>
      <c r="C452" s="28" t="s">
        <v>53</v>
      </c>
      <c r="D452" s="28">
        <v>1</v>
      </c>
      <c r="G452" s="15" t="s">
        <v>337</v>
      </c>
      <c r="H452" s="15">
        <v>24</v>
      </c>
      <c r="I452" s="15" t="s">
        <v>63</v>
      </c>
      <c r="J452" s="15">
        <v>1</v>
      </c>
    </row>
    <row r="453" spans="1:10" x14ac:dyDescent="0.25">
      <c r="A453" s="28" t="s">
        <v>142</v>
      </c>
      <c r="B453" s="28">
        <v>5</v>
      </c>
      <c r="C453" s="28" t="s">
        <v>65</v>
      </c>
      <c r="D453" s="28">
        <v>1</v>
      </c>
      <c r="G453" s="15" t="s">
        <v>337</v>
      </c>
      <c r="H453" s="15">
        <v>25</v>
      </c>
      <c r="I453" s="15" t="s">
        <v>63</v>
      </c>
      <c r="J453" s="15">
        <v>1</v>
      </c>
    </row>
    <row r="454" spans="1:10" x14ac:dyDescent="0.25">
      <c r="A454" s="28" t="s">
        <v>142</v>
      </c>
      <c r="B454" s="28">
        <v>6</v>
      </c>
      <c r="C454" s="28" t="s">
        <v>80</v>
      </c>
      <c r="D454" s="28">
        <v>1</v>
      </c>
      <c r="G454" s="15" t="s">
        <v>337</v>
      </c>
      <c r="H454" s="15">
        <v>26</v>
      </c>
      <c r="I454" s="15" t="s">
        <v>63</v>
      </c>
      <c r="J454" s="15">
        <v>1</v>
      </c>
    </row>
    <row r="455" spans="1:10" x14ac:dyDescent="0.25">
      <c r="A455" s="28" t="s">
        <v>336</v>
      </c>
      <c r="B455" s="28">
        <v>-6</v>
      </c>
      <c r="C455" s="28" t="s">
        <v>83</v>
      </c>
      <c r="D455" s="28">
        <v>1</v>
      </c>
      <c r="G455" s="15" t="s">
        <v>337</v>
      </c>
      <c r="H455" s="15">
        <v>27</v>
      </c>
      <c r="I455" s="15" t="s">
        <v>63</v>
      </c>
      <c r="J455" s="15">
        <v>1</v>
      </c>
    </row>
    <row r="456" spans="1:10" x14ac:dyDescent="0.25">
      <c r="A456" s="28" t="s">
        <v>336</v>
      </c>
      <c r="B456" s="28">
        <v>-5</v>
      </c>
      <c r="C456" s="28" t="s">
        <v>6</v>
      </c>
      <c r="D456" s="28">
        <v>1</v>
      </c>
      <c r="G456" s="15" t="s">
        <v>337</v>
      </c>
      <c r="H456" s="15">
        <v>28</v>
      </c>
      <c r="I456" s="15" t="s">
        <v>84</v>
      </c>
      <c r="J456" s="15">
        <v>1</v>
      </c>
    </row>
    <row r="457" spans="1:10" x14ac:dyDescent="0.25">
      <c r="A457" s="28" t="s">
        <v>336</v>
      </c>
      <c r="B457" s="28">
        <v>-4</v>
      </c>
      <c r="C457" s="28" t="s">
        <v>31</v>
      </c>
      <c r="D457" s="28">
        <v>1</v>
      </c>
      <c r="G457" s="15" t="s">
        <v>337</v>
      </c>
      <c r="H457" s="15">
        <v>29</v>
      </c>
      <c r="I457" s="15" t="s">
        <v>84</v>
      </c>
      <c r="J457" s="15">
        <v>1</v>
      </c>
    </row>
    <row r="458" spans="1:10" x14ac:dyDescent="0.25">
      <c r="A458" s="28" t="s">
        <v>336</v>
      </c>
      <c r="B458" s="28">
        <v>-3</v>
      </c>
      <c r="C458" s="28" t="s">
        <v>31</v>
      </c>
      <c r="D458" s="28">
        <v>1</v>
      </c>
      <c r="G458" s="15" t="s">
        <v>337</v>
      </c>
      <c r="H458" s="15">
        <v>30</v>
      </c>
      <c r="I458" s="15" t="s">
        <v>31</v>
      </c>
      <c r="J458" s="15">
        <v>1</v>
      </c>
    </row>
    <row r="459" spans="1:10" x14ac:dyDescent="0.25">
      <c r="A459" s="28" t="s">
        <v>336</v>
      </c>
      <c r="B459" s="28">
        <v>-2</v>
      </c>
      <c r="C459" s="28" t="s">
        <v>31</v>
      </c>
      <c r="D459" s="28">
        <v>1</v>
      </c>
      <c r="G459" s="15" t="s">
        <v>137</v>
      </c>
      <c r="H459" s="15">
        <v>7</v>
      </c>
      <c r="I459" s="15" t="s">
        <v>84</v>
      </c>
      <c r="J459" s="15">
        <v>1</v>
      </c>
    </row>
    <row r="460" spans="1:10" x14ac:dyDescent="0.25">
      <c r="A460" s="28" t="s">
        <v>336</v>
      </c>
      <c r="B460" s="28">
        <v>-1</v>
      </c>
      <c r="C460" s="28" t="s">
        <v>31</v>
      </c>
      <c r="D460" s="28">
        <v>1</v>
      </c>
      <c r="G460" s="15" t="s">
        <v>137</v>
      </c>
      <c r="H460" s="15">
        <v>8</v>
      </c>
      <c r="I460" s="15" t="s">
        <v>84</v>
      </c>
      <c r="J460" s="15">
        <v>1</v>
      </c>
    </row>
    <row r="461" spans="1:10" x14ac:dyDescent="0.25">
      <c r="A461" s="28" t="s">
        <v>336</v>
      </c>
      <c r="B461" s="28">
        <v>0</v>
      </c>
      <c r="C461" s="28" t="s">
        <v>19</v>
      </c>
      <c r="D461" s="28">
        <v>1</v>
      </c>
      <c r="G461" s="15" t="s">
        <v>137</v>
      </c>
      <c r="H461" s="15">
        <v>9</v>
      </c>
      <c r="I461" s="15" t="s">
        <v>63</v>
      </c>
      <c r="J461" s="15">
        <v>1</v>
      </c>
    </row>
    <row r="462" spans="1:10" x14ac:dyDescent="0.25">
      <c r="A462" s="28" t="s">
        <v>336</v>
      </c>
      <c r="B462" s="28">
        <v>1</v>
      </c>
      <c r="C462" s="28" t="s">
        <v>83</v>
      </c>
      <c r="D462" s="28">
        <v>1</v>
      </c>
      <c r="G462" s="15" t="s">
        <v>137</v>
      </c>
      <c r="H462" s="15">
        <v>10</v>
      </c>
      <c r="I462" s="15" t="s">
        <v>63</v>
      </c>
      <c r="J462" s="15">
        <v>1</v>
      </c>
    </row>
    <row r="463" spans="1:10" x14ac:dyDescent="0.25">
      <c r="A463" s="28" t="s">
        <v>336</v>
      </c>
      <c r="B463" s="28">
        <v>2</v>
      </c>
      <c r="C463" s="28" t="s">
        <v>31</v>
      </c>
      <c r="D463" s="28">
        <v>1</v>
      </c>
      <c r="G463" s="15" t="s">
        <v>137</v>
      </c>
      <c r="H463" s="15">
        <v>11</v>
      </c>
      <c r="I463" s="15" t="s">
        <v>63</v>
      </c>
      <c r="J463" s="15">
        <v>1</v>
      </c>
    </row>
    <row r="464" spans="1:10" x14ac:dyDescent="0.25">
      <c r="A464" s="28" t="s">
        <v>336</v>
      </c>
      <c r="B464" s="28">
        <v>3</v>
      </c>
      <c r="C464" s="28" t="s">
        <v>31</v>
      </c>
      <c r="D464" s="28">
        <v>1</v>
      </c>
      <c r="G464" s="15" t="s">
        <v>137</v>
      </c>
      <c r="H464" s="15">
        <v>12</v>
      </c>
      <c r="I464" s="15" t="s">
        <v>63</v>
      </c>
      <c r="J464" s="15">
        <v>1</v>
      </c>
    </row>
    <row r="465" spans="1:10" x14ac:dyDescent="0.25">
      <c r="A465" s="28" t="s">
        <v>336</v>
      </c>
      <c r="B465" s="28">
        <v>4</v>
      </c>
      <c r="C465" s="28" t="s">
        <v>31</v>
      </c>
      <c r="D465" s="28">
        <v>1</v>
      </c>
      <c r="G465" s="15" t="s">
        <v>137</v>
      </c>
      <c r="H465" s="15">
        <v>13</v>
      </c>
      <c r="I465" s="15" t="s">
        <v>63</v>
      </c>
      <c r="J465" s="15">
        <v>1</v>
      </c>
    </row>
    <row r="466" spans="1:10" x14ac:dyDescent="0.25">
      <c r="A466" s="28" t="s">
        <v>336</v>
      </c>
      <c r="B466" s="28">
        <v>5</v>
      </c>
      <c r="C466" s="28" t="s">
        <v>31</v>
      </c>
      <c r="D466" s="28">
        <v>1</v>
      </c>
      <c r="G466" s="15" t="s">
        <v>137</v>
      </c>
      <c r="H466" s="15">
        <v>14</v>
      </c>
      <c r="I466" s="15" t="s">
        <v>84</v>
      </c>
      <c r="J466" s="15">
        <v>1</v>
      </c>
    </row>
    <row r="467" spans="1:10" x14ac:dyDescent="0.25">
      <c r="A467" s="28" t="s">
        <v>336</v>
      </c>
      <c r="B467" s="28">
        <v>6</v>
      </c>
      <c r="C467" s="28" t="s">
        <v>31</v>
      </c>
      <c r="D467" s="28">
        <v>1</v>
      </c>
      <c r="G467" s="15" t="s">
        <v>137</v>
      </c>
      <c r="H467" s="15">
        <v>15</v>
      </c>
      <c r="I467" s="15" t="s">
        <v>84</v>
      </c>
      <c r="J467" s="15">
        <v>1</v>
      </c>
    </row>
    <row r="468" spans="1:10" x14ac:dyDescent="0.25">
      <c r="A468" s="28" t="s">
        <v>336</v>
      </c>
      <c r="B468" s="28">
        <v>14</v>
      </c>
      <c r="C468" s="28" t="s">
        <v>19</v>
      </c>
      <c r="D468" s="28">
        <v>1</v>
      </c>
      <c r="G468" s="15" t="s">
        <v>137</v>
      </c>
      <c r="H468" s="15">
        <v>16</v>
      </c>
      <c r="I468" s="15" t="s">
        <v>63</v>
      </c>
      <c r="J468" s="15">
        <v>1</v>
      </c>
    </row>
    <row r="469" spans="1:10" x14ac:dyDescent="0.25">
      <c r="A469" s="28" t="s">
        <v>143</v>
      </c>
      <c r="B469" s="28">
        <v>-6</v>
      </c>
      <c r="C469" s="28" t="s">
        <v>83</v>
      </c>
      <c r="D469" s="28">
        <v>1</v>
      </c>
      <c r="G469" s="15" t="s">
        <v>137</v>
      </c>
      <c r="H469" s="15">
        <v>17</v>
      </c>
      <c r="I469" s="15" t="s">
        <v>63</v>
      </c>
      <c r="J469" s="15">
        <v>1</v>
      </c>
    </row>
    <row r="470" spans="1:10" x14ac:dyDescent="0.25">
      <c r="A470" s="28" t="s">
        <v>143</v>
      </c>
      <c r="B470" s="28">
        <v>-5</v>
      </c>
      <c r="C470" s="28" t="s">
        <v>31</v>
      </c>
      <c r="D470" s="28">
        <v>1</v>
      </c>
      <c r="G470" s="15" t="s">
        <v>137</v>
      </c>
      <c r="H470" s="15">
        <v>18</v>
      </c>
      <c r="I470" s="15" t="s">
        <v>63</v>
      </c>
      <c r="J470" s="15">
        <v>1</v>
      </c>
    </row>
    <row r="471" spans="1:10" x14ac:dyDescent="0.25">
      <c r="A471" s="28" t="s">
        <v>143</v>
      </c>
      <c r="B471" s="28">
        <v>-4</v>
      </c>
      <c r="C471" s="28" t="s">
        <v>53</v>
      </c>
      <c r="D471" s="28">
        <v>1</v>
      </c>
      <c r="G471" s="15" t="s">
        <v>137</v>
      </c>
      <c r="H471" s="15">
        <v>19</v>
      </c>
      <c r="I471" s="15" t="s">
        <v>63</v>
      </c>
      <c r="J471" s="15">
        <v>1</v>
      </c>
    </row>
    <row r="472" spans="1:10" x14ac:dyDescent="0.25">
      <c r="A472" s="28" t="s">
        <v>143</v>
      </c>
      <c r="B472" s="28">
        <v>-3</v>
      </c>
      <c r="C472" s="28" t="s">
        <v>65</v>
      </c>
      <c r="D472" s="28">
        <v>1</v>
      </c>
      <c r="G472" s="15" t="s">
        <v>137</v>
      </c>
      <c r="H472" s="15">
        <v>20</v>
      </c>
      <c r="I472" s="15" t="s">
        <v>63</v>
      </c>
      <c r="J472" s="15">
        <v>1</v>
      </c>
    </row>
    <row r="473" spans="1:10" x14ac:dyDescent="0.25">
      <c r="A473" s="28" t="s">
        <v>143</v>
      </c>
      <c r="B473" s="28">
        <v>-2</v>
      </c>
      <c r="C473" s="28" t="s">
        <v>31</v>
      </c>
      <c r="D473" s="28">
        <v>1</v>
      </c>
      <c r="G473" s="15" t="s">
        <v>137</v>
      </c>
      <c r="H473" s="15">
        <v>21</v>
      </c>
      <c r="I473" s="15" t="s">
        <v>84</v>
      </c>
      <c r="J473" s="15">
        <v>1</v>
      </c>
    </row>
    <row r="474" spans="1:10" x14ac:dyDescent="0.25">
      <c r="A474" s="28" t="s">
        <v>143</v>
      </c>
      <c r="B474" s="28">
        <v>-1</v>
      </c>
      <c r="C474" s="28" t="s">
        <v>31</v>
      </c>
      <c r="D474" s="28">
        <v>1</v>
      </c>
      <c r="G474" s="15" t="s">
        <v>137</v>
      </c>
      <c r="H474" s="15">
        <v>22</v>
      </c>
      <c r="I474" s="15" t="s">
        <v>84</v>
      </c>
      <c r="J474" s="15">
        <v>1</v>
      </c>
    </row>
    <row r="475" spans="1:10" x14ac:dyDescent="0.25">
      <c r="A475" s="28" t="s">
        <v>143</v>
      </c>
      <c r="B475" s="28">
        <v>0</v>
      </c>
      <c r="C475" s="28" t="s">
        <v>83</v>
      </c>
      <c r="D475" s="28">
        <v>1</v>
      </c>
      <c r="G475" s="15" t="s">
        <v>137</v>
      </c>
      <c r="H475" s="15">
        <v>23</v>
      </c>
      <c r="I475" s="15" t="s">
        <v>31</v>
      </c>
      <c r="J475" s="15">
        <v>1</v>
      </c>
    </row>
    <row r="476" spans="1:10" x14ac:dyDescent="0.25">
      <c r="A476" s="28" t="s">
        <v>143</v>
      </c>
      <c r="B476" s="28">
        <v>1</v>
      </c>
      <c r="C476" s="28" t="s">
        <v>83</v>
      </c>
      <c r="D476" s="28">
        <v>1</v>
      </c>
      <c r="G476" s="15" t="s">
        <v>137</v>
      </c>
      <c r="H476" s="15">
        <v>24</v>
      </c>
      <c r="I476" s="15" t="s">
        <v>69</v>
      </c>
      <c r="J476" s="15">
        <v>1</v>
      </c>
    </row>
    <row r="477" spans="1:10" x14ac:dyDescent="0.25">
      <c r="A477" s="28" t="s">
        <v>143</v>
      </c>
      <c r="B477" s="28">
        <v>2</v>
      </c>
      <c r="C477" s="28" t="s">
        <v>31</v>
      </c>
      <c r="D477" s="28">
        <v>1</v>
      </c>
      <c r="G477" s="15" t="s">
        <v>137</v>
      </c>
      <c r="H477" s="15">
        <v>25</v>
      </c>
      <c r="I477" s="15" t="s">
        <v>69</v>
      </c>
      <c r="J477" s="15">
        <v>1</v>
      </c>
    </row>
    <row r="478" spans="1:10" x14ac:dyDescent="0.25">
      <c r="A478" s="28" t="s">
        <v>143</v>
      </c>
      <c r="B478" s="28">
        <v>3</v>
      </c>
      <c r="C478" s="28" t="s">
        <v>364</v>
      </c>
      <c r="D478" s="28">
        <v>1</v>
      </c>
      <c r="G478" s="15" t="s">
        <v>137</v>
      </c>
      <c r="H478" s="15">
        <v>26</v>
      </c>
      <c r="I478" s="15" t="s">
        <v>31</v>
      </c>
      <c r="J478" s="15">
        <v>1</v>
      </c>
    </row>
    <row r="479" spans="1:10" x14ac:dyDescent="0.25">
      <c r="A479" s="28" t="s">
        <v>143</v>
      </c>
      <c r="B479" s="28">
        <v>4</v>
      </c>
      <c r="C479" s="28" t="s">
        <v>65</v>
      </c>
      <c r="D479" s="28">
        <v>1</v>
      </c>
      <c r="G479" s="15" t="s">
        <v>137</v>
      </c>
      <c r="H479" s="15">
        <v>27</v>
      </c>
      <c r="I479" s="15" t="s">
        <v>31</v>
      </c>
      <c r="J479" s="15">
        <v>1</v>
      </c>
    </row>
    <row r="480" spans="1:10" x14ac:dyDescent="0.25">
      <c r="A480" s="28" t="s">
        <v>143</v>
      </c>
      <c r="B480" s="28">
        <v>5</v>
      </c>
      <c r="C480" s="28" t="s">
        <v>6</v>
      </c>
      <c r="D480" s="28">
        <v>1</v>
      </c>
      <c r="G480" s="15" t="s">
        <v>137</v>
      </c>
      <c r="H480" s="15">
        <v>28</v>
      </c>
      <c r="I480" s="15" t="s">
        <v>19</v>
      </c>
      <c r="J480" s="15">
        <v>1</v>
      </c>
    </row>
    <row r="481" spans="1:10" x14ac:dyDescent="0.25">
      <c r="A481" s="28" t="s">
        <v>143</v>
      </c>
      <c r="B481" s="28">
        <v>6</v>
      </c>
      <c r="C481" s="28" t="s">
        <v>6</v>
      </c>
      <c r="D481" s="28">
        <v>1</v>
      </c>
      <c r="G481" s="15" t="s">
        <v>137</v>
      </c>
      <c r="H481" s="15">
        <v>29</v>
      </c>
      <c r="I481" s="15" t="s">
        <v>83</v>
      </c>
      <c r="J481" s="15">
        <v>1</v>
      </c>
    </row>
    <row r="482" spans="1:10" x14ac:dyDescent="0.25">
      <c r="A482" s="28" t="s">
        <v>143</v>
      </c>
      <c r="B482" s="28">
        <v>28</v>
      </c>
      <c r="C482" s="28" t="s">
        <v>84</v>
      </c>
      <c r="D482" s="28">
        <v>1</v>
      </c>
      <c r="G482" s="15" t="s">
        <v>137</v>
      </c>
      <c r="H482" s="15">
        <v>30</v>
      </c>
      <c r="I482" s="15" t="s">
        <v>32</v>
      </c>
      <c r="J482" s="15">
        <v>1</v>
      </c>
    </row>
    <row r="483" spans="1:10" x14ac:dyDescent="0.25">
      <c r="A483" s="28" t="s">
        <v>143</v>
      </c>
      <c r="B483" s="28">
        <v>29</v>
      </c>
      <c r="C483" s="28" t="s">
        <v>84</v>
      </c>
      <c r="D483" s="28">
        <v>1</v>
      </c>
      <c r="G483" s="15" t="s">
        <v>146</v>
      </c>
      <c r="H483" s="15">
        <v>7</v>
      </c>
      <c r="I483" s="15" t="s">
        <v>83</v>
      </c>
      <c r="J483" s="15">
        <v>1</v>
      </c>
    </row>
    <row r="484" spans="1:10" x14ac:dyDescent="0.25">
      <c r="A484" s="28" t="s">
        <v>143</v>
      </c>
      <c r="B484" s="28">
        <v>30</v>
      </c>
      <c r="C484" s="28" t="s">
        <v>63</v>
      </c>
      <c r="D484" s="28">
        <v>1</v>
      </c>
      <c r="G484" s="15" t="s">
        <v>146</v>
      </c>
      <c r="H484" s="15">
        <v>8</v>
      </c>
      <c r="I484" s="15" t="s">
        <v>83</v>
      </c>
      <c r="J484" s="15">
        <v>1</v>
      </c>
    </row>
    <row r="485" spans="1:10" x14ac:dyDescent="0.25">
      <c r="A485" s="28" t="s">
        <v>143</v>
      </c>
      <c r="B485" s="28">
        <v>31</v>
      </c>
      <c r="C485" s="28" t="s">
        <v>63</v>
      </c>
      <c r="D485" s="28">
        <v>1</v>
      </c>
      <c r="G485" s="15" t="s">
        <v>146</v>
      </c>
      <c r="H485" s="15">
        <v>9</v>
      </c>
      <c r="I485" s="15" t="s">
        <v>5</v>
      </c>
      <c r="J485" s="15">
        <v>1</v>
      </c>
    </row>
    <row r="486" spans="1:10" x14ac:dyDescent="0.25">
      <c r="A486" s="28" t="s">
        <v>143</v>
      </c>
      <c r="B486" s="28">
        <v>32</v>
      </c>
      <c r="C486" s="28" t="s">
        <v>63</v>
      </c>
      <c r="D486" s="28">
        <v>1</v>
      </c>
      <c r="G486" s="15" t="s">
        <v>146</v>
      </c>
      <c r="H486" s="15">
        <v>10</v>
      </c>
      <c r="I486" s="15" t="s">
        <v>31</v>
      </c>
      <c r="J486" s="15">
        <v>1</v>
      </c>
    </row>
    <row r="487" spans="1:10" x14ac:dyDescent="0.25">
      <c r="A487" s="28" t="s">
        <v>143</v>
      </c>
      <c r="B487" s="28">
        <v>33</v>
      </c>
      <c r="C487" s="28" t="s">
        <v>63</v>
      </c>
      <c r="D487" s="28">
        <v>1</v>
      </c>
      <c r="G487" s="15" t="s">
        <v>146</v>
      </c>
      <c r="H487" s="15">
        <v>11</v>
      </c>
      <c r="I487" s="15" t="s">
        <v>5</v>
      </c>
      <c r="J487" s="15">
        <v>1</v>
      </c>
    </row>
    <row r="488" spans="1:10" x14ac:dyDescent="0.25">
      <c r="A488" s="28" t="s">
        <v>143</v>
      </c>
      <c r="B488" s="28">
        <v>34</v>
      </c>
      <c r="C488" s="28" t="s">
        <v>63</v>
      </c>
      <c r="D488" s="28">
        <v>1</v>
      </c>
      <c r="G488" s="15" t="s">
        <v>146</v>
      </c>
      <c r="H488" s="15">
        <v>12</v>
      </c>
      <c r="I488" s="15" t="s">
        <v>5</v>
      </c>
      <c r="J488" s="15">
        <v>1</v>
      </c>
    </row>
    <row r="489" spans="1:10" x14ac:dyDescent="0.25">
      <c r="A489" s="28" t="s">
        <v>144</v>
      </c>
      <c r="B489" s="28">
        <v>-6</v>
      </c>
      <c r="C489" s="28" t="s">
        <v>372</v>
      </c>
      <c r="D489" s="28">
        <v>1</v>
      </c>
      <c r="G489" s="15" t="s">
        <v>146</v>
      </c>
      <c r="H489" s="15">
        <v>13</v>
      </c>
      <c r="I489" s="15" t="s">
        <v>31</v>
      </c>
      <c r="J489" s="15">
        <v>1</v>
      </c>
    </row>
    <row r="490" spans="1:10" x14ac:dyDescent="0.25">
      <c r="A490" s="28" t="s">
        <v>144</v>
      </c>
      <c r="B490" s="28">
        <v>-5</v>
      </c>
      <c r="C490" s="28" t="s">
        <v>65</v>
      </c>
      <c r="D490" s="28">
        <v>1</v>
      </c>
      <c r="G490" s="15" t="s">
        <v>146</v>
      </c>
      <c r="H490" s="15">
        <v>14</v>
      </c>
      <c r="I490" s="15" t="s">
        <v>53</v>
      </c>
      <c r="J490" s="15">
        <v>1</v>
      </c>
    </row>
    <row r="491" spans="1:10" x14ac:dyDescent="0.25">
      <c r="A491" s="28" t="s">
        <v>144</v>
      </c>
      <c r="B491" s="28">
        <v>-4</v>
      </c>
      <c r="C491" s="28" t="s">
        <v>31</v>
      </c>
      <c r="D491" s="28">
        <v>1</v>
      </c>
      <c r="G491" s="15" t="s">
        <v>146</v>
      </c>
      <c r="H491" s="15">
        <v>15</v>
      </c>
      <c r="I491" s="15" t="s">
        <v>83</v>
      </c>
      <c r="J491" s="15">
        <v>1</v>
      </c>
    </row>
    <row r="492" spans="1:10" x14ac:dyDescent="0.25">
      <c r="A492" s="28" t="s">
        <v>144</v>
      </c>
      <c r="B492" s="28">
        <v>-3</v>
      </c>
      <c r="C492" s="28" t="s">
        <v>31</v>
      </c>
      <c r="D492" s="28">
        <v>1</v>
      </c>
      <c r="G492" s="15" t="s">
        <v>146</v>
      </c>
      <c r="H492" s="15">
        <v>16</v>
      </c>
      <c r="I492" s="15" t="s">
        <v>83</v>
      </c>
      <c r="J492" s="15">
        <v>1</v>
      </c>
    </row>
    <row r="493" spans="1:10" x14ac:dyDescent="0.25">
      <c r="A493" s="28" t="s">
        <v>144</v>
      </c>
      <c r="B493" s="28">
        <v>-2</v>
      </c>
      <c r="C493" s="28" t="s">
        <v>31</v>
      </c>
      <c r="D493" s="28">
        <v>1</v>
      </c>
      <c r="G493" s="15" t="s">
        <v>146</v>
      </c>
      <c r="H493" s="15">
        <v>17</v>
      </c>
      <c r="I493" s="15" t="s">
        <v>31</v>
      </c>
      <c r="J493" s="15">
        <v>1</v>
      </c>
    </row>
    <row r="494" spans="1:10" x14ac:dyDescent="0.25">
      <c r="A494" s="28" t="s">
        <v>144</v>
      </c>
      <c r="B494" s="28">
        <v>-1</v>
      </c>
      <c r="C494" s="28" t="s">
        <v>80</v>
      </c>
      <c r="D494" s="28">
        <v>1</v>
      </c>
      <c r="G494" s="15" t="s">
        <v>146</v>
      </c>
      <c r="H494" s="15">
        <v>18</v>
      </c>
      <c r="I494" s="15" t="s">
        <v>83</v>
      </c>
      <c r="J494" s="15">
        <v>1</v>
      </c>
    </row>
    <row r="495" spans="1:10" x14ac:dyDescent="0.25">
      <c r="A495" s="28" t="s">
        <v>144</v>
      </c>
      <c r="B495" s="28">
        <v>0</v>
      </c>
      <c r="C495" s="28" t="s">
        <v>83</v>
      </c>
      <c r="D495" s="28">
        <v>1</v>
      </c>
      <c r="G495" s="15" t="s">
        <v>146</v>
      </c>
      <c r="H495" s="15">
        <v>19</v>
      </c>
      <c r="I495" s="15" t="s">
        <v>5</v>
      </c>
      <c r="J495" s="15">
        <v>1</v>
      </c>
    </row>
    <row r="496" spans="1:10" x14ac:dyDescent="0.25">
      <c r="A496" s="28" t="s">
        <v>144</v>
      </c>
      <c r="B496" s="28">
        <v>1</v>
      </c>
      <c r="C496" s="28" t="s">
        <v>83</v>
      </c>
      <c r="D496" s="28">
        <v>1</v>
      </c>
      <c r="G496" s="15" t="s">
        <v>146</v>
      </c>
      <c r="H496" s="15">
        <v>20</v>
      </c>
      <c r="I496" s="15" t="s">
        <v>5</v>
      </c>
      <c r="J496" s="15">
        <v>1</v>
      </c>
    </row>
    <row r="497" spans="1:10" x14ac:dyDescent="0.25">
      <c r="A497" s="28" t="s">
        <v>144</v>
      </c>
      <c r="B497" s="28">
        <v>2</v>
      </c>
      <c r="C497" s="28" t="s">
        <v>6</v>
      </c>
      <c r="D497" s="28">
        <v>1</v>
      </c>
      <c r="G497" s="15" t="s">
        <v>146</v>
      </c>
      <c r="H497" s="15">
        <v>21</v>
      </c>
      <c r="I497" s="15" t="s">
        <v>83</v>
      </c>
      <c r="J497" s="15">
        <v>1</v>
      </c>
    </row>
    <row r="498" spans="1:10" x14ac:dyDescent="0.25">
      <c r="A498" s="28" t="s">
        <v>144</v>
      </c>
      <c r="B498" s="28">
        <v>3</v>
      </c>
      <c r="C498" s="28" t="s">
        <v>6</v>
      </c>
      <c r="D498" s="28">
        <v>1</v>
      </c>
      <c r="G498" s="15" t="s">
        <v>146</v>
      </c>
      <c r="H498" s="15">
        <v>22</v>
      </c>
      <c r="I498" s="15" t="s">
        <v>83</v>
      </c>
      <c r="J498" s="15">
        <v>1</v>
      </c>
    </row>
    <row r="499" spans="1:10" x14ac:dyDescent="0.25">
      <c r="A499" s="28" t="s">
        <v>144</v>
      </c>
      <c r="B499" s="28">
        <v>4</v>
      </c>
      <c r="C499" s="28" t="s">
        <v>43</v>
      </c>
      <c r="D499" s="28">
        <v>1</v>
      </c>
      <c r="G499" s="15" t="s">
        <v>146</v>
      </c>
      <c r="H499" s="15">
        <v>23</v>
      </c>
      <c r="I499" s="15" t="s">
        <v>31</v>
      </c>
      <c r="J499" s="15">
        <v>1</v>
      </c>
    </row>
    <row r="500" spans="1:10" x14ac:dyDescent="0.25">
      <c r="A500" s="28" t="s">
        <v>144</v>
      </c>
      <c r="B500" s="28">
        <v>5</v>
      </c>
      <c r="C500" s="28" t="s">
        <v>31</v>
      </c>
      <c r="D500" s="28">
        <v>1</v>
      </c>
      <c r="G500" s="15" t="s">
        <v>146</v>
      </c>
      <c r="H500" s="15">
        <v>24</v>
      </c>
      <c r="I500" s="15" t="s">
        <v>31</v>
      </c>
      <c r="J500" s="15">
        <v>1</v>
      </c>
    </row>
    <row r="501" spans="1:10" x14ac:dyDescent="0.25">
      <c r="A501" s="28" t="s">
        <v>144</v>
      </c>
      <c r="B501" s="28">
        <v>6</v>
      </c>
      <c r="C501" s="28" t="s">
        <v>31</v>
      </c>
      <c r="D501" s="28">
        <v>1</v>
      </c>
      <c r="G501" s="15" t="s">
        <v>146</v>
      </c>
      <c r="H501" s="15">
        <v>25</v>
      </c>
      <c r="I501" s="15" t="s">
        <v>32</v>
      </c>
      <c r="J501" s="15">
        <v>1</v>
      </c>
    </row>
    <row r="502" spans="1:10" x14ac:dyDescent="0.25">
      <c r="A502" s="28" t="s">
        <v>144</v>
      </c>
      <c r="B502" s="28">
        <v>21</v>
      </c>
      <c r="C502" s="28" t="s">
        <v>84</v>
      </c>
      <c r="D502" s="28">
        <v>1</v>
      </c>
      <c r="G502" s="15" t="s">
        <v>146</v>
      </c>
      <c r="H502" s="15">
        <v>26</v>
      </c>
      <c r="I502" s="15" t="s">
        <v>31</v>
      </c>
      <c r="J502" s="15">
        <v>1</v>
      </c>
    </row>
    <row r="503" spans="1:10" x14ac:dyDescent="0.25">
      <c r="A503" s="28" t="s">
        <v>144</v>
      </c>
      <c r="B503" s="28">
        <v>22</v>
      </c>
      <c r="C503" s="28" t="s">
        <v>84</v>
      </c>
      <c r="D503" s="28">
        <v>1</v>
      </c>
      <c r="G503" s="15" t="s">
        <v>146</v>
      </c>
      <c r="H503" s="15">
        <v>27</v>
      </c>
      <c r="I503" s="15" t="s">
        <v>53</v>
      </c>
      <c r="J503" s="15">
        <v>1</v>
      </c>
    </row>
    <row r="504" spans="1:10" x14ac:dyDescent="0.25">
      <c r="A504" s="28" t="s">
        <v>144</v>
      </c>
      <c r="B504" s="28">
        <v>23</v>
      </c>
      <c r="C504" s="28" t="s">
        <v>63</v>
      </c>
      <c r="D504" s="28">
        <v>1</v>
      </c>
      <c r="G504" s="15" t="s">
        <v>146</v>
      </c>
      <c r="H504" s="15">
        <v>28</v>
      </c>
      <c r="I504" s="15" t="s">
        <v>83</v>
      </c>
      <c r="J504" s="15">
        <v>1</v>
      </c>
    </row>
    <row r="505" spans="1:10" x14ac:dyDescent="0.25">
      <c r="A505" s="28" t="s">
        <v>144</v>
      </c>
      <c r="B505" s="28">
        <v>24</v>
      </c>
      <c r="C505" s="28" t="s">
        <v>63</v>
      </c>
      <c r="D505" s="28">
        <v>1</v>
      </c>
      <c r="G505" s="15" t="s">
        <v>146</v>
      </c>
      <c r="H505" s="15">
        <v>29</v>
      </c>
      <c r="I505" s="15" t="s">
        <v>83</v>
      </c>
      <c r="J505" s="15">
        <v>1</v>
      </c>
    </row>
    <row r="506" spans="1:10" x14ac:dyDescent="0.25">
      <c r="A506" s="28" t="s">
        <v>144</v>
      </c>
      <c r="B506" s="28">
        <v>25</v>
      </c>
      <c r="C506" s="28" t="s">
        <v>63</v>
      </c>
      <c r="D506" s="28">
        <v>1</v>
      </c>
      <c r="G506" s="15" t="s">
        <v>146</v>
      </c>
      <c r="H506" s="15">
        <v>30</v>
      </c>
      <c r="I506" s="15" t="s">
        <v>5</v>
      </c>
      <c r="J506" s="15">
        <v>1</v>
      </c>
    </row>
    <row r="507" spans="1:10" x14ac:dyDescent="0.25">
      <c r="A507" s="28" t="s">
        <v>144</v>
      </c>
      <c r="B507" s="28">
        <v>26</v>
      </c>
      <c r="C507" s="28" t="s">
        <v>63</v>
      </c>
      <c r="D507" s="28">
        <v>1</v>
      </c>
      <c r="G507" s="15" t="s">
        <v>138</v>
      </c>
      <c r="H507" s="15">
        <v>7</v>
      </c>
      <c r="I507" s="15" t="s">
        <v>84</v>
      </c>
      <c r="J507" s="15">
        <v>1</v>
      </c>
    </row>
    <row r="508" spans="1:10" x14ac:dyDescent="0.25">
      <c r="A508" s="28" t="s">
        <v>144</v>
      </c>
      <c r="B508" s="28">
        <v>27</v>
      </c>
      <c r="C508" s="28" t="s">
        <v>63</v>
      </c>
      <c r="D508" s="28">
        <v>1</v>
      </c>
      <c r="G508" s="15" t="s">
        <v>138</v>
      </c>
      <c r="H508" s="15">
        <v>8</v>
      </c>
      <c r="I508" s="15" t="s">
        <v>84</v>
      </c>
      <c r="J508" s="15">
        <v>1</v>
      </c>
    </row>
    <row r="509" spans="1:10" x14ac:dyDescent="0.25">
      <c r="A509" s="28" t="s">
        <v>144</v>
      </c>
      <c r="B509" s="28">
        <v>28</v>
      </c>
      <c r="C509" s="28" t="s">
        <v>84</v>
      </c>
      <c r="D509" s="28">
        <v>1</v>
      </c>
      <c r="G509" s="15" t="s">
        <v>138</v>
      </c>
      <c r="H509" s="15">
        <v>9</v>
      </c>
      <c r="I509" s="15" t="s">
        <v>63</v>
      </c>
      <c r="J509" s="15">
        <v>1</v>
      </c>
    </row>
    <row r="510" spans="1:10" x14ac:dyDescent="0.25">
      <c r="A510" s="28" t="s">
        <v>144</v>
      </c>
      <c r="B510" s="28">
        <v>29</v>
      </c>
      <c r="C510" s="28" t="s">
        <v>84</v>
      </c>
      <c r="D510" s="28">
        <v>1</v>
      </c>
      <c r="G510" s="15" t="s">
        <v>138</v>
      </c>
      <c r="H510" s="15">
        <v>10</v>
      </c>
      <c r="I510" s="15" t="s">
        <v>63</v>
      </c>
      <c r="J510" s="15">
        <v>1</v>
      </c>
    </row>
    <row r="511" spans="1:10" x14ac:dyDescent="0.25">
      <c r="A511" s="28" t="s">
        <v>144</v>
      </c>
      <c r="B511" s="28">
        <v>30</v>
      </c>
      <c r="C511" s="28" t="s">
        <v>63</v>
      </c>
      <c r="D511" s="28">
        <v>1</v>
      </c>
      <c r="G511" s="15" t="s">
        <v>138</v>
      </c>
      <c r="H511" s="15">
        <v>11</v>
      </c>
      <c r="I511" s="15" t="s">
        <v>63</v>
      </c>
      <c r="J511" s="15">
        <v>1</v>
      </c>
    </row>
    <row r="512" spans="1:10" x14ac:dyDescent="0.25">
      <c r="A512" s="28" t="s">
        <v>144</v>
      </c>
      <c r="B512" s="28">
        <v>31</v>
      </c>
      <c r="C512" s="28" t="s">
        <v>63</v>
      </c>
      <c r="D512" s="28">
        <v>1</v>
      </c>
      <c r="G512" s="15" t="s">
        <v>138</v>
      </c>
      <c r="H512" s="15">
        <v>12</v>
      </c>
      <c r="I512" s="15" t="s">
        <v>63</v>
      </c>
      <c r="J512" s="15">
        <v>1</v>
      </c>
    </row>
    <row r="513" spans="1:10" x14ac:dyDescent="0.25">
      <c r="A513" s="28" t="s">
        <v>144</v>
      </c>
      <c r="B513" s="28">
        <v>32</v>
      </c>
      <c r="C513" s="28" t="s">
        <v>63</v>
      </c>
      <c r="D513" s="28">
        <v>1</v>
      </c>
      <c r="G513" s="15" t="s">
        <v>138</v>
      </c>
      <c r="H513" s="15">
        <v>13</v>
      </c>
      <c r="I513" s="15" t="s">
        <v>63</v>
      </c>
      <c r="J513" s="15">
        <v>1</v>
      </c>
    </row>
    <row r="514" spans="1:10" x14ac:dyDescent="0.25">
      <c r="A514" s="28" t="s">
        <v>144</v>
      </c>
      <c r="B514" s="28">
        <v>33</v>
      </c>
      <c r="C514" s="28" t="s">
        <v>63</v>
      </c>
      <c r="D514" s="28">
        <v>1</v>
      </c>
      <c r="G514" s="15" t="s">
        <v>138</v>
      </c>
      <c r="H514" s="15">
        <v>14</v>
      </c>
      <c r="I514" s="15" t="s">
        <v>84</v>
      </c>
      <c r="J514" s="15">
        <v>1</v>
      </c>
    </row>
    <row r="515" spans="1:10" x14ac:dyDescent="0.25">
      <c r="A515" s="28" t="s">
        <v>144</v>
      </c>
      <c r="B515" s="28">
        <v>34</v>
      </c>
      <c r="C515" s="28" t="s">
        <v>63</v>
      </c>
      <c r="D515" s="28">
        <v>1</v>
      </c>
      <c r="G515" s="15" t="s">
        <v>138</v>
      </c>
      <c r="H515" s="15">
        <v>15</v>
      </c>
      <c r="I515" s="15" t="s">
        <v>84</v>
      </c>
      <c r="J515" s="15">
        <v>1</v>
      </c>
    </row>
    <row r="516" spans="1:10" x14ac:dyDescent="0.25">
      <c r="A516" s="28" t="s">
        <v>145</v>
      </c>
      <c r="B516" s="28">
        <v>-6</v>
      </c>
      <c r="C516" s="28" t="s">
        <v>83</v>
      </c>
      <c r="D516" s="28">
        <v>1</v>
      </c>
      <c r="G516" s="15" t="s">
        <v>138</v>
      </c>
      <c r="H516" s="15">
        <v>16</v>
      </c>
      <c r="I516" s="15" t="s">
        <v>63</v>
      </c>
      <c r="J516" s="15">
        <v>1</v>
      </c>
    </row>
    <row r="517" spans="1:10" x14ac:dyDescent="0.25">
      <c r="A517" s="28" t="s">
        <v>145</v>
      </c>
      <c r="B517" s="28">
        <v>-5</v>
      </c>
      <c r="C517" s="28" t="s">
        <v>31</v>
      </c>
      <c r="D517" s="28">
        <v>1</v>
      </c>
      <c r="G517" s="15" t="s">
        <v>138</v>
      </c>
      <c r="H517" s="15">
        <v>17</v>
      </c>
      <c r="I517" s="15" t="s">
        <v>63</v>
      </c>
      <c r="J517" s="15">
        <v>1</v>
      </c>
    </row>
    <row r="518" spans="1:10" x14ac:dyDescent="0.25">
      <c r="A518" s="28" t="s">
        <v>145</v>
      </c>
      <c r="B518" s="28">
        <v>-4</v>
      </c>
      <c r="C518" s="28" t="s">
        <v>31</v>
      </c>
      <c r="D518" s="28">
        <v>1</v>
      </c>
      <c r="G518" s="15" t="s">
        <v>138</v>
      </c>
      <c r="H518" s="15">
        <v>18</v>
      </c>
      <c r="I518" s="15" t="s">
        <v>63</v>
      </c>
      <c r="J518" s="15">
        <v>1</v>
      </c>
    </row>
    <row r="519" spans="1:10" x14ac:dyDescent="0.25">
      <c r="A519" s="28" t="s">
        <v>145</v>
      </c>
      <c r="B519" s="28">
        <v>-3</v>
      </c>
      <c r="C519" s="28" t="s">
        <v>31</v>
      </c>
      <c r="D519" s="28">
        <v>1</v>
      </c>
      <c r="G519" s="15" t="s">
        <v>138</v>
      </c>
      <c r="H519" s="15">
        <v>19</v>
      </c>
      <c r="I519" s="15" t="s">
        <v>63</v>
      </c>
      <c r="J519" s="15">
        <v>1</v>
      </c>
    </row>
    <row r="520" spans="1:10" x14ac:dyDescent="0.25">
      <c r="A520" s="28" t="s">
        <v>145</v>
      </c>
      <c r="B520" s="28">
        <v>-2</v>
      </c>
      <c r="C520" s="28" t="s">
        <v>31</v>
      </c>
      <c r="D520" s="28">
        <v>1</v>
      </c>
      <c r="G520" s="15" t="s">
        <v>138</v>
      </c>
      <c r="H520" s="15">
        <v>20</v>
      </c>
      <c r="I520" s="15" t="s">
        <v>63</v>
      </c>
      <c r="J520" s="15">
        <v>1</v>
      </c>
    </row>
    <row r="521" spans="1:10" x14ac:dyDescent="0.25">
      <c r="A521" s="28" t="s">
        <v>145</v>
      </c>
      <c r="B521" s="28">
        <v>-1</v>
      </c>
      <c r="C521" s="28" t="s">
        <v>31</v>
      </c>
      <c r="D521" s="28">
        <v>1</v>
      </c>
      <c r="G521" s="15" t="s">
        <v>138</v>
      </c>
      <c r="H521" s="15">
        <v>21</v>
      </c>
      <c r="I521" s="15" t="s">
        <v>84</v>
      </c>
      <c r="J521" s="15">
        <v>1</v>
      </c>
    </row>
    <row r="522" spans="1:10" x14ac:dyDescent="0.25">
      <c r="A522" s="28" t="s">
        <v>145</v>
      </c>
      <c r="B522" s="28">
        <v>0</v>
      </c>
      <c r="C522" s="28" t="s">
        <v>83</v>
      </c>
      <c r="D522" s="28">
        <v>1</v>
      </c>
      <c r="G522" s="15" t="s">
        <v>138</v>
      </c>
      <c r="H522" s="15">
        <v>22</v>
      </c>
      <c r="I522" s="15" t="s">
        <v>84</v>
      </c>
      <c r="J522" s="15">
        <v>1</v>
      </c>
    </row>
    <row r="523" spans="1:10" x14ac:dyDescent="0.25">
      <c r="A523" s="28" t="s">
        <v>145</v>
      </c>
      <c r="B523" s="28">
        <v>1</v>
      </c>
      <c r="C523" s="28" t="s">
        <v>83</v>
      </c>
      <c r="D523" s="28">
        <v>1</v>
      </c>
      <c r="G523" s="15" t="s">
        <v>138</v>
      </c>
      <c r="H523" s="15">
        <v>23</v>
      </c>
      <c r="I523" s="15" t="s">
        <v>63</v>
      </c>
      <c r="J523" s="15">
        <v>1</v>
      </c>
    </row>
    <row r="524" spans="1:10" x14ac:dyDescent="0.25">
      <c r="A524" s="28" t="s">
        <v>145</v>
      </c>
      <c r="B524" s="28">
        <v>2</v>
      </c>
      <c r="C524" s="28" t="s">
        <v>58</v>
      </c>
      <c r="D524" s="28">
        <v>1</v>
      </c>
      <c r="G524" s="15" t="s">
        <v>138</v>
      </c>
      <c r="H524" s="15">
        <v>24</v>
      </c>
      <c r="I524" s="15" t="s">
        <v>63</v>
      </c>
      <c r="J524" s="15">
        <v>1</v>
      </c>
    </row>
    <row r="525" spans="1:10" x14ac:dyDescent="0.25">
      <c r="A525" s="28" t="s">
        <v>145</v>
      </c>
      <c r="B525" s="28">
        <v>3</v>
      </c>
      <c r="C525" s="28" t="s">
        <v>31</v>
      </c>
      <c r="D525" s="28">
        <v>1</v>
      </c>
      <c r="G525" s="15" t="s">
        <v>138</v>
      </c>
      <c r="H525" s="15">
        <v>25</v>
      </c>
      <c r="I525" s="15" t="s">
        <v>63</v>
      </c>
      <c r="J525" s="15">
        <v>1</v>
      </c>
    </row>
    <row r="526" spans="1:10" x14ac:dyDescent="0.25">
      <c r="A526" s="28" t="s">
        <v>145</v>
      </c>
      <c r="B526" s="28">
        <v>4</v>
      </c>
      <c r="C526" s="28" t="s">
        <v>58</v>
      </c>
      <c r="D526" s="28">
        <v>1</v>
      </c>
      <c r="G526" s="15" t="s">
        <v>138</v>
      </c>
      <c r="H526" s="15">
        <v>26</v>
      </c>
      <c r="I526" s="15" t="s">
        <v>63</v>
      </c>
      <c r="J526" s="15">
        <v>1</v>
      </c>
    </row>
    <row r="527" spans="1:10" x14ac:dyDescent="0.25">
      <c r="A527" s="28" t="s">
        <v>145</v>
      </c>
      <c r="B527" s="28">
        <v>5</v>
      </c>
      <c r="C527" s="28" t="s">
        <v>58</v>
      </c>
      <c r="D527" s="28">
        <v>1</v>
      </c>
      <c r="G527" s="15" t="s">
        <v>138</v>
      </c>
      <c r="H527" s="15">
        <v>27</v>
      </c>
      <c r="I527" s="15" t="s">
        <v>63</v>
      </c>
      <c r="J527" s="15">
        <v>1</v>
      </c>
    </row>
    <row r="528" spans="1:10" x14ac:dyDescent="0.25">
      <c r="A528" s="28" t="s">
        <v>145</v>
      </c>
      <c r="B528" s="28">
        <v>6</v>
      </c>
      <c r="C528" s="28" t="s">
        <v>31</v>
      </c>
      <c r="D528" s="28">
        <v>1</v>
      </c>
      <c r="G528" s="15" t="s">
        <v>138</v>
      </c>
      <c r="H528" s="15">
        <v>28</v>
      </c>
      <c r="I528" s="15" t="s">
        <v>84</v>
      </c>
      <c r="J528" s="15">
        <v>1</v>
      </c>
    </row>
    <row r="529" spans="1:10" x14ac:dyDescent="0.25">
      <c r="A529" s="28" t="s">
        <v>341</v>
      </c>
      <c r="B529" s="28">
        <v>0</v>
      </c>
      <c r="C529" s="28" t="s">
        <v>83</v>
      </c>
      <c r="D529" s="28">
        <v>1</v>
      </c>
      <c r="G529" s="15" t="s">
        <v>138</v>
      </c>
      <c r="H529" s="15">
        <v>29</v>
      </c>
      <c r="I529" s="15" t="s">
        <v>371</v>
      </c>
      <c r="J529" s="15">
        <v>1</v>
      </c>
    </row>
    <row r="530" spans="1:10" x14ac:dyDescent="0.25">
      <c r="A530" s="28" t="s">
        <v>342</v>
      </c>
      <c r="B530" s="28">
        <v>-6</v>
      </c>
      <c r="C530" s="28" t="s">
        <v>83</v>
      </c>
      <c r="D530" s="28">
        <v>1</v>
      </c>
      <c r="G530" s="15" t="s">
        <v>138</v>
      </c>
      <c r="H530" s="15">
        <v>30</v>
      </c>
      <c r="I530" s="15" t="s">
        <v>31</v>
      </c>
      <c r="J530" s="15">
        <v>1</v>
      </c>
    </row>
    <row r="531" spans="1:10" x14ac:dyDescent="0.25">
      <c r="A531" s="28" t="s">
        <v>342</v>
      </c>
      <c r="B531" s="28">
        <v>-5</v>
      </c>
      <c r="C531" s="28" t="s">
        <v>83</v>
      </c>
      <c r="D531" s="28">
        <v>1</v>
      </c>
      <c r="G531" s="15" t="s">
        <v>139</v>
      </c>
      <c r="H531" s="15">
        <v>7</v>
      </c>
      <c r="I531" s="15" t="s">
        <v>26</v>
      </c>
      <c r="J531" s="15">
        <v>1</v>
      </c>
    </row>
    <row r="532" spans="1:10" x14ac:dyDescent="0.25">
      <c r="A532" s="28" t="s">
        <v>342</v>
      </c>
      <c r="B532" s="28">
        <v>-4</v>
      </c>
      <c r="C532" s="28" t="s">
        <v>83</v>
      </c>
      <c r="D532" s="28">
        <v>1</v>
      </c>
      <c r="G532" s="15" t="s">
        <v>139</v>
      </c>
      <c r="H532" s="15">
        <v>8</v>
      </c>
      <c r="I532" s="15" t="s">
        <v>26</v>
      </c>
      <c r="J532" s="15">
        <v>1</v>
      </c>
    </row>
    <row r="533" spans="1:10" x14ac:dyDescent="0.25">
      <c r="A533" s="28" t="s">
        <v>342</v>
      </c>
      <c r="B533" s="28">
        <v>-3</v>
      </c>
      <c r="C533" s="28" t="s">
        <v>83</v>
      </c>
      <c r="D533" s="28">
        <v>1</v>
      </c>
      <c r="G533" s="15" t="s">
        <v>139</v>
      </c>
      <c r="H533" s="15">
        <v>9</v>
      </c>
      <c r="I533" s="15" t="s">
        <v>26</v>
      </c>
      <c r="J533" s="15">
        <v>1</v>
      </c>
    </row>
    <row r="534" spans="1:10" x14ac:dyDescent="0.25">
      <c r="A534" s="28" t="s">
        <v>342</v>
      </c>
      <c r="B534" s="28">
        <v>-2</v>
      </c>
      <c r="C534" s="28" t="s">
        <v>83</v>
      </c>
      <c r="D534" s="28">
        <v>1</v>
      </c>
      <c r="G534" s="15" t="s">
        <v>139</v>
      </c>
      <c r="H534" s="15">
        <v>10</v>
      </c>
      <c r="I534" s="15" t="s">
        <v>53</v>
      </c>
      <c r="J534" s="15">
        <v>1</v>
      </c>
    </row>
    <row r="535" spans="1:10" x14ac:dyDescent="0.25">
      <c r="A535" s="28" t="s">
        <v>342</v>
      </c>
      <c r="B535" s="28">
        <v>-1</v>
      </c>
      <c r="C535" s="28" t="s">
        <v>83</v>
      </c>
      <c r="D535" s="28">
        <v>1</v>
      </c>
      <c r="G535" s="15" t="s">
        <v>139</v>
      </c>
      <c r="H535" s="15">
        <v>11</v>
      </c>
      <c r="I535" s="15" t="s">
        <v>65</v>
      </c>
      <c r="J535" s="15">
        <v>1</v>
      </c>
    </row>
    <row r="536" spans="1:10" x14ac:dyDescent="0.25">
      <c r="A536" s="28" t="s">
        <v>342</v>
      </c>
      <c r="B536" s="28">
        <v>0</v>
      </c>
      <c r="C536" s="28" t="s">
        <v>83</v>
      </c>
      <c r="D536" s="28">
        <v>1</v>
      </c>
      <c r="G536" s="15" t="s">
        <v>139</v>
      </c>
      <c r="H536" s="15">
        <v>12</v>
      </c>
      <c r="I536" s="15" t="s">
        <v>83</v>
      </c>
      <c r="J536" s="15">
        <v>1</v>
      </c>
    </row>
    <row r="537" spans="1:10" x14ac:dyDescent="0.25">
      <c r="A537" s="36" t="s">
        <v>126</v>
      </c>
      <c r="B537" s="36">
        <v>7</v>
      </c>
      <c r="C537" s="36" t="s">
        <v>83</v>
      </c>
      <c r="D537" s="36">
        <v>1</v>
      </c>
      <c r="G537" s="15" t="s">
        <v>139</v>
      </c>
      <c r="H537" s="15">
        <v>13</v>
      </c>
      <c r="I537" s="15" t="s">
        <v>83</v>
      </c>
      <c r="J537" s="15">
        <v>1</v>
      </c>
    </row>
    <row r="538" spans="1:10" x14ac:dyDescent="0.25">
      <c r="A538" s="36" t="s">
        <v>126</v>
      </c>
      <c r="B538" s="36">
        <v>8</v>
      </c>
      <c r="C538" s="36" t="s">
        <v>83</v>
      </c>
      <c r="D538" s="36">
        <v>1</v>
      </c>
      <c r="G538" s="15" t="s">
        <v>139</v>
      </c>
      <c r="H538" s="15">
        <v>14</v>
      </c>
      <c r="I538" s="15" t="s">
        <v>83</v>
      </c>
      <c r="J538" s="15">
        <v>1</v>
      </c>
    </row>
    <row r="539" spans="1:10" x14ac:dyDescent="0.25">
      <c r="A539" s="36" t="s">
        <v>126</v>
      </c>
      <c r="B539" s="36">
        <v>9</v>
      </c>
      <c r="C539" s="36" t="s">
        <v>67</v>
      </c>
      <c r="D539" s="36">
        <v>1</v>
      </c>
      <c r="G539" s="15" t="s">
        <v>139</v>
      </c>
      <c r="H539" s="15">
        <v>15</v>
      </c>
      <c r="I539" s="15" t="s">
        <v>83</v>
      </c>
      <c r="J539" s="15">
        <v>1</v>
      </c>
    </row>
    <row r="540" spans="1:10" x14ac:dyDescent="0.25">
      <c r="A540" s="36" t="s">
        <v>126</v>
      </c>
      <c r="B540" s="36">
        <v>10</v>
      </c>
      <c r="C540" s="36" t="s">
        <v>67</v>
      </c>
      <c r="D540" s="36">
        <v>1</v>
      </c>
      <c r="G540" s="15" t="s">
        <v>139</v>
      </c>
      <c r="H540" s="15">
        <v>16</v>
      </c>
      <c r="I540" s="15" t="s">
        <v>63</v>
      </c>
      <c r="J540" s="15">
        <v>1</v>
      </c>
    </row>
    <row r="541" spans="1:10" x14ac:dyDescent="0.25">
      <c r="A541" s="36" t="s">
        <v>126</v>
      </c>
      <c r="B541" s="36">
        <v>11</v>
      </c>
      <c r="C541" s="36" t="s">
        <v>67</v>
      </c>
      <c r="D541" s="36">
        <v>1</v>
      </c>
      <c r="G541" s="15" t="s">
        <v>139</v>
      </c>
      <c r="H541" s="15">
        <v>17</v>
      </c>
      <c r="I541" s="15" t="s">
        <v>63</v>
      </c>
      <c r="J541" s="15">
        <v>1</v>
      </c>
    </row>
    <row r="542" spans="1:10" x14ac:dyDescent="0.25">
      <c r="A542" s="36" t="s">
        <v>126</v>
      </c>
      <c r="B542" s="36">
        <v>12</v>
      </c>
      <c r="C542" s="36" t="s">
        <v>67</v>
      </c>
      <c r="D542" s="36">
        <v>1</v>
      </c>
      <c r="G542" s="15" t="s">
        <v>139</v>
      </c>
      <c r="H542" s="15">
        <v>18</v>
      </c>
      <c r="I542" s="15" t="s">
        <v>63</v>
      </c>
      <c r="J542" s="15">
        <v>1</v>
      </c>
    </row>
    <row r="543" spans="1:10" x14ac:dyDescent="0.25">
      <c r="A543" s="36" t="s">
        <v>126</v>
      </c>
      <c r="B543" s="36">
        <v>13</v>
      </c>
      <c r="C543" s="36" t="s">
        <v>67</v>
      </c>
      <c r="D543" s="36">
        <v>1</v>
      </c>
      <c r="G543" s="15" t="s">
        <v>139</v>
      </c>
      <c r="H543" s="15">
        <v>19</v>
      </c>
      <c r="I543" s="15" t="s">
        <v>364</v>
      </c>
      <c r="J543" s="15">
        <v>1</v>
      </c>
    </row>
    <row r="544" spans="1:10" x14ac:dyDescent="0.25">
      <c r="A544" s="36" t="s">
        <v>126</v>
      </c>
      <c r="B544" s="36">
        <v>14</v>
      </c>
      <c r="C544" s="36" t="s">
        <v>83</v>
      </c>
      <c r="D544" s="36">
        <v>1</v>
      </c>
      <c r="G544" s="15" t="s">
        <v>139</v>
      </c>
      <c r="H544" s="15">
        <v>20</v>
      </c>
      <c r="I544" s="15" t="s">
        <v>65</v>
      </c>
      <c r="J544" s="15">
        <v>1</v>
      </c>
    </row>
    <row r="545" spans="1:10" x14ac:dyDescent="0.25">
      <c r="A545" s="36" t="s">
        <v>126</v>
      </c>
      <c r="B545" s="36">
        <v>15</v>
      </c>
      <c r="C545" s="36" t="s">
        <v>83</v>
      </c>
      <c r="D545" s="36">
        <v>1</v>
      </c>
      <c r="G545" s="15" t="s">
        <v>139</v>
      </c>
      <c r="H545" s="15">
        <v>21</v>
      </c>
      <c r="I545" s="15" t="s">
        <v>83</v>
      </c>
      <c r="J545" s="15">
        <v>1</v>
      </c>
    </row>
    <row r="546" spans="1:10" x14ac:dyDescent="0.25">
      <c r="A546" s="36" t="s">
        <v>132</v>
      </c>
      <c r="B546" s="36">
        <v>7</v>
      </c>
      <c r="C546" s="36" t="s">
        <v>83</v>
      </c>
      <c r="D546" s="36">
        <v>1</v>
      </c>
      <c r="G546" s="15" t="s">
        <v>139</v>
      </c>
      <c r="H546" s="15">
        <v>22</v>
      </c>
      <c r="I546" s="15" t="s">
        <v>83</v>
      </c>
      <c r="J546" s="15">
        <v>1</v>
      </c>
    </row>
    <row r="547" spans="1:10" x14ac:dyDescent="0.25">
      <c r="A547" s="36" t="s">
        <v>132</v>
      </c>
      <c r="B547" s="36">
        <v>8</v>
      </c>
      <c r="C547" s="36" t="s">
        <v>83</v>
      </c>
      <c r="D547" s="36">
        <v>1</v>
      </c>
      <c r="G547" s="15" t="s">
        <v>139</v>
      </c>
      <c r="H547" s="15">
        <v>23</v>
      </c>
      <c r="I547" s="15" t="s">
        <v>53</v>
      </c>
      <c r="J547" s="15">
        <v>1</v>
      </c>
    </row>
    <row r="548" spans="1:10" x14ac:dyDescent="0.25">
      <c r="A548" s="36" t="s">
        <v>132</v>
      </c>
      <c r="B548" s="36">
        <v>9</v>
      </c>
      <c r="C548" s="36" t="s">
        <v>67</v>
      </c>
      <c r="D548" s="36">
        <v>1</v>
      </c>
      <c r="G548" s="15" t="s">
        <v>139</v>
      </c>
      <c r="H548" s="15">
        <v>24</v>
      </c>
      <c r="I548" s="15" t="s">
        <v>65</v>
      </c>
      <c r="J548" s="15">
        <v>1</v>
      </c>
    </row>
    <row r="549" spans="1:10" x14ac:dyDescent="0.25">
      <c r="A549" s="36" t="s">
        <v>132</v>
      </c>
      <c r="B549" s="36">
        <v>10</v>
      </c>
      <c r="C549" s="36" t="s">
        <v>67</v>
      </c>
      <c r="D549" s="36">
        <v>1</v>
      </c>
      <c r="G549" s="15" t="s">
        <v>139</v>
      </c>
      <c r="H549" s="15">
        <v>25</v>
      </c>
      <c r="I549" s="15" t="s">
        <v>168</v>
      </c>
      <c r="J549" s="15">
        <v>1</v>
      </c>
    </row>
    <row r="550" spans="1:10" x14ac:dyDescent="0.25">
      <c r="A550" s="36" t="s">
        <v>132</v>
      </c>
      <c r="B550" s="36">
        <v>11</v>
      </c>
      <c r="C550" s="36" t="s">
        <v>67</v>
      </c>
      <c r="D550" s="36">
        <v>1</v>
      </c>
      <c r="G550" s="15" t="s">
        <v>139</v>
      </c>
      <c r="H550" s="15">
        <v>26</v>
      </c>
      <c r="I550" s="15" t="s">
        <v>26</v>
      </c>
      <c r="J550" s="15">
        <v>1</v>
      </c>
    </row>
    <row r="551" spans="1:10" x14ac:dyDescent="0.25">
      <c r="A551" s="36" t="s">
        <v>132</v>
      </c>
      <c r="B551" s="36">
        <v>12</v>
      </c>
      <c r="C551" s="36" t="s">
        <v>67</v>
      </c>
      <c r="D551" s="36">
        <v>1</v>
      </c>
      <c r="G551" s="15" t="s">
        <v>139</v>
      </c>
      <c r="H551" s="15">
        <v>27</v>
      </c>
      <c r="I551" s="15" t="s">
        <v>26</v>
      </c>
      <c r="J551" s="15">
        <v>1</v>
      </c>
    </row>
    <row r="552" spans="1:10" x14ac:dyDescent="0.25">
      <c r="A552" s="36" t="s">
        <v>132</v>
      </c>
      <c r="B552" s="36">
        <v>13</v>
      </c>
      <c r="C552" s="36" t="s">
        <v>67</v>
      </c>
      <c r="D552" s="36">
        <v>1</v>
      </c>
      <c r="G552" s="15" t="s">
        <v>139</v>
      </c>
      <c r="H552" s="15">
        <v>28</v>
      </c>
      <c r="I552" s="15" t="s">
        <v>26</v>
      </c>
      <c r="J552" s="15">
        <v>1</v>
      </c>
    </row>
    <row r="553" spans="1:10" x14ac:dyDescent="0.25">
      <c r="A553" s="36" t="s">
        <v>132</v>
      </c>
      <c r="B553" s="36">
        <v>14</v>
      </c>
      <c r="C553" s="36" t="s">
        <v>83</v>
      </c>
      <c r="D553" s="36">
        <v>1</v>
      </c>
      <c r="G553" s="15" t="s">
        <v>139</v>
      </c>
      <c r="H553" s="15">
        <v>29</v>
      </c>
      <c r="I553" s="15" t="s">
        <v>26</v>
      </c>
      <c r="J553" s="15">
        <v>1</v>
      </c>
    </row>
    <row r="554" spans="1:10" x14ac:dyDescent="0.25">
      <c r="A554" s="36" t="s">
        <v>132</v>
      </c>
      <c r="B554" s="36">
        <v>15</v>
      </c>
      <c r="C554" s="36" t="s">
        <v>83</v>
      </c>
      <c r="D554" s="36">
        <v>1</v>
      </c>
      <c r="G554" s="15" t="s">
        <v>139</v>
      </c>
      <c r="H554" s="15">
        <v>30</v>
      </c>
      <c r="I554" s="15" t="s">
        <v>26</v>
      </c>
      <c r="J554" s="15">
        <v>1</v>
      </c>
    </row>
    <row r="555" spans="1:10" x14ac:dyDescent="0.25">
      <c r="A555" s="36" t="s">
        <v>123</v>
      </c>
      <c r="B555" s="36">
        <v>25</v>
      </c>
      <c r="C555" s="36" t="s">
        <v>67</v>
      </c>
      <c r="D555" s="36">
        <v>1</v>
      </c>
      <c r="G555" s="15" t="s">
        <v>140</v>
      </c>
      <c r="H555" s="15">
        <v>7</v>
      </c>
      <c r="I555" s="15" t="s">
        <v>83</v>
      </c>
      <c r="J555" s="15">
        <v>1</v>
      </c>
    </row>
    <row r="556" spans="1:10" x14ac:dyDescent="0.25">
      <c r="A556" s="36" t="s">
        <v>123</v>
      </c>
      <c r="B556" s="36">
        <v>26</v>
      </c>
      <c r="C556" s="36" t="s">
        <v>67</v>
      </c>
      <c r="D556" s="36">
        <v>1</v>
      </c>
      <c r="G556" s="15" t="s">
        <v>140</v>
      </c>
      <c r="H556" s="15">
        <v>8</v>
      </c>
      <c r="I556" s="15" t="s">
        <v>83</v>
      </c>
      <c r="J556" s="15">
        <v>1</v>
      </c>
    </row>
    <row r="557" spans="1:10" x14ac:dyDescent="0.25">
      <c r="A557" s="36" t="s">
        <v>123</v>
      </c>
      <c r="B557" s="36">
        <v>27</v>
      </c>
      <c r="C557" s="36" t="s">
        <v>67</v>
      </c>
      <c r="D557" s="36">
        <v>1</v>
      </c>
      <c r="G557" s="15" t="s">
        <v>140</v>
      </c>
      <c r="H557" s="15">
        <v>9</v>
      </c>
      <c r="I557" s="15" t="s">
        <v>53</v>
      </c>
      <c r="J557" s="15">
        <v>1</v>
      </c>
    </row>
    <row r="558" spans="1:10" x14ac:dyDescent="0.25">
      <c r="A558" s="36"/>
      <c r="B558" s="36"/>
      <c r="C558" s="36"/>
      <c r="D558" s="36"/>
      <c r="G558" s="15" t="s">
        <v>140</v>
      </c>
      <c r="H558" s="15">
        <v>10</v>
      </c>
      <c r="I558" s="15" t="s">
        <v>65</v>
      </c>
      <c r="J558" s="15">
        <v>1</v>
      </c>
    </row>
    <row r="559" spans="1:10" x14ac:dyDescent="0.25">
      <c r="A559" s="36"/>
      <c r="B559" s="36"/>
      <c r="C559" s="36"/>
      <c r="D559" s="36"/>
      <c r="G559" s="15" t="s">
        <v>140</v>
      </c>
      <c r="H559" s="15">
        <v>11</v>
      </c>
      <c r="I559" s="15" t="s">
        <v>168</v>
      </c>
      <c r="J559" s="15">
        <v>1</v>
      </c>
    </row>
    <row r="560" spans="1:10" x14ac:dyDescent="0.25">
      <c r="A560" s="36"/>
      <c r="B560" s="36"/>
      <c r="C560" s="36"/>
      <c r="D560" s="36"/>
      <c r="G560" s="15" t="s">
        <v>140</v>
      </c>
      <c r="H560" s="15">
        <v>12</v>
      </c>
      <c r="I560" s="15" t="s">
        <v>26</v>
      </c>
      <c r="J560" s="15">
        <v>1</v>
      </c>
    </row>
    <row r="561" spans="1:10" x14ac:dyDescent="0.25">
      <c r="A561" s="36"/>
      <c r="B561" s="36"/>
      <c r="C561" s="36"/>
      <c r="D561" s="36"/>
      <c r="G561" s="15" t="s">
        <v>140</v>
      </c>
      <c r="H561" s="15">
        <v>13</v>
      </c>
      <c r="I561" s="15" t="s">
        <v>26</v>
      </c>
      <c r="J561" s="15">
        <v>1</v>
      </c>
    </row>
    <row r="562" spans="1:10" x14ac:dyDescent="0.25">
      <c r="A562" s="36"/>
      <c r="B562" s="36"/>
      <c r="C562" s="36"/>
      <c r="D562" s="36"/>
      <c r="G562" s="15" t="s">
        <v>140</v>
      </c>
      <c r="H562" s="15">
        <v>14</v>
      </c>
      <c r="I562" s="15" t="s">
        <v>26</v>
      </c>
      <c r="J562" s="15">
        <v>1</v>
      </c>
    </row>
    <row r="563" spans="1:10" x14ac:dyDescent="0.25">
      <c r="A563" s="36"/>
      <c r="B563" s="36"/>
      <c r="C563" s="36"/>
      <c r="D563" s="36"/>
      <c r="G563" s="15" t="s">
        <v>140</v>
      </c>
      <c r="H563" s="15">
        <v>15</v>
      </c>
      <c r="I563" s="15" t="s">
        <v>26</v>
      </c>
      <c r="J563" s="15">
        <v>1</v>
      </c>
    </row>
    <row r="564" spans="1:10" x14ac:dyDescent="0.25">
      <c r="A564" s="36"/>
      <c r="B564" s="36"/>
      <c r="C564" s="36"/>
      <c r="D564" s="36"/>
      <c r="G564" s="15" t="s">
        <v>140</v>
      </c>
      <c r="H564" s="15">
        <v>16</v>
      </c>
      <c r="I564" s="15" t="s">
        <v>26</v>
      </c>
      <c r="J564" s="15">
        <v>1</v>
      </c>
    </row>
    <row r="565" spans="1:10" x14ac:dyDescent="0.25">
      <c r="A565" s="36"/>
      <c r="B565" s="36"/>
      <c r="C565" s="36"/>
      <c r="D565" s="36"/>
      <c r="G565" s="15" t="s">
        <v>140</v>
      </c>
      <c r="H565" s="15">
        <v>17</v>
      </c>
      <c r="I565" s="15" t="s">
        <v>53</v>
      </c>
      <c r="J565" s="15">
        <v>1</v>
      </c>
    </row>
    <row r="566" spans="1:10" x14ac:dyDescent="0.25">
      <c r="A566" s="36"/>
      <c r="B566" s="36"/>
      <c r="C566" s="36"/>
      <c r="D566" s="36"/>
      <c r="G566" s="15" t="s">
        <v>140</v>
      </c>
      <c r="H566" s="15">
        <v>18</v>
      </c>
      <c r="I566" s="15" t="s">
        <v>65</v>
      </c>
      <c r="J566" s="15">
        <v>1</v>
      </c>
    </row>
    <row r="567" spans="1:10" x14ac:dyDescent="0.25">
      <c r="A567" s="36"/>
      <c r="B567" s="36"/>
      <c r="C567" s="36"/>
      <c r="D567" s="36"/>
      <c r="G567" s="15" t="s">
        <v>140</v>
      </c>
      <c r="H567" s="15">
        <v>19</v>
      </c>
      <c r="I567" s="15" t="s">
        <v>83</v>
      </c>
      <c r="J567" s="15">
        <v>1</v>
      </c>
    </row>
    <row r="568" spans="1:10" x14ac:dyDescent="0.25">
      <c r="A568" s="36"/>
      <c r="B568" s="36"/>
      <c r="C568" s="36"/>
      <c r="D568" s="36"/>
      <c r="G568" s="15" t="s">
        <v>140</v>
      </c>
      <c r="H568" s="15">
        <v>20</v>
      </c>
      <c r="I568" s="15" t="s">
        <v>83</v>
      </c>
      <c r="J568" s="15">
        <v>1</v>
      </c>
    </row>
    <row r="569" spans="1:10" x14ac:dyDescent="0.25">
      <c r="A569" s="36"/>
      <c r="B569" s="36"/>
      <c r="C569" s="36"/>
      <c r="D569" s="36"/>
      <c r="G569" s="15" t="s">
        <v>140</v>
      </c>
      <c r="H569" s="15">
        <v>21</v>
      </c>
      <c r="I569" s="15" t="s">
        <v>83</v>
      </c>
      <c r="J569" s="15">
        <v>1</v>
      </c>
    </row>
    <row r="570" spans="1:10" x14ac:dyDescent="0.25">
      <c r="A570" s="36"/>
      <c r="B570" s="36"/>
      <c r="C570" s="36"/>
      <c r="D570" s="36"/>
      <c r="G570" s="15" t="s">
        <v>140</v>
      </c>
      <c r="H570" s="15">
        <v>22</v>
      </c>
      <c r="I570" s="15" t="s">
        <v>83</v>
      </c>
      <c r="J570" s="15">
        <v>1</v>
      </c>
    </row>
    <row r="571" spans="1:10" x14ac:dyDescent="0.25">
      <c r="A571" s="36"/>
      <c r="B571" s="36"/>
      <c r="C571" s="36"/>
      <c r="D571" s="36"/>
      <c r="G571" s="15" t="s">
        <v>140</v>
      </c>
      <c r="H571" s="15">
        <v>23</v>
      </c>
      <c r="I571" s="15" t="s">
        <v>17</v>
      </c>
      <c r="J571" s="15">
        <v>1</v>
      </c>
    </row>
    <row r="572" spans="1:10" x14ac:dyDescent="0.25">
      <c r="A572" s="36"/>
      <c r="B572" s="36"/>
      <c r="C572" s="36"/>
      <c r="D572" s="36"/>
      <c r="G572" s="15" t="s">
        <v>140</v>
      </c>
      <c r="H572" s="15">
        <v>24</v>
      </c>
      <c r="I572" s="15" t="s">
        <v>65</v>
      </c>
      <c r="J572" s="15">
        <v>1</v>
      </c>
    </row>
    <row r="573" spans="1:10" x14ac:dyDescent="0.25">
      <c r="A573" s="36"/>
      <c r="B573" s="36"/>
      <c r="C573" s="36"/>
      <c r="D573" s="36"/>
      <c r="G573" s="15" t="s">
        <v>140</v>
      </c>
      <c r="H573" s="15">
        <v>25</v>
      </c>
      <c r="I573" s="15" t="s">
        <v>31</v>
      </c>
      <c r="J573" s="15">
        <v>1</v>
      </c>
    </row>
    <row r="574" spans="1:10" x14ac:dyDescent="0.25">
      <c r="A574" s="36"/>
      <c r="B574" s="36"/>
      <c r="C574" s="36"/>
      <c r="D574" s="36"/>
      <c r="G574" s="15" t="s">
        <v>140</v>
      </c>
      <c r="H574" s="15">
        <v>26</v>
      </c>
      <c r="I574" s="15" t="s">
        <v>43</v>
      </c>
      <c r="J574" s="15">
        <v>1</v>
      </c>
    </row>
    <row r="575" spans="1:10" x14ac:dyDescent="0.25">
      <c r="A575" s="36"/>
      <c r="B575" s="36"/>
      <c r="C575" s="36"/>
      <c r="D575" s="36"/>
      <c r="G575" s="15" t="s">
        <v>140</v>
      </c>
      <c r="H575" s="15">
        <v>27</v>
      </c>
      <c r="I575" s="15" t="s">
        <v>31</v>
      </c>
      <c r="J575" s="15">
        <v>1</v>
      </c>
    </row>
    <row r="576" spans="1:10" x14ac:dyDescent="0.25">
      <c r="A576" s="36"/>
      <c r="B576" s="36"/>
      <c r="C576" s="36"/>
      <c r="D576" s="36"/>
      <c r="G576" s="15" t="s">
        <v>140</v>
      </c>
      <c r="H576" s="15">
        <v>28</v>
      </c>
      <c r="I576" s="15" t="s">
        <v>83</v>
      </c>
      <c r="J576" s="15">
        <v>1</v>
      </c>
    </row>
    <row r="577" spans="1:10" x14ac:dyDescent="0.25">
      <c r="A577" s="36"/>
      <c r="B577" s="36"/>
      <c r="C577" s="36"/>
      <c r="D577" s="36"/>
      <c r="G577" s="15" t="s">
        <v>140</v>
      </c>
      <c r="H577" s="15">
        <v>29</v>
      </c>
      <c r="I577" s="15" t="s">
        <v>83</v>
      </c>
      <c r="J577" s="15">
        <v>1</v>
      </c>
    </row>
    <row r="578" spans="1:10" x14ac:dyDescent="0.25">
      <c r="A578" s="36"/>
      <c r="B578" s="36"/>
      <c r="C578" s="36"/>
      <c r="D578" s="36"/>
      <c r="G578" s="15" t="s">
        <v>140</v>
      </c>
      <c r="H578" s="15">
        <v>30</v>
      </c>
      <c r="I578" s="15" t="s">
        <v>17</v>
      </c>
      <c r="J578" s="15">
        <v>1</v>
      </c>
    </row>
    <row r="579" spans="1:10" x14ac:dyDescent="0.25">
      <c r="A579" s="36"/>
      <c r="B579" s="36"/>
      <c r="C579" s="36"/>
      <c r="D579" s="36"/>
      <c r="G579" s="15" t="s">
        <v>141</v>
      </c>
      <c r="H579" s="15">
        <v>7</v>
      </c>
      <c r="I579" s="15" t="s">
        <v>83</v>
      </c>
      <c r="J579" s="15">
        <v>1</v>
      </c>
    </row>
    <row r="580" spans="1:10" x14ac:dyDescent="0.25">
      <c r="A580" s="36"/>
      <c r="B580" s="36"/>
      <c r="C580" s="36"/>
      <c r="D580" s="36"/>
      <c r="G580" s="15" t="s">
        <v>141</v>
      </c>
      <c r="H580" s="15">
        <v>8</v>
      </c>
      <c r="I580" s="15" t="s">
        <v>83</v>
      </c>
      <c r="J580" s="15">
        <v>1</v>
      </c>
    </row>
    <row r="581" spans="1:10" x14ac:dyDescent="0.25">
      <c r="A581" s="36"/>
      <c r="B581" s="36"/>
      <c r="C581" s="36"/>
      <c r="D581" s="36"/>
      <c r="G581" s="15" t="s">
        <v>141</v>
      </c>
      <c r="H581" s="15">
        <v>9</v>
      </c>
      <c r="I581" s="15" t="s">
        <v>31</v>
      </c>
      <c r="J581" s="15">
        <v>1</v>
      </c>
    </row>
    <row r="582" spans="1:10" x14ac:dyDescent="0.25">
      <c r="A582" s="36"/>
      <c r="B582" s="36"/>
      <c r="C582" s="36"/>
      <c r="D582" s="36"/>
      <c r="G582" s="15" t="s">
        <v>141</v>
      </c>
      <c r="H582" s="15">
        <v>10</v>
      </c>
      <c r="I582" s="15" t="s">
        <v>365</v>
      </c>
      <c r="J582" s="15">
        <v>1</v>
      </c>
    </row>
    <row r="583" spans="1:10" x14ac:dyDescent="0.25">
      <c r="A583" s="36"/>
      <c r="B583" s="36"/>
      <c r="C583" s="36"/>
      <c r="D583" s="36"/>
      <c r="G583" s="15" t="s">
        <v>141</v>
      </c>
      <c r="H583" s="15">
        <v>11</v>
      </c>
      <c r="I583" s="15" t="s">
        <v>31</v>
      </c>
      <c r="J583" s="15">
        <v>1</v>
      </c>
    </row>
    <row r="584" spans="1:10" x14ac:dyDescent="0.25">
      <c r="A584" s="36"/>
      <c r="B584" s="36"/>
      <c r="C584" s="36"/>
      <c r="D584" s="36"/>
      <c r="G584" s="15" t="s">
        <v>141</v>
      </c>
      <c r="H584" s="15">
        <v>12</v>
      </c>
      <c r="I584" s="15" t="s">
        <v>31</v>
      </c>
      <c r="J584" s="15">
        <v>1</v>
      </c>
    </row>
    <row r="585" spans="1:10" x14ac:dyDescent="0.25">
      <c r="A585" s="36"/>
      <c r="B585" s="36"/>
      <c r="C585" s="36"/>
      <c r="D585" s="36"/>
      <c r="G585" s="15" t="s">
        <v>141</v>
      </c>
      <c r="H585" s="15">
        <v>13</v>
      </c>
      <c r="I585" s="15" t="s">
        <v>69</v>
      </c>
      <c r="J585" s="15">
        <v>1</v>
      </c>
    </row>
    <row r="586" spans="1:10" x14ac:dyDescent="0.25">
      <c r="A586" s="36"/>
      <c r="B586" s="36"/>
      <c r="C586" s="36"/>
      <c r="D586" s="36"/>
      <c r="G586" s="15" t="s">
        <v>141</v>
      </c>
      <c r="H586" s="15">
        <v>14</v>
      </c>
      <c r="I586" s="15" t="s">
        <v>69</v>
      </c>
      <c r="J586" s="15">
        <v>1</v>
      </c>
    </row>
    <row r="587" spans="1:10" x14ac:dyDescent="0.25">
      <c r="A587" s="36"/>
      <c r="B587" s="36"/>
      <c r="C587" s="36"/>
      <c r="D587" s="36"/>
      <c r="G587" s="15" t="s">
        <v>141</v>
      </c>
      <c r="H587" s="15">
        <v>15</v>
      </c>
      <c r="I587" s="15" t="s">
        <v>370</v>
      </c>
      <c r="J587" s="15">
        <v>1</v>
      </c>
    </row>
    <row r="588" spans="1:10" x14ac:dyDescent="0.25">
      <c r="A588" s="36"/>
      <c r="B588" s="36"/>
      <c r="C588" s="36"/>
      <c r="D588" s="36"/>
      <c r="G588" s="15" t="s">
        <v>141</v>
      </c>
      <c r="H588" s="15">
        <v>16</v>
      </c>
      <c r="I588" s="15" t="s">
        <v>65</v>
      </c>
      <c r="J588" s="15">
        <v>1</v>
      </c>
    </row>
    <row r="589" spans="1:10" x14ac:dyDescent="0.25">
      <c r="A589" s="36"/>
      <c r="B589" s="36"/>
      <c r="C589" s="36"/>
      <c r="D589" s="36"/>
      <c r="G589" s="15" t="s">
        <v>141</v>
      </c>
      <c r="H589" s="15">
        <v>17</v>
      </c>
      <c r="I589" s="15" t="s">
        <v>83</v>
      </c>
      <c r="J589" s="15">
        <v>1</v>
      </c>
    </row>
    <row r="590" spans="1:10" x14ac:dyDescent="0.25">
      <c r="A590" s="36"/>
      <c r="B590" s="36"/>
      <c r="C590" s="36"/>
      <c r="D590" s="36"/>
      <c r="G590" s="15" t="s">
        <v>141</v>
      </c>
      <c r="H590" s="15">
        <v>18</v>
      </c>
      <c r="I590" s="15" t="s">
        <v>168</v>
      </c>
      <c r="J590" s="15">
        <v>1</v>
      </c>
    </row>
    <row r="591" spans="1:10" x14ac:dyDescent="0.25">
      <c r="A591" s="36"/>
      <c r="B591" s="36"/>
      <c r="C591" s="36"/>
      <c r="D591" s="36"/>
      <c r="G591" s="15" t="s">
        <v>141</v>
      </c>
      <c r="H591" s="15">
        <v>19</v>
      </c>
      <c r="I591" s="15" t="s">
        <v>26</v>
      </c>
      <c r="J591" s="15">
        <v>1</v>
      </c>
    </row>
    <row r="592" spans="1:10" x14ac:dyDescent="0.25">
      <c r="A592" s="36"/>
      <c r="B592" s="36"/>
      <c r="C592" s="36"/>
      <c r="D592" s="36"/>
      <c r="G592" s="15" t="s">
        <v>141</v>
      </c>
      <c r="H592" s="15">
        <v>20</v>
      </c>
      <c r="I592" s="15" t="s">
        <v>26</v>
      </c>
      <c r="J592" s="15">
        <v>1</v>
      </c>
    </row>
    <row r="593" spans="1:10" x14ac:dyDescent="0.25">
      <c r="A593" s="36"/>
      <c r="B593" s="36"/>
      <c r="C593" s="36"/>
      <c r="D593" s="36"/>
      <c r="G593" s="15" t="s">
        <v>141</v>
      </c>
      <c r="H593" s="15">
        <v>21</v>
      </c>
      <c r="I593" s="15" t="s">
        <v>26</v>
      </c>
      <c r="J593" s="15">
        <v>1</v>
      </c>
    </row>
    <row r="594" spans="1:10" x14ac:dyDescent="0.25">
      <c r="A594" s="36"/>
      <c r="B594" s="36"/>
      <c r="C594" s="36"/>
      <c r="D594" s="36"/>
      <c r="G594" s="15" t="s">
        <v>141</v>
      </c>
      <c r="H594" s="15">
        <v>22</v>
      </c>
      <c r="I594" s="15" t="s">
        <v>26</v>
      </c>
      <c r="J594" s="15">
        <v>1</v>
      </c>
    </row>
    <row r="595" spans="1:10" x14ac:dyDescent="0.25">
      <c r="A595" s="36"/>
      <c r="B595" s="36"/>
      <c r="C595" s="36"/>
      <c r="D595" s="36"/>
      <c r="G595" s="15" t="s">
        <v>141</v>
      </c>
      <c r="H595" s="15">
        <v>23</v>
      </c>
      <c r="I595" s="15" t="s">
        <v>26</v>
      </c>
      <c r="J595" s="15">
        <v>1</v>
      </c>
    </row>
    <row r="596" spans="1:10" x14ac:dyDescent="0.25">
      <c r="A596" s="36"/>
      <c r="B596" s="36"/>
      <c r="C596" s="36"/>
      <c r="D596" s="36"/>
      <c r="G596" s="15" t="s">
        <v>141</v>
      </c>
      <c r="H596" s="15">
        <v>24</v>
      </c>
      <c r="I596" s="15" t="s">
        <v>53</v>
      </c>
      <c r="J596" s="15">
        <v>1</v>
      </c>
    </row>
    <row r="597" spans="1:10" x14ac:dyDescent="0.25">
      <c r="A597" s="36"/>
      <c r="B597" s="36"/>
      <c r="C597" s="36"/>
      <c r="D597" s="36"/>
      <c r="G597" s="15" t="s">
        <v>141</v>
      </c>
      <c r="H597" s="15">
        <v>25</v>
      </c>
      <c r="I597" s="15" t="s">
        <v>65</v>
      </c>
      <c r="J597" s="15">
        <v>1</v>
      </c>
    </row>
    <row r="598" spans="1:10" x14ac:dyDescent="0.25">
      <c r="A598" s="36"/>
      <c r="B598" s="36"/>
      <c r="C598" s="36"/>
      <c r="D598" s="36"/>
      <c r="G598" s="15" t="s">
        <v>141</v>
      </c>
      <c r="H598" s="15">
        <v>26</v>
      </c>
      <c r="I598" s="15" t="s">
        <v>83</v>
      </c>
      <c r="J598" s="15">
        <v>1</v>
      </c>
    </row>
    <row r="599" spans="1:10" x14ac:dyDescent="0.25">
      <c r="A599" s="36"/>
      <c r="B599" s="36"/>
      <c r="C599" s="36"/>
      <c r="D599" s="36"/>
      <c r="G599" s="15" t="s">
        <v>141</v>
      </c>
      <c r="H599" s="15">
        <v>27</v>
      </c>
      <c r="I599" s="15" t="s">
        <v>83</v>
      </c>
      <c r="J599" s="15">
        <v>1</v>
      </c>
    </row>
    <row r="600" spans="1:10" x14ac:dyDescent="0.25">
      <c r="A600" s="36"/>
      <c r="B600" s="36"/>
      <c r="C600" s="36"/>
      <c r="D600" s="36"/>
      <c r="G600" s="15" t="s">
        <v>141</v>
      </c>
      <c r="H600" s="15">
        <v>28</v>
      </c>
      <c r="I600" s="15" t="s">
        <v>83</v>
      </c>
      <c r="J600" s="15">
        <v>1</v>
      </c>
    </row>
    <row r="601" spans="1:10" x14ac:dyDescent="0.25">
      <c r="A601" s="36"/>
      <c r="B601" s="36"/>
      <c r="C601" s="36"/>
      <c r="D601" s="36"/>
      <c r="G601" s="15" t="s">
        <v>141</v>
      </c>
      <c r="H601" s="15">
        <v>29</v>
      </c>
      <c r="I601" s="15" t="s">
        <v>83</v>
      </c>
      <c r="J601" s="15">
        <v>1</v>
      </c>
    </row>
    <row r="602" spans="1:10" x14ac:dyDescent="0.25">
      <c r="A602" s="36"/>
      <c r="B602" s="36"/>
      <c r="C602" s="36"/>
      <c r="D602" s="36"/>
      <c r="G602" s="15" t="s">
        <v>141</v>
      </c>
      <c r="H602" s="15">
        <v>30</v>
      </c>
      <c r="I602" s="15" t="s">
        <v>31</v>
      </c>
      <c r="J602" s="15">
        <v>1</v>
      </c>
    </row>
    <row r="603" spans="1:10" x14ac:dyDescent="0.25">
      <c r="A603" s="36"/>
      <c r="B603" s="36"/>
      <c r="C603" s="36"/>
      <c r="D603" s="36"/>
      <c r="G603" s="15" t="s">
        <v>335</v>
      </c>
      <c r="H603" s="15">
        <v>7</v>
      </c>
      <c r="I603" s="15" t="s">
        <v>83</v>
      </c>
      <c r="J603" s="15">
        <v>1</v>
      </c>
    </row>
    <row r="604" spans="1:10" x14ac:dyDescent="0.25">
      <c r="A604" s="36"/>
      <c r="B604" s="36"/>
      <c r="C604" s="36"/>
      <c r="D604" s="36"/>
      <c r="G604" s="15" t="s">
        <v>335</v>
      </c>
      <c r="H604" s="15">
        <v>8</v>
      </c>
      <c r="I604" s="15" t="s">
        <v>83</v>
      </c>
      <c r="J604" s="15">
        <v>1</v>
      </c>
    </row>
    <row r="605" spans="1:10" x14ac:dyDescent="0.25">
      <c r="A605" s="36"/>
      <c r="B605" s="36"/>
      <c r="C605" s="36"/>
      <c r="D605" s="36"/>
      <c r="G605" s="15" t="s">
        <v>335</v>
      </c>
      <c r="H605" s="15">
        <v>9</v>
      </c>
      <c r="I605" s="15" t="s">
        <v>17</v>
      </c>
      <c r="J605" s="15">
        <v>1</v>
      </c>
    </row>
    <row r="606" spans="1:10" x14ac:dyDescent="0.25">
      <c r="A606" s="36"/>
      <c r="B606" s="36"/>
      <c r="C606" s="36"/>
      <c r="D606" s="36"/>
      <c r="G606" s="15" t="s">
        <v>335</v>
      </c>
      <c r="H606" s="15">
        <v>10</v>
      </c>
      <c r="I606" s="15" t="s">
        <v>65</v>
      </c>
      <c r="J606" s="15">
        <v>1</v>
      </c>
    </row>
    <row r="607" spans="1:10" x14ac:dyDescent="0.25">
      <c r="A607" s="36"/>
      <c r="B607" s="36"/>
      <c r="C607" s="36"/>
      <c r="D607" s="36"/>
      <c r="G607" s="15" t="s">
        <v>335</v>
      </c>
      <c r="H607" s="15">
        <v>11</v>
      </c>
      <c r="I607" s="15" t="s">
        <v>31</v>
      </c>
      <c r="J607" s="15">
        <v>1</v>
      </c>
    </row>
    <row r="608" spans="1:10" x14ac:dyDescent="0.25">
      <c r="A608" s="36"/>
      <c r="B608" s="36"/>
      <c r="C608" s="36"/>
      <c r="D608" s="36"/>
      <c r="G608" s="15" t="s">
        <v>335</v>
      </c>
      <c r="H608" s="15">
        <v>12</v>
      </c>
      <c r="I608" s="15" t="s">
        <v>43</v>
      </c>
      <c r="J608" s="15">
        <v>1</v>
      </c>
    </row>
    <row r="609" spans="1:10" x14ac:dyDescent="0.25">
      <c r="A609" s="36"/>
      <c r="B609" s="36"/>
      <c r="C609" s="36"/>
      <c r="D609" s="36"/>
      <c r="G609" s="15" t="s">
        <v>335</v>
      </c>
      <c r="H609" s="15">
        <v>13</v>
      </c>
      <c r="I609" s="15" t="s">
        <v>17</v>
      </c>
      <c r="J609" s="15">
        <v>1</v>
      </c>
    </row>
    <row r="610" spans="1:10" x14ac:dyDescent="0.25">
      <c r="A610" s="36"/>
      <c r="B610" s="36"/>
      <c r="C610" s="36"/>
      <c r="D610" s="36"/>
      <c r="G610" s="15" t="s">
        <v>335</v>
      </c>
      <c r="H610" s="15">
        <v>14</v>
      </c>
      <c r="I610" s="15" t="s">
        <v>83</v>
      </c>
      <c r="J610" s="15">
        <v>1</v>
      </c>
    </row>
    <row r="611" spans="1:10" x14ac:dyDescent="0.25">
      <c r="A611" s="36"/>
      <c r="B611" s="36"/>
      <c r="C611" s="36"/>
      <c r="D611" s="36"/>
      <c r="G611" s="15" t="s">
        <v>335</v>
      </c>
      <c r="H611" s="15">
        <v>15</v>
      </c>
      <c r="I611" s="15" t="s">
        <v>83</v>
      </c>
      <c r="J611" s="15">
        <v>1</v>
      </c>
    </row>
    <row r="612" spans="1:10" x14ac:dyDescent="0.25">
      <c r="A612" s="36"/>
      <c r="B612" s="36"/>
      <c r="C612" s="36"/>
      <c r="D612" s="36"/>
      <c r="G612" s="15" t="s">
        <v>335</v>
      </c>
      <c r="H612" s="15">
        <v>16</v>
      </c>
      <c r="I612" s="15" t="s">
        <v>31</v>
      </c>
      <c r="J612" s="15">
        <v>1</v>
      </c>
    </row>
    <row r="613" spans="1:10" x14ac:dyDescent="0.25">
      <c r="A613" s="36"/>
      <c r="B613" s="36"/>
      <c r="C613" s="36"/>
      <c r="D613" s="36"/>
      <c r="G613" s="15" t="s">
        <v>335</v>
      </c>
      <c r="H613" s="15">
        <v>17</v>
      </c>
      <c r="I613" s="15" t="s">
        <v>17</v>
      </c>
      <c r="J613" s="15">
        <v>1</v>
      </c>
    </row>
    <row r="614" spans="1:10" x14ac:dyDescent="0.25">
      <c r="A614" s="36"/>
      <c r="B614" s="36"/>
      <c r="C614" s="36"/>
      <c r="D614" s="36"/>
      <c r="G614" s="15" t="s">
        <v>335</v>
      </c>
      <c r="H614" s="15">
        <v>18</v>
      </c>
      <c r="I614" s="15" t="s">
        <v>65</v>
      </c>
      <c r="J614" s="15">
        <v>1</v>
      </c>
    </row>
    <row r="615" spans="1:10" x14ac:dyDescent="0.25">
      <c r="A615" s="36"/>
      <c r="B615" s="36"/>
      <c r="C615" s="36"/>
      <c r="D615" s="36"/>
      <c r="G615" s="15" t="s">
        <v>335</v>
      </c>
      <c r="H615" s="15">
        <v>19</v>
      </c>
      <c r="I615" s="15" t="s">
        <v>31</v>
      </c>
      <c r="J615" s="15">
        <v>1</v>
      </c>
    </row>
    <row r="616" spans="1:10" x14ac:dyDescent="0.25">
      <c r="A616" s="36"/>
      <c r="B616" s="36"/>
      <c r="C616" s="36"/>
      <c r="D616" s="36"/>
      <c r="G616" s="15" t="s">
        <v>335</v>
      </c>
      <c r="H616" s="15">
        <v>20</v>
      </c>
      <c r="I616" s="15" t="s">
        <v>31</v>
      </c>
      <c r="J616" s="15">
        <v>1</v>
      </c>
    </row>
    <row r="617" spans="1:10" x14ac:dyDescent="0.25">
      <c r="A617" s="36"/>
      <c r="B617" s="36"/>
      <c r="C617" s="36"/>
      <c r="D617" s="36"/>
      <c r="G617" s="15" t="s">
        <v>335</v>
      </c>
      <c r="H617" s="15">
        <v>21</v>
      </c>
      <c r="I617" s="15" t="s">
        <v>83</v>
      </c>
      <c r="J617" s="15">
        <v>1</v>
      </c>
    </row>
    <row r="618" spans="1:10" x14ac:dyDescent="0.25">
      <c r="A618" s="36"/>
      <c r="B618" s="36"/>
      <c r="C618" s="36"/>
      <c r="D618" s="36"/>
      <c r="G618" s="15" t="s">
        <v>335</v>
      </c>
      <c r="H618" s="15">
        <v>22</v>
      </c>
      <c r="I618" s="15" t="s">
        <v>83</v>
      </c>
      <c r="J618" s="15">
        <v>1</v>
      </c>
    </row>
    <row r="619" spans="1:10" x14ac:dyDescent="0.25">
      <c r="A619" s="36"/>
      <c r="B619" s="36"/>
      <c r="C619" s="36"/>
      <c r="D619" s="36"/>
      <c r="G619" s="15" t="s">
        <v>335</v>
      </c>
      <c r="H619" s="15">
        <v>23</v>
      </c>
      <c r="I619" s="15" t="s">
        <v>43</v>
      </c>
      <c r="J619" s="15">
        <v>1</v>
      </c>
    </row>
    <row r="620" spans="1:10" x14ac:dyDescent="0.25">
      <c r="A620" s="36"/>
      <c r="B620" s="36"/>
      <c r="C620" s="36"/>
      <c r="D620" s="36"/>
      <c r="G620" s="15" t="s">
        <v>335</v>
      </c>
      <c r="H620" s="15">
        <v>24</v>
      </c>
      <c r="I620" s="15" t="s">
        <v>31</v>
      </c>
      <c r="J620" s="15">
        <v>1</v>
      </c>
    </row>
    <row r="621" spans="1:10" x14ac:dyDescent="0.25">
      <c r="A621" s="36"/>
      <c r="B621" s="36"/>
      <c r="C621" s="36"/>
      <c r="D621" s="36"/>
      <c r="G621" s="15" t="s">
        <v>335</v>
      </c>
      <c r="H621" s="15">
        <v>25</v>
      </c>
      <c r="I621" s="15" t="s">
        <v>43</v>
      </c>
      <c r="J621" s="15">
        <v>1</v>
      </c>
    </row>
    <row r="622" spans="1:10" x14ac:dyDescent="0.25">
      <c r="A622" s="36"/>
      <c r="B622" s="36"/>
      <c r="C622" s="36"/>
      <c r="D622" s="36"/>
      <c r="G622" s="15" t="s">
        <v>335</v>
      </c>
      <c r="H622" s="15">
        <v>26</v>
      </c>
      <c r="I622" s="15" t="s">
        <v>31</v>
      </c>
      <c r="J622" s="15">
        <v>1</v>
      </c>
    </row>
    <row r="623" spans="1:10" x14ac:dyDescent="0.25">
      <c r="A623" s="36"/>
      <c r="B623" s="36"/>
      <c r="C623" s="36"/>
      <c r="D623" s="36"/>
      <c r="G623" s="15" t="s">
        <v>335</v>
      </c>
      <c r="H623" s="15">
        <v>27</v>
      </c>
      <c r="I623" s="15" t="s">
        <v>31</v>
      </c>
      <c r="J623" s="15">
        <v>1</v>
      </c>
    </row>
    <row r="624" spans="1:10" x14ac:dyDescent="0.25">
      <c r="A624" s="36"/>
      <c r="B624" s="36"/>
      <c r="C624" s="36"/>
      <c r="D624" s="36"/>
      <c r="G624" s="15" t="s">
        <v>335</v>
      </c>
      <c r="H624" s="15">
        <v>28</v>
      </c>
      <c r="I624" s="15" t="s">
        <v>19</v>
      </c>
      <c r="J624" s="15">
        <v>1</v>
      </c>
    </row>
    <row r="625" spans="1:10" x14ac:dyDescent="0.25">
      <c r="A625" s="36"/>
      <c r="B625" s="36"/>
      <c r="C625" s="36"/>
      <c r="D625" s="36"/>
      <c r="G625" s="15" t="s">
        <v>335</v>
      </c>
      <c r="H625" s="15">
        <v>29</v>
      </c>
      <c r="I625" s="15" t="s">
        <v>83</v>
      </c>
      <c r="J625" s="15">
        <v>1</v>
      </c>
    </row>
    <row r="626" spans="1:10" x14ac:dyDescent="0.25">
      <c r="A626" s="36"/>
      <c r="B626" s="36"/>
      <c r="C626" s="36"/>
      <c r="D626" s="36"/>
      <c r="G626" s="15" t="s">
        <v>335</v>
      </c>
      <c r="H626" s="15">
        <v>30</v>
      </c>
      <c r="I626" s="15" t="s">
        <v>31</v>
      </c>
      <c r="J626" s="15">
        <v>1</v>
      </c>
    </row>
    <row r="627" spans="1:10" x14ac:dyDescent="0.25">
      <c r="A627" s="36"/>
      <c r="B627" s="36"/>
      <c r="C627" s="36"/>
      <c r="D627" s="36"/>
      <c r="G627" s="15" t="s">
        <v>142</v>
      </c>
      <c r="H627" s="15">
        <v>7</v>
      </c>
      <c r="I627" s="15" t="s">
        <v>83</v>
      </c>
      <c r="J627" s="15">
        <v>1</v>
      </c>
    </row>
    <row r="628" spans="1:10" x14ac:dyDescent="0.25">
      <c r="A628" s="36"/>
      <c r="B628" s="36"/>
      <c r="C628" s="36"/>
      <c r="D628" s="36"/>
      <c r="G628" s="15" t="s">
        <v>142</v>
      </c>
      <c r="H628" s="15">
        <v>8</v>
      </c>
      <c r="I628" s="15" t="s">
        <v>53</v>
      </c>
      <c r="J628" s="15">
        <v>1</v>
      </c>
    </row>
    <row r="629" spans="1:10" x14ac:dyDescent="0.25">
      <c r="A629" s="36"/>
      <c r="B629" s="36"/>
      <c r="C629" s="36"/>
      <c r="D629" s="36"/>
      <c r="G629" s="15" t="s">
        <v>142</v>
      </c>
      <c r="H629" s="15">
        <v>9</v>
      </c>
      <c r="I629" s="15" t="s">
        <v>65</v>
      </c>
      <c r="J629" s="15">
        <v>1</v>
      </c>
    </row>
    <row r="630" spans="1:10" x14ac:dyDescent="0.25">
      <c r="A630" s="36"/>
      <c r="B630" s="36"/>
      <c r="C630" s="36"/>
      <c r="D630" s="36"/>
      <c r="G630" s="15" t="s">
        <v>142</v>
      </c>
      <c r="H630" s="15">
        <v>10</v>
      </c>
      <c r="I630" s="15" t="s">
        <v>83</v>
      </c>
      <c r="J630" s="15">
        <v>1</v>
      </c>
    </row>
    <row r="631" spans="1:10" x14ac:dyDescent="0.25">
      <c r="A631" s="36"/>
      <c r="B631" s="36"/>
      <c r="C631" s="36"/>
      <c r="D631" s="36"/>
      <c r="G631" s="15" t="s">
        <v>142</v>
      </c>
      <c r="H631" s="15">
        <v>11</v>
      </c>
      <c r="I631" s="15" t="s">
        <v>31</v>
      </c>
      <c r="J631" s="15">
        <v>1</v>
      </c>
    </row>
    <row r="632" spans="1:10" x14ac:dyDescent="0.25">
      <c r="A632" s="36"/>
      <c r="B632" s="36"/>
      <c r="C632" s="36"/>
      <c r="D632" s="36"/>
      <c r="G632" s="15" t="s">
        <v>142</v>
      </c>
      <c r="H632" s="15">
        <v>12</v>
      </c>
      <c r="I632" s="15" t="s">
        <v>5</v>
      </c>
      <c r="J632" s="15">
        <v>1</v>
      </c>
    </row>
    <row r="633" spans="1:10" x14ac:dyDescent="0.25">
      <c r="A633" s="36"/>
      <c r="B633" s="36"/>
      <c r="C633" s="36"/>
      <c r="D633" s="36"/>
      <c r="G633" s="15" t="s">
        <v>142</v>
      </c>
      <c r="H633" s="15">
        <v>13</v>
      </c>
      <c r="I633" s="15" t="s">
        <v>31</v>
      </c>
      <c r="J633" s="15">
        <v>1</v>
      </c>
    </row>
    <row r="634" spans="1:10" x14ac:dyDescent="0.25">
      <c r="A634" s="36"/>
      <c r="B634" s="36"/>
      <c r="C634" s="36"/>
      <c r="D634" s="36"/>
      <c r="G634" s="15" t="s">
        <v>142</v>
      </c>
      <c r="H634" s="15">
        <v>14</v>
      </c>
      <c r="I634" s="15" t="s">
        <v>83</v>
      </c>
      <c r="J634" s="15">
        <v>1</v>
      </c>
    </row>
    <row r="635" spans="1:10" x14ac:dyDescent="0.25">
      <c r="A635" s="36"/>
      <c r="B635" s="36"/>
      <c r="C635" s="36"/>
      <c r="D635" s="36"/>
      <c r="G635" s="15" t="s">
        <v>142</v>
      </c>
      <c r="H635" s="15">
        <v>15</v>
      </c>
      <c r="I635" s="15" t="s">
        <v>83</v>
      </c>
      <c r="J635" s="15">
        <v>1</v>
      </c>
    </row>
    <row r="636" spans="1:10" x14ac:dyDescent="0.25">
      <c r="A636" s="36"/>
      <c r="B636" s="36"/>
      <c r="C636" s="36"/>
      <c r="D636" s="36"/>
      <c r="G636" s="15" t="s">
        <v>142</v>
      </c>
      <c r="H636" s="15">
        <v>16</v>
      </c>
      <c r="I636" s="15" t="s">
        <v>31</v>
      </c>
      <c r="J636" s="15">
        <v>1</v>
      </c>
    </row>
    <row r="637" spans="1:10" x14ac:dyDescent="0.25">
      <c r="A637" s="36"/>
      <c r="B637" s="36"/>
      <c r="C637" s="36"/>
      <c r="D637" s="36"/>
      <c r="G637" s="15" t="s">
        <v>142</v>
      </c>
      <c r="H637" s="15">
        <v>17</v>
      </c>
      <c r="I637" s="15" t="s">
        <v>83</v>
      </c>
      <c r="J637" s="15">
        <v>1</v>
      </c>
    </row>
    <row r="638" spans="1:10" x14ac:dyDescent="0.25">
      <c r="A638" s="36"/>
      <c r="B638" s="36"/>
      <c r="C638" s="36"/>
      <c r="D638" s="36"/>
      <c r="G638" s="15" t="s">
        <v>142</v>
      </c>
      <c r="H638" s="15">
        <v>18</v>
      </c>
      <c r="I638" s="15" t="s">
        <v>5</v>
      </c>
      <c r="J638" s="15">
        <v>1</v>
      </c>
    </row>
    <row r="639" spans="1:10" x14ac:dyDescent="0.25">
      <c r="A639" s="36"/>
      <c r="B639" s="36"/>
      <c r="C639" s="36"/>
      <c r="D639" s="36"/>
      <c r="G639" s="15" t="s">
        <v>142</v>
      </c>
      <c r="H639" s="15">
        <v>19</v>
      </c>
      <c r="I639" s="15" t="s">
        <v>31</v>
      </c>
      <c r="J639" s="15">
        <v>1</v>
      </c>
    </row>
    <row r="640" spans="1:10" x14ac:dyDescent="0.25">
      <c r="A640" s="36"/>
      <c r="B640" s="36"/>
      <c r="C640" s="36"/>
      <c r="D640" s="36"/>
      <c r="G640" s="15" t="s">
        <v>142</v>
      </c>
      <c r="H640" s="15">
        <v>20</v>
      </c>
      <c r="I640" s="15" t="s">
        <v>31</v>
      </c>
      <c r="J640" s="15">
        <v>1</v>
      </c>
    </row>
    <row r="641" spans="1:10" x14ac:dyDescent="0.25">
      <c r="A641" s="36"/>
      <c r="B641" s="36"/>
      <c r="C641" s="36"/>
      <c r="D641" s="36"/>
      <c r="G641" s="15" t="s">
        <v>142</v>
      </c>
      <c r="H641" s="15">
        <v>21</v>
      </c>
      <c r="I641" s="15" t="s">
        <v>53</v>
      </c>
      <c r="J641" s="15">
        <v>1</v>
      </c>
    </row>
    <row r="642" spans="1:10" x14ac:dyDescent="0.25">
      <c r="A642" s="36"/>
      <c r="B642" s="36"/>
      <c r="C642" s="36"/>
      <c r="D642" s="36"/>
      <c r="G642" s="15" t="s">
        <v>142</v>
      </c>
      <c r="H642" s="15">
        <v>22</v>
      </c>
      <c r="I642" s="15" t="s">
        <v>83</v>
      </c>
      <c r="J642" s="15">
        <v>1</v>
      </c>
    </row>
    <row r="643" spans="1:10" x14ac:dyDescent="0.25">
      <c r="A643" s="36"/>
      <c r="B643" s="36"/>
      <c r="C643" s="36"/>
      <c r="D643" s="36"/>
      <c r="G643" s="15" t="s">
        <v>142</v>
      </c>
      <c r="H643" s="15">
        <v>23</v>
      </c>
      <c r="I643" s="15" t="s">
        <v>83</v>
      </c>
      <c r="J643" s="15">
        <v>1</v>
      </c>
    </row>
    <row r="644" spans="1:10" x14ac:dyDescent="0.25">
      <c r="A644" s="36"/>
      <c r="B644" s="36"/>
      <c r="C644" s="36"/>
      <c r="D644" s="36"/>
      <c r="G644" s="15" t="s">
        <v>142</v>
      </c>
      <c r="H644" s="15">
        <v>24</v>
      </c>
      <c r="I644" s="15" t="s">
        <v>31</v>
      </c>
      <c r="J644" s="15">
        <v>1</v>
      </c>
    </row>
    <row r="645" spans="1:10" x14ac:dyDescent="0.25">
      <c r="A645" s="36"/>
      <c r="B645" s="36"/>
      <c r="C645" s="36"/>
      <c r="D645" s="36"/>
      <c r="G645" s="15" t="s">
        <v>142</v>
      </c>
      <c r="H645" s="15">
        <v>25</v>
      </c>
      <c r="I645" s="15" t="s">
        <v>31</v>
      </c>
      <c r="J645" s="15">
        <v>1</v>
      </c>
    </row>
    <row r="646" spans="1:10" x14ac:dyDescent="0.25">
      <c r="A646" s="36"/>
      <c r="B646" s="36"/>
      <c r="C646" s="36"/>
      <c r="D646" s="36"/>
      <c r="G646" s="15" t="s">
        <v>142</v>
      </c>
      <c r="H646" s="15">
        <v>26</v>
      </c>
      <c r="I646" s="15" t="s">
        <v>6</v>
      </c>
      <c r="J646" s="15">
        <v>1</v>
      </c>
    </row>
    <row r="647" spans="1:10" x14ac:dyDescent="0.25">
      <c r="A647" s="36"/>
      <c r="B647" s="36"/>
      <c r="C647" s="36"/>
      <c r="D647" s="36"/>
      <c r="G647" s="15" t="s">
        <v>142</v>
      </c>
      <c r="H647" s="15">
        <v>27</v>
      </c>
      <c r="I647" s="15" t="s">
        <v>32</v>
      </c>
      <c r="J647" s="15">
        <v>1</v>
      </c>
    </row>
    <row r="648" spans="1:10" x14ac:dyDescent="0.25">
      <c r="A648" s="36"/>
      <c r="B648" s="36"/>
      <c r="C648" s="36"/>
      <c r="D648" s="36"/>
      <c r="G648" s="15" t="s">
        <v>142</v>
      </c>
      <c r="H648" s="15">
        <v>28</v>
      </c>
      <c r="I648" s="15" t="s">
        <v>83</v>
      </c>
      <c r="J648" s="15">
        <v>1</v>
      </c>
    </row>
    <row r="649" spans="1:10" x14ac:dyDescent="0.25">
      <c r="A649" s="36"/>
      <c r="B649" s="36"/>
      <c r="C649" s="36"/>
      <c r="D649" s="36"/>
      <c r="G649" s="15" t="s">
        <v>142</v>
      </c>
      <c r="H649" s="15">
        <v>29</v>
      </c>
      <c r="I649" s="15" t="s">
        <v>83</v>
      </c>
      <c r="J649" s="15">
        <v>1</v>
      </c>
    </row>
    <row r="650" spans="1:10" x14ac:dyDescent="0.25">
      <c r="A650" s="36"/>
      <c r="B650" s="36"/>
      <c r="C650" s="36"/>
      <c r="D650" s="36"/>
      <c r="G650" s="15" t="s">
        <v>142</v>
      </c>
      <c r="H650" s="15">
        <v>30</v>
      </c>
      <c r="I650" s="15" t="s">
        <v>31</v>
      </c>
      <c r="J650" s="15">
        <v>1</v>
      </c>
    </row>
    <row r="651" spans="1:10" x14ac:dyDescent="0.25">
      <c r="A651" s="36"/>
      <c r="B651" s="36"/>
      <c r="C651" s="36"/>
      <c r="D651" s="36"/>
      <c r="G651" s="15" t="s">
        <v>336</v>
      </c>
      <c r="H651" s="15">
        <v>7</v>
      </c>
      <c r="I651" s="15" t="s">
        <v>83</v>
      </c>
      <c r="J651" s="15">
        <v>1</v>
      </c>
    </row>
    <row r="652" spans="1:10" x14ac:dyDescent="0.25">
      <c r="A652" s="36"/>
      <c r="B652" s="36"/>
      <c r="C652" s="36"/>
      <c r="D652" s="36"/>
      <c r="G652" s="15" t="s">
        <v>336</v>
      </c>
      <c r="H652" s="15">
        <v>8</v>
      </c>
      <c r="I652" s="15" t="s">
        <v>83</v>
      </c>
      <c r="J652" s="15">
        <v>1</v>
      </c>
    </row>
    <row r="653" spans="1:10" x14ac:dyDescent="0.25">
      <c r="A653" s="36"/>
      <c r="B653" s="36"/>
      <c r="C653" s="36"/>
      <c r="D653" s="36"/>
      <c r="G653" s="15" t="s">
        <v>336</v>
      </c>
      <c r="H653" s="15">
        <v>9</v>
      </c>
      <c r="I653" s="15" t="s">
        <v>31</v>
      </c>
      <c r="J653" s="15">
        <v>1</v>
      </c>
    </row>
    <row r="654" spans="1:10" x14ac:dyDescent="0.25">
      <c r="A654" s="36"/>
      <c r="B654" s="36"/>
      <c r="C654" s="36"/>
      <c r="D654" s="36"/>
      <c r="G654" s="15" t="s">
        <v>336</v>
      </c>
      <c r="H654" s="15">
        <v>10</v>
      </c>
      <c r="I654" s="15" t="s">
        <v>31</v>
      </c>
      <c r="J654" s="15">
        <v>1</v>
      </c>
    </row>
    <row r="655" spans="1:10" x14ac:dyDescent="0.25">
      <c r="A655" s="36"/>
      <c r="B655" s="36"/>
      <c r="C655" s="36"/>
      <c r="D655" s="36"/>
      <c r="G655" s="15" t="s">
        <v>336</v>
      </c>
      <c r="H655" s="15">
        <v>11</v>
      </c>
      <c r="I655" s="15" t="s">
        <v>31</v>
      </c>
      <c r="J655" s="15">
        <v>1</v>
      </c>
    </row>
    <row r="656" spans="1:10" x14ac:dyDescent="0.25">
      <c r="A656" s="36"/>
      <c r="B656" s="36"/>
      <c r="C656" s="36"/>
      <c r="D656" s="36"/>
      <c r="G656" s="15" t="s">
        <v>336</v>
      </c>
      <c r="H656" s="15">
        <v>12</v>
      </c>
      <c r="I656" s="15" t="s">
        <v>31</v>
      </c>
      <c r="J656" s="15">
        <v>1</v>
      </c>
    </row>
    <row r="657" spans="1:10" x14ac:dyDescent="0.25">
      <c r="A657" s="36"/>
      <c r="B657" s="36"/>
      <c r="C657" s="36"/>
      <c r="D657" s="36"/>
      <c r="G657" s="15" t="s">
        <v>336</v>
      </c>
      <c r="H657" s="15">
        <v>13</v>
      </c>
      <c r="I657" s="15" t="s">
        <v>80</v>
      </c>
      <c r="J657" s="15">
        <v>1</v>
      </c>
    </row>
    <row r="658" spans="1:10" x14ac:dyDescent="0.25">
      <c r="A658" s="36"/>
      <c r="B658" s="36"/>
      <c r="C658" s="36"/>
      <c r="D658" s="36"/>
      <c r="G658" s="15" t="s">
        <v>336</v>
      </c>
      <c r="H658" s="15">
        <v>14</v>
      </c>
      <c r="I658" s="15" t="s">
        <v>19</v>
      </c>
      <c r="J658" s="15">
        <v>1</v>
      </c>
    </row>
    <row r="659" spans="1:10" x14ac:dyDescent="0.25">
      <c r="A659" s="36"/>
      <c r="B659" s="36"/>
      <c r="C659" s="36"/>
      <c r="D659" s="36"/>
      <c r="G659" s="15" t="s">
        <v>336</v>
      </c>
      <c r="H659" s="15">
        <v>15</v>
      </c>
      <c r="I659" s="15" t="s">
        <v>83</v>
      </c>
      <c r="J659" s="15">
        <v>1</v>
      </c>
    </row>
    <row r="660" spans="1:10" x14ac:dyDescent="0.25">
      <c r="A660" s="36"/>
      <c r="B660" s="36"/>
      <c r="C660" s="36"/>
      <c r="D660" s="36"/>
      <c r="G660" s="15" t="s">
        <v>336</v>
      </c>
      <c r="H660" s="15">
        <v>16</v>
      </c>
      <c r="I660" s="15" t="s">
        <v>31</v>
      </c>
      <c r="J660" s="15">
        <v>1</v>
      </c>
    </row>
    <row r="661" spans="1:10" x14ac:dyDescent="0.25">
      <c r="A661" s="36"/>
      <c r="B661" s="36"/>
      <c r="C661" s="36"/>
      <c r="D661" s="36"/>
      <c r="G661" s="15" t="s">
        <v>336</v>
      </c>
      <c r="H661" s="15">
        <v>17</v>
      </c>
      <c r="I661" s="15" t="s">
        <v>6</v>
      </c>
      <c r="J661" s="15">
        <v>1</v>
      </c>
    </row>
    <row r="662" spans="1:10" x14ac:dyDescent="0.25">
      <c r="A662" s="36"/>
      <c r="B662" s="36"/>
      <c r="C662" s="36"/>
      <c r="D662" s="36"/>
      <c r="G662" s="15" t="s">
        <v>336</v>
      </c>
      <c r="H662" s="15">
        <v>18</v>
      </c>
      <c r="I662" s="15" t="s">
        <v>17</v>
      </c>
      <c r="J662" s="15">
        <v>1</v>
      </c>
    </row>
    <row r="663" spans="1:10" x14ac:dyDescent="0.25">
      <c r="A663" s="36"/>
      <c r="B663" s="36"/>
      <c r="C663" s="36"/>
      <c r="D663" s="36"/>
      <c r="G663" s="15" t="s">
        <v>336</v>
      </c>
      <c r="H663" s="15">
        <v>19</v>
      </c>
      <c r="I663" s="15" t="s">
        <v>65</v>
      </c>
      <c r="J663" s="15">
        <v>1</v>
      </c>
    </row>
    <row r="664" spans="1:10" x14ac:dyDescent="0.25">
      <c r="A664" s="36"/>
      <c r="B664" s="36"/>
      <c r="C664" s="36"/>
      <c r="D664" s="36"/>
      <c r="G664" s="15" t="s">
        <v>336</v>
      </c>
      <c r="H664" s="15">
        <v>20</v>
      </c>
      <c r="I664" s="15" t="s">
        <v>31</v>
      </c>
      <c r="J664" s="15">
        <v>1</v>
      </c>
    </row>
    <row r="665" spans="1:10" x14ac:dyDescent="0.25">
      <c r="A665" s="36"/>
      <c r="B665" s="36"/>
      <c r="C665" s="36"/>
      <c r="D665" s="36"/>
      <c r="G665" s="15" t="s">
        <v>336</v>
      </c>
      <c r="H665" s="15">
        <v>21</v>
      </c>
      <c r="I665" s="15" t="s">
        <v>83</v>
      </c>
      <c r="J665" s="15">
        <v>1</v>
      </c>
    </row>
    <row r="666" spans="1:10" x14ac:dyDescent="0.25">
      <c r="A666" s="36"/>
      <c r="B666" s="36"/>
      <c r="C666" s="36"/>
      <c r="D666" s="36"/>
      <c r="G666" s="15" t="s">
        <v>336</v>
      </c>
      <c r="H666" s="15">
        <v>22</v>
      </c>
      <c r="I666" s="15" t="s">
        <v>83</v>
      </c>
      <c r="J666" s="15">
        <v>1</v>
      </c>
    </row>
    <row r="667" spans="1:10" x14ac:dyDescent="0.25">
      <c r="A667" s="36"/>
      <c r="B667" s="36"/>
      <c r="C667" s="36"/>
      <c r="D667" s="36"/>
      <c r="G667" s="15" t="s">
        <v>336</v>
      </c>
      <c r="H667" s="15">
        <v>23</v>
      </c>
      <c r="I667" s="15" t="s">
        <v>31</v>
      </c>
      <c r="J667" s="15">
        <v>1</v>
      </c>
    </row>
    <row r="668" spans="1:10" x14ac:dyDescent="0.25">
      <c r="A668" s="36"/>
      <c r="B668" s="36"/>
      <c r="C668" s="36"/>
      <c r="D668" s="36"/>
      <c r="G668" s="15" t="s">
        <v>336</v>
      </c>
      <c r="H668" s="15">
        <v>24</v>
      </c>
      <c r="I668" s="15" t="s">
        <v>31</v>
      </c>
      <c r="J668" s="15">
        <v>1</v>
      </c>
    </row>
    <row r="669" spans="1:10" x14ac:dyDescent="0.25">
      <c r="A669" s="36"/>
      <c r="B669" s="36"/>
      <c r="C669" s="36"/>
      <c r="D669" s="36"/>
      <c r="G669" s="15" t="s">
        <v>336</v>
      </c>
      <c r="H669" s="15">
        <v>25</v>
      </c>
      <c r="I669" s="15" t="s">
        <v>31</v>
      </c>
      <c r="J669" s="15">
        <v>1</v>
      </c>
    </row>
    <row r="670" spans="1:10" x14ac:dyDescent="0.25">
      <c r="A670" s="36"/>
      <c r="B670" s="36"/>
      <c r="C670" s="36"/>
      <c r="D670" s="36"/>
      <c r="G670" s="15" t="s">
        <v>336</v>
      </c>
      <c r="H670" s="15">
        <v>26</v>
      </c>
      <c r="I670" s="15" t="s">
        <v>31</v>
      </c>
      <c r="J670" s="15">
        <v>1</v>
      </c>
    </row>
    <row r="671" spans="1:10" x14ac:dyDescent="0.25">
      <c r="A671" s="36"/>
      <c r="B671" s="36"/>
      <c r="C671" s="36"/>
      <c r="D671" s="36"/>
      <c r="G671" s="15" t="s">
        <v>336</v>
      </c>
      <c r="H671" s="15">
        <v>27</v>
      </c>
      <c r="I671" s="15" t="s">
        <v>80</v>
      </c>
      <c r="J671" s="15">
        <v>1</v>
      </c>
    </row>
    <row r="672" spans="1:10" x14ac:dyDescent="0.25">
      <c r="A672" s="36"/>
      <c r="B672" s="36"/>
      <c r="C672" s="36"/>
      <c r="D672" s="36"/>
      <c r="G672" s="15" t="s">
        <v>336</v>
      </c>
      <c r="H672" s="15">
        <v>28</v>
      </c>
      <c r="I672" s="15" t="s">
        <v>83</v>
      </c>
      <c r="J672" s="15">
        <v>1</v>
      </c>
    </row>
    <row r="673" spans="1:10" x14ac:dyDescent="0.25">
      <c r="A673" s="36"/>
      <c r="B673" s="36"/>
      <c r="C673" s="36"/>
      <c r="D673" s="36"/>
      <c r="G673" s="15" t="s">
        <v>336</v>
      </c>
      <c r="H673" s="15">
        <v>29</v>
      </c>
      <c r="I673" s="15" t="s">
        <v>372</v>
      </c>
      <c r="J673" s="15">
        <v>1</v>
      </c>
    </row>
    <row r="674" spans="1:10" x14ac:dyDescent="0.25">
      <c r="A674" s="36"/>
      <c r="B674" s="36"/>
      <c r="C674" s="36"/>
      <c r="D674" s="36"/>
      <c r="G674" s="15" t="s">
        <v>336</v>
      </c>
      <c r="H674" s="15">
        <v>30</v>
      </c>
      <c r="I674" s="15" t="s">
        <v>65</v>
      </c>
      <c r="J674" s="15">
        <v>1</v>
      </c>
    </row>
    <row r="675" spans="1:10" x14ac:dyDescent="0.25">
      <c r="A675" s="36"/>
      <c r="B675" s="36"/>
      <c r="C675" s="36"/>
      <c r="D675" s="36"/>
      <c r="G675" s="15" t="s">
        <v>143</v>
      </c>
      <c r="H675" s="15">
        <v>7</v>
      </c>
      <c r="I675" s="15" t="s">
        <v>83</v>
      </c>
      <c r="J675" s="15">
        <v>1</v>
      </c>
    </row>
    <row r="676" spans="1:10" x14ac:dyDescent="0.25">
      <c r="A676" s="36"/>
      <c r="B676" s="36"/>
      <c r="C676" s="36"/>
      <c r="D676" s="36"/>
      <c r="G676" s="15" t="s">
        <v>143</v>
      </c>
      <c r="H676" s="15">
        <v>8</v>
      </c>
      <c r="I676" s="15" t="s">
        <v>83</v>
      </c>
      <c r="J676" s="15">
        <v>1</v>
      </c>
    </row>
    <row r="677" spans="1:10" x14ac:dyDescent="0.25">
      <c r="A677" s="36"/>
      <c r="B677" s="36"/>
      <c r="C677" s="36"/>
      <c r="D677" s="36"/>
      <c r="G677" s="15" t="s">
        <v>143</v>
      </c>
      <c r="H677" s="15">
        <v>9</v>
      </c>
      <c r="I677" s="15" t="s">
        <v>31</v>
      </c>
      <c r="J677" s="15">
        <v>1</v>
      </c>
    </row>
    <row r="678" spans="1:10" x14ac:dyDescent="0.25">
      <c r="A678" s="36"/>
      <c r="B678" s="36"/>
      <c r="C678" s="36"/>
      <c r="D678" s="36"/>
      <c r="G678" s="15" t="s">
        <v>143</v>
      </c>
      <c r="H678" s="15">
        <v>10</v>
      </c>
      <c r="I678" s="15" t="s">
        <v>364</v>
      </c>
      <c r="J678" s="15">
        <v>1</v>
      </c>
    </row>
    <row r="679" spans="1:10" x14ac:dyDescent="0.25">
      <c r="A679" s="36"/>
      <c r="B679" s="36"/>
      <c r="C679" s="36"/>
      <c r="D679" s="36"/>
      <c r="G679" s="15" t="s">
        <v>143</v>
      </c>
      <c r="H679" s="15">
        <v>11</v>
      </c>
      <c r="I679" s="15" t="s">
        <v>65</v>
      </c>
      <c r="J679" s="15">
        <v>1</v>
      </c>
    </row>
    <row r="680" spans="1:10" x14ac:dyDescent="0.25">
      <c r="A680" s="36"/>
      <c r="B680" s="36"/>
      <c r="C680" s="36"/>
      <c r="D680" s="36"/>
      <c r="G680" s="15" t="s">
        <v>143</v>
      </c>
      <c r="H680" s="15">
        <v>12</v>
      </c>
      <c r="I680" s="15" t="s">
        <v>31</v>
      </c>
      <c r="J680" s="15">
        <v>1</v>
      </c>
    </row>
    <row r="681" spans="1:10" x14ac:dyDescent="0.25">
      <c r="A681" s="36"/>
      <c r="B681" s="36"/>
      <c r="C681" s="36"/>
      <c r="D681" s="36"/>
      <c r="G681" s="15" t="s">
        <v>143</v>
      </c>
      <c r="H681" s="15">
        <v>13</v>
      </c>
      <c r="I681" s="15" t="s">
        <v>31</v>
      </c>
      <c r="J681" s="15">
        <v>1</v>
      </c>
    </row>
    <row r="682" spans="1:10" x14ac:dyDescent="0.25">
      <c r="A682" s="36"/>
      <c r="B682" s="36"/>
      <c r="C682" s="36"/>
      <c r="D682" s="36"/>
      <c r="G682" s="15" t="s">
        <v>143</v>
      </c>
      <c r="H682" s="15">
        <v>14</v>
      </c>
      <c r="I682" s="15" t="s">
        <v>83</v>
      </c>
      <c r="J682" s="15">
        <v>1</v>
      </c>
    </row>
    <row r="683" spans="1:10" x14ac:dyDescent="0.25">
      <c r="A683" s="36"/>
      <c r="B683" s="36"/>
      <c r="C683" s="36"/>
      <c r="D683" s="36"/>
      <c r="G683" s="15" t="s">
        <v>143</v>
      </c>
      <c r="H683" s="15">
        <v>15</v>
      </c>
      <c r="I683" s="15" t="s">
        <v>83</v>
      </c>
      <c r="J683" s="15">
        <v>1</v>
      </c>
    </row>
    <row r="684" spans="1:10" x14ac:dyDescent="0.25">
      <c r="A684" s="36"/>
      <c r="B684" s="36"/>
      <c r="C684" s="36"/>
      <c r="D684" s="36"/>
      <c r="G684" s="15" t="s">
        <v>143</v>
      </c>
      <c r="H684" s="15">
        <v>16</v>
      </c>
      <c r="I684" s="15" t="s">
        <v>365</v>
      </c>
      <c r="J684" s="15">
        <v>1</v>
      </c>
    </row>
    <row r="685" spans="1:10" x14ac:dyDescent="0.25">
      <c r="A685" s="36"/>
      <c r="B685" s="36"/>
      <c r="C685" s="36"/>
      <c r="D685" s="36"/>
      <c r="G685" s="15" t="s">
        <v>143</v>
      </c>
      <c r="H685" s="15">
        <v>17</v>
      </c>
      <c r="I685" s="15" t="s">
        <v>31</v>
      </c>
      <c r="J685" s="15">
        <v>1</v>
      </c>
    </row>
    <row r="686" spans="1:10" x14ac:dyDescent="0.25">
      <c r="A686" s="36"/>
      <c r="B686" s="36"/>
      <c r="C686" s="36"/>
      <c r="D686" s="36"/>
      <c r="G686" s="15" t="s">
        <v>143</v>
      </c>
      <c r="H686" s="15">
        <v>18</v>
      </c>
      <c r="I686" s="15" t="s">
        <v>31</v>
      </c>
      <c r="J686" s="15">
        <v>1</v>
      </c>
    </row>
    <row r="687" spans="1:10" x14ac:dyDescent="0.25">
      <c r="A687" s="36"/>
      <c r="B687" s="36"/>
      <c r="C687" s="36"/>
      <c r="D687" s="36"/>
      <c r="G687" s="15" t="s">
        <v>143</v>
      </c>
      <c r="H687" s="15">
        <v>19</v>
      </c>
      <c r="I687" s="15" t="s">
        <v>31</v>
      </c>
      <c r="J687" s="15">
        <v>1</v>
      </c>
    </row>
    <row r="688" spans="1:10" x14ac:dyDescent="0.25">
      <c r="A688" s="36"/>
      <c r="B688" s="36"/>
      <c r="C688" s="36"/>
      <c r="D688" s="36"/>
      <c r="G688" s="15" t="s">
        <v>143</v>
      </c>
      <c r="H688" s="15">
        <v>20</v>
      </c>
      <c r="I688" s="15" t="s">
        <v>31</v>
      </c>
      <c r="J688" s="15">
        <v>1</v>
      </c>
    </row>
    <row r="689" spans="1:10" x14ac:dyDescent="0.25">
      <c r="A689" s="36"/>
      <c r="B689" s="36"/>
      <c r="C689" s="36"/>
      <c r="D689" s="36"/>
      <c r="G689" s="15" t="s">
        <v>143</v>
      </c>
      <c r="H689" s="15">
        <v>21</v>
      </c>
      <c r="I689" s="15" t="s">
        <v>83</v>
      </c>
      <c r="J689" s="15">
        <v>1</v>
      </c>
    </row>
    <row r="690" spans="1:10" x14ac:dyDescent="0.25">
      <c r="A690" s="36"/>
      <c r="B690" s="36"/>
      <c r="C690" s="36"/>
      <c r="D690" s="36"/>
      <c r="G690" s="15" t="s">
        <v>143</v>
      </c>
      <c r="H690" s="15">
        <v>22</v>
      </c>
      <c r="I690" s="15" t="s">
        <v>370</v>
      </c>
      <c r="J690" s="15">
        <v>1</v>
      </c>
    </row>
    <row r="691" spans="1:10" x14ac:dyDescent="0.25">
      <c r="A691" s="36"/>
      <c r="B691" s="36"/>
      <c r="C691" s="36"/>
      <c r="D691" s="36"/>
      <c r="G691" s="15" t="s">
        <v>143</v>
      </c>
      <c r="H691" s="15">
        <v>23</v>
      </c>
      <c r="I691" s="15" t="s">
        <v>65</v>
      </c>
      <c r="J691" s="15">
        <v>1</v>
      </c>
    </row>
    <row r="692" spans="1:10" x14ac:dyDescent="0.25">
      <c r="A692" s="36"/>
      <c r="B692" s="36"/>
      <c r="C692" s="36"/>
      <c r="D692" s="36"/>
      <c r="G692" s="15" t="s">
        <v>143</v>
      </c>
      <c r="H692" s="15">
        <v>24</v>
      </c>
      <c r="I692" s="15" t="s">
        <v>31</v>
      </c>
      <c r="J692" s="15">
        <v>1</v>
      </c>
    </row>
    <row r="693" spans="1:10" x14ac:dyDescent="0.25">
      <c r="A693" s="36"/>
      <c r="B693" s="36"/>
      <c r="C693" s="36"/>
      <c r="D693" s="36"/>
      <c r="G693" s="15" t="s">
        <v>143</v>
      </c>
      <c r="H693" s="15">
        <v>25</v>
      </c>
      <c r="I693" s="15" t="s">
        <v>31</v>
      </c>
      <c r="J693" s="15">
        <v>1</v>
      </c>
    </row>
    <row r="694" spans="1:10" x14ac:dyDescent="0.25">
      <c r="A694" s="36"/>
      <c r="B694" s="36"/>
      <c r="C694" s="36"/>
      <c r="D694" s="36"/>
      <c r="G694" s="15" t="s">
        <v>143</v>
      </c>
      <c r="H694" s="15">
        <v>26</v>
      </c>
      <c r="I694" s="15" t="s">
        <v>364</v>
      </c>
      <c r="J694" s="15">
        <v>1</v>
      </c>
    </row>
    <row r="695" spans="1:10" x14ac:dyDescent="0.25">
      <c r="A695" s="36"/>
      <c r="B695" s="36"/>
      <c r="C695" s="36"/>
      <c r="D695" s="36"/>
      <c r="G695" s="15" t="s">
        <v>143</v>
      </c>
      <c r="H695" s="15">
        <v>27</v>
      </c>
      <c r="I695" s="15" t="s">
        <v>65</v>
      </c>
      <c r="J695" s="15">
        <v>1</v>
      </c>
    </row>
    <row r="696" spans="1:10" x14ac:dyDescent="0.25">
      <c r="A696" s="36"/>
      <c r="B696" s="36"/>
      <c r="C696" s="36"/>
      <c r="D696" s="36"/>
      <c r="G696" s="15" t="s">
        <v>143</v>
      </c>
      <c r="H696" s="15">
        <v>28</v>
      </c>
      <c r="I696" s="15" t="s">
        <v>84</v>
      </c>
      <c r="J696" s="15">
        <v>1</v>
      </c>
    </row>
    <row r="697" spans="1:10" x14ac:dyDescent="0.25">
      <c r="A697" s="36"/>
      <c r="B697" s="36"/>
      <c r="C697" s="36"/>
      <c r="D697" s="36"/>
      <c r="G697" s="15" t="s">
        <v>143</v>
      </c>
      <c r="H697" s="15">
        <v>29</v>
      </c>
      <c r="I697" s="15" t="s">
        <v>84</v>
      </c>
      <c r="J697" s="15">
        <v>1</v>
      </c>
    </row>
    <row r="698" spans="1:10" x14ac:dyDescent="0.25">
      <c r="A698" s="36"/>
      <c r="B698" s="36"/>
      <c r="C698" s="36"/>
      <c r="D698" s="36"/>
      <c r="G698" s="15" t="s">
        <v>143</v>
      </c>
      <c r="H698" s="15">
        <v>30</v>
      </c>
      <c r="I698" s="15" t="s">
        <v>63</v>
      </c>
      <c r="J698" s="15">
        <v>1</v>
      </c>
    </row>
    <row r="699" spans="1:10" x14ac:dyDescent="0.25">
      <c r="A699" s="36"/>
      <c r="B699" s="36"/>
      <c r="C699" s="36"/>
      <c r="D699" s="36"/>
      <c r="G699" s="15" t="s">
        <v>144</v>
      </c>
      <c r="H699" s="15">
        <v>7</v>
      </c>
      <c r="I699" s="15" t="s">
        <v>83</v>
      </c>
      <c r="J699" s="15">
        <v>1</v>
      </c>
    </row>
    <row r="700" spans="1:10" x14ac:dyDescent="0.25">
      <c r="A700" s="36"/>
      <c r="B700" s="36"/>
      <c r="C700" s="36"/>
      <c r="D700" s="36"/>
      <c r="G700" s="15" t="s">
        <v>144</v>
      </c>
      <c r="H700" s="15">
        <v>8</v>
      </c>
      <c r="I700" s="15" t="s">
        <v>83</v>
      </c>
      <c r="J700" s="15">
        <v>1</v>
      </c>
    </row>
    <row r="701" spans="1:10" x14ac:dyDescent="0.25">
      <c r="A701" s="36"/>
      <c r="B701" s="36"/>
      <c r="C701" s="36"/>
      <c r="D701" s="36"/>
      <c r="G701" s="15" t="s">
        <v>144</v>
      </c>
      <c r="H701" s="15">
        <v>9</v>
      </c>
      <c r="I701" s="15" t="s">
        <v>31</v>
      </c>
      <c r="J701" s="15">
        <v>1</v>
      </c>
    </row>
    <row r="702" spans="1:10" x14ac:dyDescent="0.25">
      <c r="A702" s="36"/>
      <c r="B702" s="36"/>
      <c r="C702" s="36"/>
      <c r="D702" s="36"/>
      <c r="G702" s="15" t="s">
        <v>144</v>
      </c>
      <c r="H702" s="15">
        <v>10</v>
      </c>
      <c r="I702" s="15" t="s">
        <v>31</v>
      </c>
      <c r="J702" s="15">
        <v>1</v>
      </c>
    </row>
    <row r="703" spans="1:10" x14ac:dyDescent="0.25">
      <c r="A703" s="36"/>
      <c r="B703" s="36"/>
      <c r="C703" s="36"/>
      <c r="D703" s="36"/>
      <c r="G703" s="15" t="s">
        <v>144</v>
      </c>
      <c r="H703" s="15">
        <v>11</v>
      </c>
      <c r="I703" s="15" t="s">
        <v>31</v>
      </c>
      <c r="J703" s="15">
        <v>1</v>
      </c>
    </row>
    <row r="704" spans="1:10" x14ac:dyDescent="0.25">
      <c r="A704" s="36"/>
      <c r="B704" s="36"/>
      <c r="C704" s="36"/>
      <c r="D704" s="36"/>
      <c r="G704" s="15" t="s">
        <v>144</v>
      </c>
      <c r="H704" s="15">
        <v>12</v>
      </c>
      <c r="I704" s="15" t="s">
        <v>31</v>
      </c>
      <c r="J704" s="15">
        <v>1</v>
      </c>
    </row>
    <row r="705" spans="1:10" x14ac:dyDescent="0.25">
      <c r="A705" s="36"/>
      <c r="B705" s="36"/>
      <c r="C705" s="36"/>
      <c r="D705" s="36"/>
      <c r="G705" s="15" t="s">
        <v>144</v>
      </c>
      <c r="H705" s="15">
        <v>13</v>
      </c>
      <c r="I705" s="15" t="s">
        <v>31</v>
      </c>
      <c r="J705" s="15">
        <v>1</v>
      </c>
    </row>
    <row r="706" spans="1:10" x14ac:dyDescent="0.25">
      <c r="A706" s="36"/>
      <c r="B706" s="36"/>
      <c r="C706" s="36"/>
      <c r="D706" s="36"/>
      <c r="G706" s="15" t="s">
        <v>144</v>
      </c>
      <c r="H706" s="15">
        <v>14</v>
      </c>
      <c r="I706" s="15" t="s">
        <v>35</v>
      </c>
      <c r="J706" s="15">
        <v>1</v>
      </c>
    </row>
    <row r="707" spans="1:10" x14ac:dyDescent="0.25">
      <c r="A707" s="36"/>
      <c r="B707" s="36"/>
      <c r="C707" s="36"/>
      <c r="D707" s="36"/>
      <c r="G707" s="15" t="s">
        <v>144</v>
      </c>
      <c r="H707" s="15">
        <v>15</v>
      </c>
      <c r="I707" s="15" t="s">
        <v>83</v>
      </c>
      <c r="J707" s="15">
        <v>1</v>
      </c>
    </row>
    <row r="708" spans="1:10" x14ac:dyDescent="0.25">
      <c r="A708" s="36"/>
      <c r="B708" s="36"/>
      <c r="C708" s="36"/>
      <c r="D708" s="36"/>
      <c r="G708" s="15" t="s">
        <v>144</v>
      </c>
      <c r="H708" s="15">
        <v>16</v>
      </c>
      <c r="I708" s="15" t="s">
        <v>31</v>
      </c>
      <c r="J708" s="15">
        <v>1</v>
      </c>
    </row>
    <row r="709" spans="1:10" x14ac:dyDescent="0.25">
      <c r="A709" s="36"/>
      <c r="B709" s="36"/>
      <c r="C709" s="36"/>
      <c r="D709" s="36"/>
      <c r="G709" s="15" t="s">
        <v>144</v>
      </c>
      <c r="H709" s="15">
        <v>17</v>
      </c>
      <c r="I709" s="15" t="s">
        <v>31</v>
      </c>
      <c r="J709" s="15">
        <v>1</v>
      </c>
    </row>
    <row r="710" spans="1:10" x14ac:dyDescent="0.25">
      <c r="A710" s="36"/>
      <c r="B710" s="36"/>
      <c r="C710" s="36"/>
      <c r="D710" s="36"/>
      <c r="G710" s="15" t="s">
        <v>144</v>
      </c>
      <c r="H710" s="15">
        <v>18</v>
      </c>
      <c r="I710" s="15" t="s">
        <v>31</v>
      </c>
      <c r="J710" s="15">
        <v>1</v>
      </c>
    </row>
    <row r="711" spans="1:10" x14ac:dyDescent="0.25">
      <c r="A711" s="36"/>
      <c r="B711" s="36"/>
      <c r="C711" s="36"/>
      <c r="D711" s="36"/>
      <c r="G711" s="15" t="s">
        <v>144</v>
      </c>
      <c r="H711" s="15">
        <v>19</v>
      </c>
      <c r="I711" s="15" t="s">
        <v>32</v>
      </c>
      <c r="J711" s="15">
        <v>1</v>
      </c>
    </row>
    <row r="712" spans="1:10" x14ac:dyDescent="0.25">
      <c r="A712" s="36"/>
      <c r="B712" s="36"/>
      <c r="C712" s="36"/>
      <c r="D712" s="36"/>
      <c r="G712" s="15" t="s">
        <v>144</v>
      </c>
      <c r="H712" s="15">
        <v>20</v>
      </c>
      <c r="I712" s="15" t="s">
        <v>31</v>
      </c>
      <c r="J712" s="15">
        <v>1</v>
      </c>
    </row>
    <row r="713" spans="1:10" x14ac:dyDescent="0.25">
      <c r="A713" s="36"/>
      <c r="B713" s="36"/>
      <c r="C713" s="36"/>
      <c r="D713" s="36"/>
      <c r="G713" s="15" t="s">
        <v>144</v>
      </c>
      <c r="H713" s="15">
        <v>21</v>
      </c>
      <c r="I713" s="15" t="s">
        <v>84</v>
      </c>
      <c r="J713" s="15">
        <v>1</v>
      </c>
    </row>
    <row r="714" spans="1:10" x14ac:dyDescent="0.25">
      <c r="A714" s="36"/>
      <c r="B714" s="36"/>
      <c r="C714" s="36"/>
      <c r="D714" s="36"/>
      <c r="G714" s="15" t="s">
        <v>144</v>
      </c>
      <c r="H714" s="15">
        <v>22</v>
      </c>
      <c r="I714" s="15" t="s">
        <v>84</v>
      </c>
      <c r="J714" s="15">
        <v>1</v>
      </c>
    </row>
    <row r="715" spans="1:10" x14ac:dyDescent="0.25">
      <c r="A715" s="36"/>
      <c r="B715" s="36"/>
      <c r="C715" s="36"/>
      <c r="D715" s="36"/>
      <c r="G715" s="15" t="s">
        <v>144</v>
      </c>
      <c r="H715" s="15">
        <v>23</v>
      </c>
      <c r="I715" s="15" t="s">
        <v>63</v>
      </c>
      <c r="J715" s="15">
        <v>1</v>
      </c>
    </row>
    <row r="716" spans="1:10" x14ac:dyDescent="0.25">
      <c r="A716" s="36"/>
      <c r="B716" s="36"/>
      <c r="C716" s="36"/>
      <c r="D716" s="36"/>
      <c r="G716" s="15" t="s">
        <v>144</v>
      </c>
      <c r="H716" s="15">
        <v>24</v>
      </c>
      <c r="I716" s="15" t="s">
        <v>63</v>
      </c>
      <c r="J716" s="15">
        <v>1</v>
      </c>
    </row>
    <row r="717" spans="1:10" x14ac:dyDescent="0.25">
      <c r="A717" s="36"/>
      <c r="B717" s="36"/>
      <c r="C717" s="36"/>
      <c r="D717" s="36"/>
      <c r="G717" s="15" t="s">
        <v>144</v>
      </c>
      <c r="H717" s="15">
        <v>25</v>
      </c>
      <c r="I717" s="15" t="s">
        <v>63</v>
      </c>
      <c r="J717" s="15">
        <v>1</v>
      </c>
    </row>
    <row r="718" spans="1:10" x14ac:dyDescent="0.25">
      <c r="A718" s="36"/>
      <c r="B718" s="36"/>
      <c r="C718" s="36"/>
      <c r="D718" s="36"/>
      <c r="G718" s="15" t="s">
        <v>144</v>
      </c>
      <c r="H718" s="15">
        <v>26</v>
      </c>
      <c r="I718" s="15" t="s">
        <v>63</v>
      </c>
      <c r="J718" s="15">
        <v>1</v>
      </c>
    </row>
    <row r="719" spans="1:10" x14ac:dyDescent="0.25">
      <c r="A719" s="36"/>
      <c r="B719" s="36"/>
      <c r="C719" s="36"/>
      <c r="D719" s="36"/>
      <c r="G719" s="15" t="s">
        <v>144</v>
      </c>
      <c r="H719" s="15">
        <v>27</v>
      </c>
      <c r="I719" s="15" t="s">
        <v>63</v>
      </c>
      <c r="J719" s="15">
        <v>1</v>
      </c>
    </row>
    <row r="720" spans="1:10" x14ac:dyDescent="0.25">
      <c r="A720" s="36"/>
      <c r="B720" s="36"/>
      <c r="C720" s="36"/>
      <c r="D720" s="36"/>
      <c r="G720" s="15" t="s">
        <v>144</v>
      </c>
      <c r="H720" s="15">
        <v>28</v>
      </c>
      <c r="I720" s="15" t="s">
        <v>84</v>
      </c>
      <c r="J720" s="15">
        <v>1</v>
      </c>
    </row>
    <row r="721" spans="1:10" x14ac:dyDescent="0.25">
      <c r="A721" s="36"/>
      <c r="B721" s="36"/>
      <c r="C721" s="36"/>
      <c r="D721" s="36"/>
      <c r="G721" s="15" t="s">
        <v>144</v>
      </c>
      <c r="H721" s="15">
        <v>29</v>
      </c>
      <c r="I721" s="15" t="s">
        <v>84</v>
      </c>
      <c r="J721" s="15">
        <v>1</v>
      </c>
    </row>
    <row r="722" spans="1:10" x14ac:dyDescent="0.25">
      <c r="A722" s="36"/>
      <c r="B722" s="36"/>
      <c r="C722" s="36"/>
      <c r="D722" s="36"/>
      <c r="G722" s="15" t="s">
        <v>144</v>
      </c>
      <c r="H722" s="15">
        <v>30</v>
      </c>
      <c r="I722" s="15" t="s">
        <v>63</v>
      </c>
      <c r="J722" s="15">
        <v>1</v>
      </c>
    </row>
    <row r="723" spans="1:10" x14ac:dyDescent="0.25">
      <c r="A723" s="36"/>
      <c r="B723" s="36"/>
      <c r="C723" s="36"/>
      <c r="D723" s="36"/>
      <c r="G723" s="15" t="s">
        <v>145</v>
      </c>
      <c r="H723" s="15">
        <v>7</v>
      </c>
      <c r="I723" s="15" t="s">
        <v>83</v>
      </c>
      <c r="J723" s="15">
        <v>1</v>
      </c>
    </row>
    <row r="724" spans="1:10" x14ac:dyDescent="0.25">
      <c r="A724" s="36"/>
      <c r="B724" s="36"/>
      <c r="C724" s="36"/>
      <c r="D724" s="36"/>
      <c r="G724" s="15" t="s">
        <v>145</v>
      </c>
      <c r="H724" s="15">
        <v>8</v>
      </c>
      <c r="I724" s="15" t="s">
        <v>83</v>
      </c>
      <c r="J724" s="15">
        <v>1</v>
      </c>
    </row>
    <row r="725" spans="1:10" x14ac:dyDescent="0.25">
      <c r="A725" s="36"/>
      <c r="B725" s="36"/>
      <c r="C725" s="36"/>
      <c r="D725" s="36"/>
      <c r="G725" s="15" t="s">
        <v>145</v>
      </c>
      <c r="H725" s="15">
        <v>9</v>
      </c>
      <c r="I725" s="15" t="s">
        <v>31</v>
      </c>
      <c r="J725" s="15">
        <v>1</v>
      </c>
    </row>
    <row r="726" spans="1:10" x14ac:dyDescent="0.25">
      <c r="A726" s="36"/>
      <c r="B726" s="36"/>
      <c r="C726" s="36"/>
      <c r="D726" s="36"/>
      <c r="G726" s="15" t="s">
        <v>145</v>
      </c>
      <c r="H726" s="15">
        <v>10</v>
      </c>
      <c r="I726" s="15" t="s">
        <v>58</v>
      </c>
      <c r="J726" s="15">
        <v>1</v>
      </c>
    </row>
    <row r="727" spans="1:10" x14ac:dyDescent="0.25">
      <c r="A727" s="36"/>
      <c r="B727" s="36"/>
      <c r="C727" s="36"/>
      <c r="D727" s="36"/>
      <c r="G727" s="15" t="s">
        <v>145</v>
      </c>
      <c r="H727" s="15">
        <v>11</v>
      </c>
      <c r="I727" s="15" t="s">
        <v>31</v>
      </c>
      <c r="J727" s="15">
        <v>1</v>
      </c>
    </row>
    <row r="728" spans="1:10" x14ac:dyDescent="0.25">
      <c r="A728" s="36"/>
      <c r="B728" s="36"/>
      <c r="C728" s="36"/>
      <c r="D728" s="36"/>
      <c r="G728" s="15" t="s">
        <v>145</v>
      </c>
      <c r="H728" s="15">
        <v>12</v>
      </c>
      <c r="I728" s="15" t="s">
        <v>31</v>
      </c>
      <c r="J728" s="15">
        <v>1</v>
      </c>
    </row>
    <row r="729" spans="1:10" x14ac:dyDescent="0.25">
      <c r="A729" s="36"/>
      <c r="B729" s="36"/>
      <c r="C729" s="36"/>
      <c r="D729" s="36"/>
      <c r="G729" s="15" t="s">
        <v>145</v>
      </c>
      <c r="H729" s="15">
        <v>13</v>
      </c>
      <c r="I729" s="15" t="s">
        <v>58</v>
      </c>
      <c r="J729" s="15">
        <v>1</v>
      </c>
    </row>
    <row r="730" spans="1:10" x14ac:dyDescent="0.25">
      <c r="A730" s="36"/>
      <c r="B730" s="36"/>
      <c r="C730" s="36"/>
      <c r="D730" s="36"/>
      <c r="G730" s="15" t="s">
        <v>145</v>
      </c>
      <c r="H730" s="15">
        <v>14</v>
      </c>
      <c r="I730" s="15" t="s">
        <v>83</v>
      </c>
      <c r="J730" s="15">
        <v>1</v>
      </c>
    </row>
    <row r="731" spans="1:10" x14ac:dyDescent="0.25">
      <c r="A731" s="36"/>
      <c r="B731" s="36"/>
      <c r="C731" s="36"/>
      <c r="D731" s="36"/>
      <c r="G731" s="15" t="s">
        <v>145</v>
      </c>
      <c r="H731" s="15">
        <v>15</v>
      </c>
      <c r="I731" s="15" t="s">
        <v>83</v>
      </c>
      <c r="J731" s="15">
        <v>1</v>
      </c>
    </row>
    <row r="732" spans="1:10" x14ac:dyDescent="0.25">
      <c r="A732" s="36"/>
      <c r="B732" s="36"/>
      <c r="C732" s="36"/>
      <c r="D732" s="36"/>
      <c r="G732" s="15" t="s">
        <v>145</v>
      </c>
      <c r="H732" s="15">
        <v>16</v>
      </c>
      <c r="I732" s="15" t="s">
        <v>31</v>
      </c>
      <c r="J732" s="15">
        <v>1</v>
      </c>
    </row>
    <row r="733" spans="1:10" x14ac:dyDescent="0.25">
      <c r="A733" s="36"/>
      <c r="B733" s="36"/>
      <c r="C733" s="36"/>
      <c r="D733" s="36"/>
      <c r="G733" s="15" t="s">
        <v>145</v>
      </c>
      <c r="H733" s="15">
        <v>17</v>
      </c>
      <c r="I733" s="15" t="s">
        <v>31</v>
      </c>
      <c r="J733" s="15">
        <v>1</v>
      </c>
    </row>
    <row r="734" spans="1:10" x14ac:dyDescent="0.25">
      <c r="A734" s="36"/>
      <c r="B734" s="36"/>
      <c r="C734" s="36"/>
      <c r="D734" s="36"/>
      <c r="G734" s="15" t="s">
        <v>145</v>
      </c>
      <c r="H734" s="15">
        <v>18</v>
      </c>
      <c r="I734" s="15" t="s">
        <v>31</v>
      </c>
      <c r="J734" s="15">
        <v>1</v>
      </c>
    </row>
    <row r="735" spans="1:10" x14ac:dyDescent="0.25">
      <c r="A735" s="36"/>
      <c r="B735" s="36"/>
      <c r="C735" s="36"/>
      <c r="D735" s="36"/>
      <c r="G735" s="15" t="s">
        <v>145</v>
      </c>
      <c r="H735" s="15">
        <v>19</v>
      </c>
      <c r="I735" s="15" t="s">
        <v>31</v>
      </c>
      <c r="J735" s="15">
        <v>1</v>
      </c>
    </row>
    <row r="736" spans="1:10" x14ac:dyDescent="0.25">
      <c r="A736" s="36"/>
      <c r="B736" s="36"/>
      <c r="C736" s="36"/>
      <c r="D736" s="36"/>
      <c r="G736" s="15" t="s">
        <v>145</v>
      </c>
      <c r="H736" s="15">
        <v>20</v>
      </c>
      <c r="I736" s="15" t="s">
        <v>31</v>
      </c>
      <c r="J736" s="15">
        <v>1</v>
      </c>
    </row>
    <row r="737" spans="1:10" x14ac:dyDescent="0.25">
      <c r="A737" s="36"/>
      <c r="B737" s="36"/>
      <c r="C737" s="36"/>
      <c r="D737" s="36"/>
      <c r="G737" s="15" t="s">
        <v>145</v>
      </c>
      <c r="H737" s="15">
        <v>21</v>
      </c>
      <c r="I737" s="15" t="s">
        <v>83</v>
      </c>
      <c r="J737" s="15">
        <v>1</v>
      </c>
    </row>
    <row r="738" spans="1:10" x14ac:dyDescent="0.25">
      <c r="A738" s="36"/>
      <c r="B738" s="36"/>
      <c r="C738" s="36"/>
      <c r="D738" s="36"/>
      <c r="G738" s="15" t="s">
        <v>145</v>
      </c>
      <c r="H738" s="15">
        <v>22</v>
      </c>
      <c r="I738" s="15" t="s">
        <v>83</v>
      </c>
      <c r="J738" s="15">
        <v>1</v>
      </c>
    </row>
    <row r="739" spans="1:10" x14ac:dyDescent="0.25">
      <c r="A739" s="36"/>
      <c r="B739" s="36"/>
      <c r="C739" s="36"/>
      <c r="D739" s="36"/>
      <c r="G739" s="15" t="s">
        <v>145</v>
      </c>
      <c r="H739" s="15">
        <v>23</v>
      </c>
      <c r="I739" s="15" t="s">
        <v>31</v>
      </c>
      <c r="J739" s="15">
        <v>1</v>
      </c>
    </row>
    <row r="740" spans="1:10" x14ac:dyDescent="0.25">
      <c r="A740" s="36"/>
      <c r="B740" s="36"/>
      <c r="C740" s="36"/>
      <c r="D740" s="36"/>
      <c r="G740" s="15" t="s">
        <v>145</v>
      </c>
      <c r="H740" s="15">
        <v>24</v>
      </c>
      <c r="I740" s="15" t="s">
        <v>58</v>
      </c>
      <c r="J740" s="15">
        <v>1</v>
      </c>
    </row>
    <row r="741" spans="1:10" x14ac:dyDescent="0.25">
      <c r="A741" s="36"/>
      <c r="B741" s="36"/>
      <c r="C741" s="36"/>
      <c r="D741" s="36"/>
      <c r="G741" s="15" t="s">
        <v>145</v>
      </c>
      <c r="H741" s="15">
        <v>25</v>
      </c>
      <c r="I741" s="15" t="s">
        <v>58</v>
      </c>
      <c r="J741" s="15">
        <v>1</v>
      </c>
    </row>
    <row r="742" spans="1:10" x14ac:dyDescent="0.25">
      <c r="A742" s="36"/>
      <c r="B742" s="36"/>
      <c r="C742" s="36"/>
      <c r="D742" s="36"/>
      <c r="G742" s="15" t="s">
        <v>145</v>
      </c>
      <c r="H742" s="15">
        <v>26</v>
      </c>
      <c r="I742" s="15" t="s">
        <v>31</v>
      </c>
      <c r="J742" s="15">
        <v>1</v>
      </c>
    </row>
    <row r="743" spans="1:10" x14ac:dyDescent="0.25">
      <c r="A743" s="36"/>
      <c r="B743" s="36"/>
      <c r="C743" s="36"/>
      <c r="D743" s="36"/>
      <c r="G743" s="15" t="s">
        <v>145</v>
      </c>
      <c r="H743" s="15">
        <v>27</v>
      </c>
      <c r="I743" s="15" t="s">
        <v>31</v>
      </c>
      <c r="J743" s="15">
        <v>1</v>
      </c>
    </row>
    <row r="744" spans="1:10" x14ac:dyDescent="0.25">
      <c r="A744" s="36"/>
      <c r="B744" s="36"/>
      <c r="C744" s="36"/>
      <c r="D744" s="36"/>
      <c r="G744" s="15" t="s">
        <v>145</v>
      </c>
      <c r="H744" s="15">
        <v>28</v>
      </c>
      <c r="I744" s="15" t="s">
        <v>83</v>
      </c>
      <c r="J744" s="15">
        <v>1</v>
      </c>
    </row>
    <row r="745" spans="1:10" x14ac:dyDescent="0.25">
      <c r="A745" s="36"/>
      <c r="B745" s="36"/>
      <c r="C745" s="36"/>
      <c r="D745" s="36"/>
      <c r="G745" s="15" t="s">
        <v>145</v>
      </c>
      <c r="H745" s="15">
        <v>29</v>
      </c>
      <c r="I745" s="15" t="s">
        <v>83</v>
      </c>
      <c r="J745" s="15">
        <v>1</v>
      </c>
    </row>
    <row r="746" spans="1:10" x14ac:dyDescent="0.25">
      <c r="A746" s="36"/>
      <c r="B746" s="36"/>
      <c r="C746" s="36"/>
      <c r="D746" s="36"/>
      <c r="G746" s="15" t="s">
        <v>145</v>
      </c>
      <c r="H746" s="15">
        <v>30</v>
      </c>
      <c r="I746" s="15" t="s">
        <v>58</v>
      </c>
      <c r="J746" s="15">
        <v>1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0000"/>
    <pageSetUpPr fitToPage="1"/>
  </sheetPr>
  <dimension ref="A1:Q6"/>
  <sheetViews>
    <sheetView workbookViewId="0">
      <selection activeCell="I23" sqref="I23"/>
    </sheetView>
  </sheetViews>
  <sheetFormatPr baseColWidth="10" defaultRowHeight="15" x14ac:dyDescent="0.25"/>
  <cols>
    <col min="1" max="1" width="11.85546875" customWidth="1"/>
    <col min="2" max="2" width="4" bestFit="1" customWidth="1"/>
    <col min="3" max="3" width="7.28515625" bestFit="1" customWidth="1"/>
    <col min="5" max="5" width="20.42578125" customWidth="1"/>
    <col min="6" max="6" width="3.7109375" bestFit="1" customWidth="1"/>
    <col min="8" max="8" width="17.5703125" customWidth="1"/>
    <col min="9" max="9" width="3.7109375" bestFit="1" customWidth="1"/>
    <col min="11" max="11" width="11.28515625" bestFit="1" customWidth="1"/>
    <col min="12" max="12" width="15.85546875" bestFit="1" customWidth="1"/>
    <col min="13" max="13" width="14.28515625" bestFit="1" customWidth="1"/>
    <col min="17" max="17" width="12.140625" customWidth="1"/>
  </cols>
  <sheetData>
    <row r="1" spans="1:17" s="27" customFormat="1" x14ac:dyDescent="0.25">
      <c r="A1" s="181" t="s">
        <v>326</v>
      </c>
      <c r="B1" s="181"/>
      <c r="C1" s="181"/>
      <c r="D1" s="145"/>
      <c r="E1" s="181" t="s">
        <v>327</v>
      </c>
      <c r="F1" s="181"/>
      <c r="G1" s="146"/>
      <c r="H1" s="181" t="s">
        <v>328</v>
      </c>
      <c r="I1" s="181"/>
      <c r="J1" s="145"/>
      <c r="K1" s="181" t="s">
        <v>329</v>
      </c>
      <c r="L1" s="181"/>
      <c r="M1" s="181"/>
      <c r="O1" s="182" t="s">
        <v>339</v>
      </c>
      <c r="P1" s="183"/>
      <c r="Q1" s="184"/>
    </row>
    <row r="2" spans="1:17" x14ac:dyDescent="0.25">
      <c r="A2" s="147" t="s">
        <v>0</v>
      </c>
      <c r="B2" s="147" t="s">
        <v>70</v>
      </c>
      <c r="C2" s="147" t="s">
        <v>332</v>
      </c>
      <c r="D2" s="145"/>
      <c r="E2" s="147" t="s">
        <v>0</v>
      </c>
      <c r="F2" s="147" t="s">
        <v>70</v>
      </c>
      <c r="G2" s="145"/>
      <c r="H2" s="147" t="s">
        <v>332</v>
      </c>
      <c r="I2" s="147" t="s">
        <v>70</v>
      </c>
      <c r="J2" s="145"/>
      <c r="K2" s="147" t="s">
        <v>0</v>
      </c>
      <c r="L2" s="147" t="s">
        <v>81</v>
      </c>
      <c r="M2" s="147" t="s">
        <v>81</v>
      </c>
      <c r="O2" s="149" t="s">
        <v>0</v>
      </c>
      <c r="P2" s="149" t="s">
        <v>70</v>
      </c>
      <c r="Q2" s="149" t="s">
        <v>332</v>
      </c>
    </row>
    <row r="3" spans="1:17" x14ac:dyDescent="0.25">
      <c r="A3" s="147" t="s">
        <v>130</v>
      </c>
      <c r="B3" s="147">
        <v>23</v>
      </c>
      <c r="C3" s="147" t="s">
        <v>53</v>
      </c>
      <c r="D3" s="145"/>
      <c r="E3" s="147" t="s">
        <v>140</v>
      </c>
      <c r="F3" s="147">
        <v>11</v>
      </c>
      <c r="G3" s="145"/>
      <c r="H3" s="147" t="s">
        <v>58</v>
      </c>
      <c r="I3" s="147">
        <v>10</v>
      </c>
      <c r="J3" s="145"/>
      <c r="K3" s="147" t="s">
        <v>132</v>
      </c>
      <c r="L3" s="147">
        <v>0</v>
      </c>
      <c r="M3" s="147">
        <v>1</v>
      </c>
      <c r="O3" s="9" t="s">
        <v>122</v>
      </c>
      <c r="P3" s="147">
        <v>8</v>
      </c>
      <c r="Q3" s="9" t="s">
        <v>31</v>
      </c>
    </row>
    <row r="4" spans="1:17" x14ac:dyDescent="0.25">
      <c r="A4" s="147" t="s">
        <v>132</v>
      </c>
      <c r="B4" s="147">
        <v>26</v>
      </c>
      <c r="C4" s="147" t="s">
        <v>17</v>
      </c>
      <c r="D4" s="145"/>
      <c r="E4" s="145"/>
      <c r="F4" s="145"/>
      <c r="G4" s="145"/>
      <c r="H4" s="147" t="s">
        <v>58</v>
      </c>
      <c r="I4" s="147">
        <v>18</v>
      </c>
      <c r="J4" s="145"/>
      <c r="K4" s="147" t="s">
        <v>140</v>
      </c>
      <c r="L4" s="147">
        <v>0</v>
      </c>
      <c r="M4" s="147">
        <v>1</v>
      </c>
      <c r="O4" s="9" t="s">
        <v>122</v>
      </c>
      <c r="P4" s="147">
        <v>15</v>
      </c>
      <c r="Q4" s="9" t="s">
        <v>31</v>
      </c>
    </row>
    <row r="5" spans="1:17" x14ac:dyDescent="0.25">
      <c r="A5" s="145"/>
      <c r="B5" s="145"/>
      <c r="C5" s="145"/>
      <c r="D5" s="145"/>
      <c r="E5" s="145"/>
      <c r="F5" s="145"/>
      <c r="G5" s="145"/>
      <c r="H5" s="147" t="s">
        <v>58</v>
      </c>
      <c r="I5" s="147">
        <v>25</v>
      </c>
      <c r="J5" s="145"/>
      <c r="K5" s="147" t="s">
        <v>146</v>
      </c>
      <c r="L5" s="147">
        <v>0</v>
      </c>
      <c r="M5" s="147">
        <v>1</v>
      </c>
      <c r="O5" s="9" t="s">
        <v>124</v>
      </c>
      <c r="P5" s="147">
        <v>7</v>
      </c>
      <c r="Q5" s="9" t="s">
        <v>31</v>
      </c>
    </row>
    <row r="6" spans="1:17" x14ac:dyDescent="0.25">
      <c r="A6" s="145"/>
      <c r="B6" s="145"/>
      <c r="C6" s="145"/>
      <c r="D6" s="145"/>
      <c r="E6" s="145"/>
      <c r="F6" s="145"/>
      <c r="G6" s="145"/>
      <c r="H6" s="145"/>
      <c r="I6" s="145"/>
      <c r="J6" s="145"/>
      <c r="K6" s="147"/>
      <c r="L6" s="148" t="s">
        <v>330</v>
      </c>
      <c r="M6" s="148" t="s">
        <v>331</v>
      </c>
    </row>
  </sheetData>
  <mergeCells count="5">
    <mergeCell ref="A1:C1"/>
    <mergeCell ref="H1:I1"/>
    <mergeCell ref="E1:F1"/>
    <mergeCell ref="K1:M1"/>
    <mergeCell ref="O1:Q1"/>
  </mergeCells>
  <pageMargins left="0.70866141732283472" right="0.70866141732283472" top="0.78740157480314965" bottom="0.78740157480314965" header="0.31496062992125984" footer="0.31496062992125984"/>
  <pageSetup paperSize="9" scale="69" orientation="landscape" r:id="rId1"/>
  <headerFooter>
    <oddHeader>&amp;CVerstöße &amp; Vorschläge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17</vt:i4>
      </vt:variant>
    </vt:vector>
  </HeadingPairs>
  <TitlesOfParts>
    <vt:vector size="28" baseType="lpstr">
      <vt:lpstr>Tage</vt:lpstr>
      <vt:lpstr>Personal</vt:lpstr>
      <vt:lpstr>Input</vt:lpstr>
      <vt:lpstr>Dienste</vt:lpstr>
      <vt:lpstr>Nachfrage</vt:lpstr>
      <vt:lpstr>NachfrageFA</vt:lpstr>
      <vt:lpstr>NachfrageOA</vt:lpstr>
      <vt:lpstr>Ergebnis</vt:lpstr>
      <vt:lpstr>Plan1</vt:lpstr>
      <vt:lpstr>Neuplanung</vt:lpstr>
      <vt:lpstr>Verstöße</vt:lpstr>
      <vt:lpstr>AnfangsWoche</vt:lpstr>
      <vt:lpstr>AnzahlPersonal</vt:lpstr>
      <vt:lpstr>AnzahlTage</vt:lpstr>
      <vt:lpstr>AnzahlWerktage</vt:lpstr>
      <vt:lpstr>AnzahlWEs</vt:lpstr>
      <vt:lpstr>AnzahlWochen</vt:lpstr>
      <vt:lpstr>BDTageDazw</vt:lpstr>
      <vt:lpstr>BezahlktoGrenze</vt:lpstr>
      <vt:lpstr>FAMin</vt:lpstr>
      <vt:lpstr>LetztesWE</vt:lpstr>
      <vt:lpstr>MaxWorkstrech</vt:lpstr>
      <vt:lpstr>MinWeFrei</vt:lpstr>
      <vt:lpstr>NeuplanungJaNein</vt:lpstr>
      <vt:lpstr>SchnittktoGrenze</vt:lpstr>
      <vt:lpstr>SchnittktoOpt</vt:lpstr>
      <vt:lpstr>tNeuplanung</vt:lpstr>
      <vt:lpstr>ZeitktoGrenze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Pfefferlen</dc:creator>
  <cp:lastModifiedBy>Christian Pfefferlen</cp:lastModifiedBy>
  <cp:lastPrinted>2015-08-19T16:33:40Z</cp:lastPrinted>
  <dcterms:created xsi:type="dcterms:W3CDTF">2015-02-12T09:24:19Z</dcterms:created>
  <dcterms:modified xsi:type="dcterms:W3CDTF">2015-10-26T10:31:56Z</dcterms:modified>
</cp:coreProperties>
</file>